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comments3.xml" ContentType="application/vnd.openxmlformats-officedocument.spreadsheetml.comments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Mr Mike\06. Office stock\Office Stock and inventory Manager\VisionAG\"/>
    </mc:Choice>
  </mc:AlternateContent>
  <xr:revisionPtr revIDLastSave="0" documentId="13_ncr:1_{976C0455-D696-4D71-BEAC-2449B244BDF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VERVIEW" sheetId="1" r:id="rId1"/>
    <sheet name="STOCK OVERVIEW" sheetId="2" r:id="rId2"/>
    <sheet name="TOTAL OFFICE STOCK" sheetId="3" r:id="rId3"/>
    <sheet name="SILK  - STOCK OVERVIEW" sheetId="4" r:id="rId4"/>
    <sheet name="SILK - ALL" sheetId="5" r:id="rId5"/>
    <sheet name="SILK - SOLD" sheetId="6" r:id="rId6"/>
    <sheet name="SILK - PENDING" sheetId="7" r:id="rId7"/>
    <sheet name="LACE  - STOCK OVERVIEW" sheetId="8" r:id="rId8"/>
    <sheet name="LACE - ALL" sheetId="9" r:id="rId9"/>
    <sheet name="LACE - STOCK OVERVIEW" sheetId="10" state="hidden" r:id="rId10"/>
    <sheet name="LACE - PENDING" sheetId="11" r:id="rId11"/>
    <sheet name="LACE - SOLD" sheetId="12" r:id="rId12"/>
    <sheet name="CEMB - STOCK OVERVIEW" sheetId="13" r:id="rId13"/>
    <sheet name="CEMB - ALL" sheetId="14" r:id="rId14"/>
    <sheet name="CEMB - PENDING" sheetId="15" r:id="rId15"/>
    <sheet name="CEMB - SOLD" sheetId="16" r:id="rId16"/>
    <sheet name="EMBROIDERY - STOCK OVERVIEW " sheetId="17" r:id="rId17"/>
    <sheet name="EMBROIDERY - ALL" sheetId="18" r:id="rId18"/>
    <sheet name="EMBROIDERY - SOLD" sheetId="19" r:id="rId19"/>
    <sheet name="EMBROIDERY - STOCK OVERVIEW" sheetId="20" state="hidden" r:id="rId20"/>
  </sheets>
  <definedNames>
    <definedName name="_xlnm._FilterDatabase" localSheetId="5" hidden="1">'SILK - SOLD'!$D$13:$D$78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20" l="1"/>
  <c r="D34" i="20"/>
  <c r="B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C8" i="20"/>
  <c r="E8" i="20" s="1"/>
  <c r="L257" i="19"/>
  <c r="J257" i="19"/>
  <c r="C257" i="19" a="1"/>
  <c r="C257" i="19" s="1"/>
  <c r="L248" i="19"/>
  <c r="J248" i="19"/>
  <c r="C248" i="19" a="1"/>
  <c r="C248" i="19"/>
  <c r="L240" i="19"/>
  <c r="J240" i="19"/>
  <c r="C240" i="19" a="1"/>
  <c r="C240" i="19"/>
  <c r="L231" i="19"/>
  <c r="J231" i="19"/>
  <c r="C231" i="19" a="1"/>
  <c r="C231" i="19" s="1"/>
  <c r="C27" i="17" s="1"/>
  <c r="L222" i="19"/>
  <c r="J222" i="19"/>
  <c r="C222" i="19" a="1"/>
  <c r="C222" i="19"/>
  <c r="L212" i="19"/>
  <c r="J212" i="19"/>
  <c r="C212" i="19" a="1"/>
  <c r="C212" i="19" s="1"/>
  <c r="L203" i="19"/>
  <c r="J203" i="19"/>
  <c r="C203" i="19" a="1"/>
  <c r="C203" i="19"/>
  <c r="L194" i="19"/>
  <c r="J194" i="19"/>
  <c r="C194" i="19" a="1"/>
  <c r="C194" i="19"/>
  <c r="L185" i="19"/>
  <c r="J185" i="19"/>
  <c r="C185" i="19" a="1"/>
  <c r="C185" i="19" s="1"/>
  <c r="L176" i="19"/>
  <c r="J176" i="19"/>
  <c r="C176" i="19" a="1"/>
  <c r="C176" i="19"/>
  <c r="L167" i="19"/>
  <c r="J167" i="19"/>
  <c r="C167" i="19" a="1"/>
  <c r="C167" i="19"/>
  <c r="L157" i="19"/>
  <c r="J157" i="19"/>
  <c r="C157" i="19" a="1"/>
  <c r="C157" i="19" s="1"/>
  <c r="L148" i="19"/>
  <c r="J148" i="19"/>
  <c r="C148" i="19" a="1"/>
  <c r="C148" i="19" s="1"/>
  <c r="C18" i="17" s="1"/>
  <c r="D18" i="17" s="1"/>
  <c r="L139" i="19"/>
  <c r="J139" i="19"/>
  <c r="C139" i="19" a="1"/>
  <c r="C139" i="19"/>
  <c r="L129" i="19"/>
  <c r="J129" i="19"/>
  <c r="C129" i="19" a="1"/>
  <c r="C129" i="19" s="1"/>
  <c r="L120" i="19"/>
  <c r="J120" i="19"/>
  <c r="C120" i="19" a="1"/>
  <c r="C120" i="19"/>
  <c r="L111" i="19"/>
  <c r="J111" i="19"/>
  <c r="C111" i="19" a="1"/>
  <c r="C111" i="19"/>
  <c r="L103" i="19"/>
  <c r="J103" i="19"/>
  <c r="C103" i="19" a="1"/>
  <c r="C103" i="19" s="1"/>
  <c r="L95" i="19"/>
  <c r="J95" i="19"/>
  <c r="C95" i="19" a="1"/>
  <c r="C95" i="19" s="1"/>
  <c r="C12" i="17" s="1"/>
  <c r="D12" i="17" s="1"/>
  <c r="E12" i="17" s="1"/>
  <c r="L86" i="19"/>
  <c r="J86" i="19"/>
  <c r="C86" i="19" a="1"/>
  <c r="C86" i="19"/>
  <c r="C11" i="17" s="1"/>
  <c r="L77" i="19"/>
  <c r="J77" i="19"/>
  <c r="C77" i="19" a="1"/>
  <c r="C77" i="19" s="1"/>
  <c r="C13" i="20" s="1"/>
  <c r="E13" i="20" s="1"/>
  <c r="L68" i="19"/>
  <c r="J68" i="19"/>
  <c r="C68" i="19" a="1"/>
  <c r="C68" i="19"/>
  <c r="C12" i="20" s="1"/>
  <c r="E12" i="20" s="1"/>
  <c r="L59" i="19"/>
  <c r="J59" i="19"/>
  <c r="C59" i="19" a="1"/>
  <c r="C59" i="19"/>
  <c r="C11" i="20" s="1"/>
  <c r="E11" i="20" s="1"/>
  <c r="L50" i="19"/>
  <c r="J50" i="19"/>
  <c r="C50" i="19" a="1"/>
  <c r="C50" i="19" s="1"/>
  <c r="C10" i="20" s="1"/>
  <c r="E10" i="20" s="1"/>
  <c r="L49" i="19"/>
  <c r="J49" i="19"/>
  <c r="G49" i="19"/>
  <c r="L48" i="19"/>
  <c r="J48" i="19"/>
  <c r="G48" i="19"/>
  <c r="J47" i="19"/>
  <c r="L47" i="19" s="1"/>
  <c r="G47" i="19"/>
  <c r="L41" i="19"/>
  <c r="J41" i="19"/>
  <c r="C41" i="19" a="1"/>
  <c r="C41" i="19" s="1"/>
  <c r="C9" i="20" s="1"/>
  <c r="E9" i="20" s="1"/>
  <c r="L32" i="19"/>
  <c r="J32" i="19"/>
  <c r="C32" i="19" a="1"/>
  <c r="C32" i="19" s="1"/>
  <c r="K23" i="19"/>
  <c r="J23" i="19"/>
  <c r="C23" i="19" a="1"/>
  <c r="C23" i="19" s="1"/>
  <c r="L21" i="19"/>
  <c r="L23" i="19" s="1"/>
  <c r="J21" i="19"/>
  <c r="L16" i="19"/>
  <c r="K16" i="19"/>
  <c r="J16" i="19"/>
  <c r="C16" i="19" a="1"/>
  <c r="C16" i="19" s="1"/>
  <c r="C6" i="20" s="1"/>
  <c r="D483" i="18"/>
  <c r="H482" i="18"/>
  <c r="J482" i="18" s="1"/>
  <c r="G482" i="18"/>
  <c r="I482" i="18" s="1"/>
  <c r="I481" i="18"/>
  <c r="H481" i="18"/>
  <c r="J481" i="18" s="1"/>
  <c r="G481" i="18"/>
  <c r="I480" i="18"/>
  <c r="H480" i="18"/>
  <c r="J480" i="18" s="1"/>
  <c r="G480" i="18"/>
  <c r="I479" i="18"/>
  <c r="H479" i="18"/>
  <c r="J479" i="18" s="1"/>
  <c r="G479" i="18"/>
  <c r="J478" i="18"/>
  <c r="L478" i="18" s="1"/>
  <c r="M478" i="18" s="1"/>
  <c r="H478" i="18"/>
  <c r="G478" i="18"/>
  <c r="I478" i="18" s="1"/>
  <c r="L477" i="18"/>
  <c r="M477" i="18" s="1"/>
  <c r="J477" i="18"/>
  <c r="K477" i="18" s="1"/>
  <c r="H477" i="18"/>
  <c r="G477" i="18"/>
  <c r="I477" i="18" s="1"/>
  <c r="L476" i="18"/>
  <c r="M476" i="18" s="1"/>
  <c r="H476" i="18"/>
  <c r="J476" i="18" s="1"/>
  <c r="K476" i="18" s="1"/>
  <c r="G476" i="18"/>
  <c r="I476" i="18" s="1"/>
  <c r="L475" i="18"/>
  <c r="M475" i="18" s="1"/>
  <c r="J475" i="18"/>
  <c r="K475" i="18" s="1"/>
  <c r="I475" i="18"/>
  <c r="H475" i="18"/>
  <c r="G475" i="18"/>
  <c r="H474" i="18"/>
  <c r="J474" i="18" s="1"/>
  <c r="G474" i="18"/>
  <c r="I474" i="18" s="1"/>
  <c r="L473" i="18"/>
  <c r="M473" i="18" s="1"/>
  <c r="K473" i="18"/>
  <c r="J473" i="18"/>
  <c r="H473" i="18"/>
  <c r="G473" i="18"/>
  <c r="I473" i="18" s="1"/>
  <c r="M472" i="18"/>
  <c r="J472" i="18"/>
  <c r="L472" i="18" s="1"/>
  <c r="I472" i="18"/>
  <c r="H472" i="18"/>
  <c r="G472" i="18"/>
  <c r="I471" i="18"/>
  <c r="H471" i="18"/>
  <c r="J471" i="18" s="1"/>
  <c r="G471" i="18"/>
  <c r="K470" i="18"/>
  <c r="I470" i="18"/>
  <c r="H470" i="18"/>
  <c r="J470" i="18" s="1"/>
  <c r="L470" i="18" s="1"/>
  <c r="M470" i="18" s="1"/>
  <c r="G470" i="18"/>
  <c r="J469" i="18"/>
  <c r="I469" i="18"/>
  <c r="H469" i="18"/>
  <c r="G469" i="18"/>
  <c r="D462" i="18"/>
  <c r="L461" i="18"/>
  <c r="M461" i="18" s="1"/>
  <c r="K461" i="18"/>
  <c r="J461" i="18"/>
  <c r="H461" i="18"/>
  <c r="G461" i="18"/>
  <c r="I461" i="18" s="1"/>
  <c r="H460" i="18"/>
  <c r="J460" i="18" s="1"/>
  <c r="G460" i="18"/>
  <c r="I460" i="18" s="1"/>
  <c r="H459" i="18"/>
  <c r="J459" i="18" s="1"/>
  <c r="G459" i="18"/>
  <c r="I459" i="18" s="1"/>
  <c r="I458" i="18"/>
  <c r="H458" i="18"/>
  <c r="J458" i="18" s="1"/>
  <c r="G458" i="18"/>
  <c r="I457" i="18"/>
  <c r="H457" i="18"/>
  <c r="J457" i="18" s="1"/>
  <c r="G457" i="18"/>
  <c r="K456" i="18"/>
  <c r="I456" i="18"/>
  <c r="H456" i="18"/>
  <c r="J456" i="18" s="1"/>
  <c r="L456" i="18" s="1"/>
  <c r="M456" i="18" s="1"/>
  <c r="G456" i="18"/>
  <c r="J455" i="18"/>
  <c r="L455" i="18" s="1"/>
  <c r="M455" i="18" s="1"/>
  <c r="H455" i="18"/>
  <c r="G455" i="18"/>
  <c r="I455" i="18" s="1"/>
  <c r="L454" i="18"/>
  <c r="M454" i="18" s="1"/>
  <c r="K454" i="18"/>
  <c r="J454" i="18"/>
  <c r="I454" i="18"/>
  <c r="H454" i="18"/>
  <c r="G454" i="18"/>
  <c r="J453" i="18"/>
  <c r="K453" i="18" s="1"/>
  <c r="H453" i="18"/>
  <c r="G453" i="18"/>
  <c r="I453" i="18" s="1"/>
  <c r="L452" i="18"/>
  <c r="M452" i="18" s="1"/>
  <c r="J452" i="18"/>
  <c r="K452" i="18" s="1"/>
  <c r="I452" i="18"/>
  <c r="H452" i="18"/>
  <c r="G452" i="18"/>
  <c r="K451" i="18"/>
  <c r="I451" i="18"/>
  <c r="H451" i="18"/>
  <c r="J451" i="18" s="1"/>
  <c r="L451" i="18" s="1"/>
  <c r="M451" i="18" s="1"/>
  <c r="G451" i="18"/>
  <c r="L450" i="18"/>
  <c r="M450" i="18" s="1"/>
  <c r="K450" i="18"/>
  <c r="J450" i="18"/>
  <c r="H450" i="18"/>
  <c r="G450" i="18"/>
  <c r="I450" i="18" s="1"/>
  <c r="H449" i="18"/>
  <c r="J449" i="18" s="1"/>
  <c r="G449" i="18"/>
  <c r="I449" i="18" s="1"/>
  <c r="H448" i="18"/>
  <c r="J448" i="18" s="1"/>
  <c r="G448" i="18"/>
  <c r="I448" i="18" s="1"/>
  <c r="I447" i="18"/>
  <c r="H447" i="18"/>
  <c r="J447" i="18" s="1"/>
  <c r="G447" i="18"/>
  <c r="I446" i="18"/>
  <c r="H446" i="18"/>
  <c r="J446" i="18" s="1"/>
  <c r="G446" i="18"/>
  <c r="K445" i="18"/>
  <c r="J445" i="18"/>
  <c r="L445" i="18" s="1"/>
  <c r="M445" i="18" s="1"/>
  <c r="I445" i="18"/>
  <c r="H445" i="18"/>
  <c r="G445" i="18"/>
  <c r="J444" i="18"/>
  <c r="H444" i="18"/>
  <c r="G444" i="18"/>
  <c r="I444" i="18" s="1"/>
  <c r="J443" i="18"/>
  <c r="L443" i="18" s="1"/>
  <c r="M443" i="18" s="1"/>
  <c r="H443" i="18"/>
  <c r="G443" i="18"/>
  <c r="I443" i="18" s="1"/>
  <c r="I442" i="18"/>
  <c r="H442" i="18"/>
  <c r="J442" i="18" s="1"/>
  <c r="G442" i="18"/>
  <c r="J441" i="18"/>
  <c r="K441" i="18" s="1"/>
  <c r="I441" i="18"/>
  <c r="H441" i="18"/>
  <c r="G441" i="18"/>
  <c r="J440" i="18"/>
  <c r="K440" i="18" s="1"/>
  <c r="H440" i="18"/>
  <c r="G440" i="18"/>
  <c r="I440" i="18" s="1"/>
  <c r="L439" i="18"/>
  <c r="M439" i="18" s="1"/>
  <c r="K439" i="18"/>
  <c r="J439" i="18"/>
  <c r="H439" i="18"/>
  <c r="G439" i="18"/>
  <c r="D434" i="18"/>
  <c r="L433" i="18"/>
  <c r="M433" i="18" s="1"/>
  <c r="J433" i="18"/>
  <c r="K433" i="18" s="1"/>
  <c r="I433" i="18"/>
  <c r="H433" i="18"/>
  <c r="G433" i="18"/>
  <c r="H432" i="18"/>
  <c r="J432" i="18" s="1"/>
  <c r="G432" i="18"/>
  <c r="I432" i="18" s="1"/>
  <c r="L431" i="18"/>
  <c r="M431" i="18" s="1"/>
  <c r="J431" i="18"/>
  <c r="K431" i="18" s="1"/>
  <c r="I431" i="18"/>
  <c r="H431" i="18"/>
  <c r="G431" i="18"/>
  <c r="L430" i="18"/>
  <c r="M430" i="18" s="1"/>
  <c r="K430" i="18"/>
  <c r="J430" i="18"/>
  <c r="H430" i="18"/>
  <c r="G430" i="18"/>
  <c r="G424" i="18"/>
  <c r="I424" i="18" s="1"/>
  <c r="D424" i="18"/>
  <c r="J423" i="18"/>
  <c r="I423" i="18"/>
  <c r="H423" i="18"/>
  <c r="G423" i="18"/>
  <c r="K422" i="18"/>
  <c r="I422" i="18"/>
  <c r="H422" i="18"/>
  <c r="J422" i="18" s="1"/>
  <c r="L422" i="18" s="1"/>
  <c r="M422" i="18" s="1"/>
  <c r="G422" i="18"/>
  <c r="K421" i="18"/>
  <c r="J421" i="18"/>
  <c r="L421" i="18" s="1"/>
  <c r="M421" i="18" s="1"/>
  <c r="H421" i="18"/>
  <c r="G421" i="18"/>
  <c r="I421" i="18" s="1"/>
  <c r="D415" i="18"/>
  <c r="I414" i="18"/>
  <c r="H414" i="18"/>
  <c r="J414" i="18" s="1"/>
  <c r="G414" i="18"/>
  <c r="J413" i="18"/>
  <c r="I413" i="18"/>
  <c r="H413" i="18"/>
  <c r="G413" i="18"/>
  <c r="J412" i="18"/>
  <c r="H412" i="18"/>
  <c r="G412" i="18"/>
  <c r="I412" i="18" s="1"/>
  <c r="J411" i="18"/>
  <c r="I411" i="18"/>
  <c r="H411" i="18"/>
  <c r="G411" i="18"/>
  <c r="L410" i="18"/>
  <c r="M410" i="18" s="1"/>
  <c r="K410" i="18"/>
  <c r="H410" i="18"/>
  <c r="J410" i="18" s="1"/>
  <c r="G410" i="18"/>
  <c r="I410" i="18" s="1"/>
  <c r="I415" i="18" s="1"/>
  <c r="D404" i="18"/>
  <c r="M403" i="18"/>
  <c r="L403" i="18"/>
  <c r="J403" i="18"/>
  <c r="K403" i="18" s="1"/>
  <c r="I403" i="18"/>
  <c r="H403" i="18"/>
  <c r="G403" i="18"/>
  <c r="M402" i="18"/>
  <c r="L402" i="18"/>
  <c r="K402" i="18"/>
  <c r="J402" i="18"/>
  <c r="I402" i="18"/>
  <c r="H402" i="18"/>
  <c r="G402" i="18"/>
  <c r="L401" i="18"/>
  <c r="M401" i="18" s="1"/>
  <c r="K401" i="18"/>
  <c r="H401" i="18"/>
  <c r="J401" i="18" s="1"/>
  <c r="G401" i="18"/>
  <c r="I401" i="18" s="1"/>
  <c r="M400" i="18"/>
  <c r="L400" i="18"/>
  <c r="K400" i="18"/>
  <c r="J400" i="18"/>
  <c r="I400" i="18"/>
  <c r="H400" i="18"/>
  <c r="G400" i="18"/>
  <c r="H399" i="18"/>
  <c r="J399" i="18" s="1"/>
  <c r="G399" i="18"/>
  <c r="I399" i="18" s="1"/>
  <c r="L398" i="18"/>
  <c r="M398" i="18" s="1"/>
  <c r="J398" i="18"/>
  <c r="K398" i="18" s="1"/>
  <c r="I398" i="18"/>
  <c r="H398" i="18"/>
  <c r="G398" i="18"/>
  <c r="L397" i="18"/>
  <c r="M397" i="18" s="1"/>
  <c r="J397" i="18"/>
  <c r="K397" i="18" s="1"/>
  <c r="I397" i="18"/>
  <c r="H397" i="18"/>
  <c r="G397" i="18"/>
  <c r="D391" i="18"/>
  <c r="J390" i="18"/>
  <c r="I390" i="18"/>
  <c r="H390" i="18"/>
  <c r="G390" i="18"/>
  <c r="L389" i="18"/>
  <c r="M389" i="18" s="1"/>
  <c r="J389" i="18"/>
  <c r="K389" i="18" s="1"/>
  <c r="I389" i="18"/>
  <c r="H389" i="18"/>
  <c r="G389" i="18"/>
  <c r="L388" i="18"/>
  <c r="M388" i="18" s="1"/>
  <c r="K388" i="18"/>
  <c r="I388" i="18"/>
  <c r="H388" i="18"/>
  <c r="J388" i="18" s="1"/>
  <c r="G388" i="18"/>
  <c r="L387" i="18"/>
  <c r="M387" i="18" s="1"/>
  <c r="J387" i="18"/>
  <c r="K387" i="18" s="1"/>
  <c r="H387" i="18"/>
  <c r="G387" i="18"/>
  <c r="I387" i="18" s="1"/>
  <c r="L386" i="18"/>
  <c r="M386" i="18" s="1"/>
  <c r="J386" i="18"/>
  <c r="K386" i="18" s="1"/>
  <c r="I386" i="18"/>
  <c r="H386" i="18"/>
  <c r="G386" i="18"/>
  <c r="J385" i="18"/>
  <c r="K385" i="18" s="1"/>
  <c r="H385" i="18"/>
  <c r="G385" i="18"/>
  <c r="I385" i="18" s="1"/>
  <c r="I384" i="18"/>
  <c r="H384" i="18"/>
  <c r="J384" i="18" s="1"/>
  <c r="G384" i="18"/>
  <c r="H383" i="18"/>
  <c r="J383" i="18" s="1"/>
  <c r="L383" i="18" s="1"/>
  <c r="M383" i="18" s="1"/>
  <c r="G383" i="18"/>
  <c r="D377" i="18"/>
  <c r="J376" i="18"/>
  <c r="I376" i="18"/>
  <c r="H376" i="18"/>
  <c r="G376" i="18"/>
  <c r="K375" i="18"/>
  <c r="H375" i="18"/>
  <c r="J375" i="18" s="1"/>
  <c r="L375" i="18" s="1"/>
  <c r="M375" i="18" s="1"/>
  <c r="G375" i="18"/>
  <c r="I375" i="18" s="1"/>
  <c r="L374" i="18"/>
  <c r="M374" i="18" s="1"/>
  <c r="K374" i="18"/>
  <c r="J374" i="18"/>
  <c r="I374" i="18"/>
  <c r="H374" i="18"/>
  <c r="G374" i="18"/>
  <c r="J373" i="18"/>
  <c r="I373" i="18"/>
  <c r="H373" i="18"/>
  <c r="G373" i="18"/>
  <c r="L372" i="18"/>
  <c r="M372" i="18" s="1"/>
  <c r="H372" i="18"/>
  <c r="J372" i="18" s="1"/>
  <c r="K372" i="18" s="1"/>
  <c r="G372" i="18"/>
  <c r="I372" i="18" s="1"/>
  <c r="L371" i="18"/>
  <c r="M371" i="18" s="1"/>
  <c r="H371" i="18"/>
  <c r="J371" i="18" s="1"/>
  <c r="K371" i="18" s="1"/>
  <c r="G371" i="18"/>
  <c r="I371" i="18" s="1"/>
  <c r="I370" i="18"/>
  <c r="H370" i="18"/>
  <c r="J370" i="18" s="1"/>
  <c r="G370" i="18"/>
  <c r="J369" i="18"/>
  <c r="H369" i="18"/>
  <c r="G369" i="18"/>
  <c r="I369" i="18" s="1"/>
  <c r="J368" i="18"/>
  <c r="I368" i="18"/>
  <c r="H368" i="18"/>
  <c r="G368" i="18"/>
  <c r="G362" i="18"/>
  <c r="I362" i="18" s="1"/>
  <c r="L22" i="17" s="1"/>
  <c r="D362" i="18"/>
  <c r="H361" i="18"/>
  <c r="J361" i="18" s="1"/>
  <c r="G361" i="18"/>
  <c r="I361" i="18" s="1"/>
  <c r="I360" i="18"/>
  <c r="H360" i="18"/>
  <c r="J360" i="18" s="1"/>
  <c r="G360" i="18"/>
  <c r="M359" i="18"/>
  <c r="L359" i="18"/>
  <c r="I359" i="18"/>
  <c r="H359" i="18"/>
  <c r="J359" i="18" s="1"/>
  <c r="K359" i="18" s="1"/>
  <c r="G359" i="18"/>
  <c r="L358" i="18"/>
  <c r="M358" i="18" s="1"/>
  <c r="K358" i="18"/>
  <c r="I358" i="18"/>
  <c r="H358" i="18"/>
  <c r="J358" i="18" s="1"/>
  <c r="G358" i="18"/>
  <c r="K357" i="18"/>
  <c r="J357" i="18"/>
  <c r="L357" i="18" s="1"/>
  <c r="M357" i="18" s="1"/>
  <c r="H357" i="18"/>
  <c r="G357" i="18"/>
  <c r="I357" i="18" s="1"/>
  <c r="L356" i="18"/>
  <c r="M356" i="18" s="1"/>
  <c r="K356" i="18"/>
  <c r="J356" i="18"/>
  <c r="I356" i="18"/>
  <c r="H356" i="18"/>
  <c r="G356" i="18"/>
  <c r="J355" i="18"/>
  <c r="H355" i="18"/>
  <c r="G355" i="18"/>
  <c r="I355" i="18" s="1"/>
  <c r="J354" i="18"/>
  <c r="I354" i="18"/>
  <c r="H354" i="18"/>
  <c r="G354" i="18"/>
  <c r="L353" i="18"/>
  <c r="M353" i="18" s="1"/>
  <c r="K353" i="18"/>
  <c r="H353" i="18"/>
  <c r="J353" i="18" s="1"/>
  <c r="G353" i="18"/>
  <c r="I353" i="18" s="1"/>
  <c r="K352" i="18"/>
  <c r="J352" i="18"/>
  <c r="L352" i="18" s="1"/>
  <c r="M352" i="18" s="1"/>
  <c r="H352" i="18"/>
  <c r="G352" i="18"/>
  <c r="I352" i="18" s="1"/>
  <c r="D346" i="18"/>
  <c r="L345" i="18"/>
  <c r="M345" i="18" s="1"/>
  <c r="J345" i="18"/>
  <c r="K345" i="18" s="1"/>
  <c r="I345" i="18"/>
  <c r="H345" i="18"/>
  <c r="G345" i="18"/>
  <c r="H344" i="18"/>
  <c r="J344" i="18" s="1"/>
  <c r="G344" i="18"/>
  <c r="I344" i="18" s="1"/>
  <c r="M343" i="18"/>
  <c r="L343" i="18"/>
  <c r="J343" i="18"/>
  <c r="K343" i="18" s="1"/>
  <c r="H343" i="18"/>
  <c r="G343" i="18"/>
  <c r="D337" i="18"/>
  <c r="J336" i="18"/>
  <c r="I336" i="18"/>
  <c r="H336" i="18"/>
  <c r="G336" i="18"/>
  <c r="J335" i="18"/>
  <c r="H335" i="18"/>
  <c r="G335" i="18"/>
  <c r="I335" i="18" s="1"/>
  <c r="J334" i="18"/>
  <c r="I334" i="18"/>
  <c r="H334" i="18"/>
  <c r="G334" i="18"/>
  <c r="L333" i="18"/>
  <c r="M333" i="18" s="1"/>
  <c r="K333" i="18"/>
  <c r="H333" i="18"/>
  <c r="J333" i="18" s="1"/>
  <c r="G333" i="18"/>
  <c r="I333" i="18" s="1"/>
  <c r="M332" i="18"/>
  <c r="L332" i="18"/>
  <c r="K332" i="18"/>
  <c r="I332" i="18"/>
  <c r="H332" i="18"/>
  <c r="J332" i="18" s="1"/>
  <c r="G332" i="18"/>
  <c r="J331" i="18"/>
  <c r="I331" i="18"/>
  <c r="H331" i="18"/>
  <c r="G331" i="18"/>
  <c r="M330" i="18"/>
  <c r="K330" i="18"/>
  <c r="J330" i="18"/>
  <c r="L330" i="18" s="1"/>
  <c r="H330" i="18"/>
  <c r="G330" i="18"/>
  <c r="I330" i="18" s="1"/>
  <c r="I329" i="18"/>
  <c r="H329" i="18"/>
  <c r="J329" i="18" s="1"/>
  <c r="G329" i="18"/>
  <c r="J328" i="18"/>
  <c r="K328" i="18" s="1"/>
  <c r="I328" i="18"/>
  <c r="H328" i="18"/>
  <c r="G328" i="18"/>
  <c r="H327" i="18"/>
  <c r="J327" i="18" s="1"/>
  <c r="G327" i="18"/>
  <c r="I327" i="18" s="1"/>
  <c r="J326" i="18"/>
  <c r="L326" i="18" s="1"/>
  <c r="M326" i="18" s="1"/>
  <c r="H326" i="18"/>
  <c r="G326" i="18"/>
  <c r="I326" i="18" s="1"/>
  <c r="J325" i="18"/>
  <c r="H325" i="18"/>
  <c r="G325" i="18"/>
  <c r="J324" i="18"/>
  <c r="H324" i="18"/>
  <c r="G324" i="18"/>
  <c r="I324" i="18" s="1"/>
  <c r="I323" i="18"/>
  <c r="H323" i="18"/>
  <c r="J323" i="18" s="1"/>
  <c r="K323" i="18" s="1"/>
  <c r="G323" i="18"/>
  <c r="D317" i="18"/>
  <c r="H316" i="18"/>
  <c r="J316" i="18" s="1"/>
  <c r="L316" i="18" s="1"/>
  <c r="G316" i="18"/>
  <c r="I316" i="18" s="1"/>
  <c r="H315" i="18"/>
  <c r="J315" i="18" s="1"/>
  <c r="L315" i="18" s="1"/>
  <c r="G315" i="18"/>
  <c r="I315" i="18" s="1"/>
  <c r="L314" i="18"/>
  <c r="J314" i="18"/>
  <c r="I314" i="18"/>
  <c r="H314" i="18"/>
  <c r="G314" i="18"/>
  <c r="L313" i="18"/>
  <c r="J313" i="18"/>
  <c r="I313" i="18"/>
  <c r="H313" i="18"/>
  <c r="G313" i="18"/>
  <c r="L312" i="18"/>
  <c r="I312" i="18"/>
  <c r="H312" i="18"/>
  <c r="J312" i="18" s="1"/>
  <c r="G312" i="18"/>
  <c r="H311" i="18"/>
  <c r="J311" i="18" s="1"/>
  <c r="L311" i="18" s="1"/>
  <c r="G311" i="18"/>
  <c r="I311" i="18" s="1"/>
  <c r="L310" i="18"/>
  <c r="M310" i="18" s="1"/>
  <c r="I310" i="18"/>
  <c r="H310" i="18"/>
  <c r="J310" i="18" s="1"/>
  <c r="K310" i="18" s="1"/>
  <c r="G310" i="18"/>
  <c r="D305" i="18"/>
  <c r="L304" i="18"/>
  <c r="M304" i="18" s="1"/>
  <c r="J304" i="18"/>
  <c r="K304" i="18" s="1"/>
  <c r="I304" i="18"/>
  <c r="H304" i="18"/>
  <c r="G304" i="18"/>
  <c r="L303" i="18"/>
  <c r="M303" i="18" s="1"/>
  <c r="K303" i="18"/>
  <c r="H303" i="18"/>
  <c r="J303" i="18" s="1"/>
  <c r="G303" i="18"/>
  <c r="I303" i="18" s="1"/>
  <c r="J302" i="18"/>
  <c r="H302" i="18"/>
  <c r="G302" i="18"/>
  <c r="I302" i="18" s="1"/>
  <c r="M301" i="18"/>
  <c r="K301" i="18"/>
  <c r="J301" i="18"/>
  <c r="L301" i="18" s="1"/>
  <c r="H301" i="18"/>
  <c r="G301" i="18"/>
  <c r="I301" i="18" s="1"/>
  <c r="L300" i="18"/>
  <c r="M300" i="18" s="1"/>
  <c r="J300" i="18"/>
  <c r="K300" i="18" s="1"/>
  <c r="I300" i="18"/>
  <c r="H300" i="18"/>
  <c r="G300" i="18"/>
  <c r="J299" i="18"/>
  <c r="H299" i="18"/>
  <c r="G299" i="18"/>
  <c r="D293" i="18"/>
  <c r="J292" i="18"/>
  <c r="H292" i="18"/>
  <c r="G292" i="18"/>
  <c r="I292" i="18" s="1"/>
  <c r="M291" i="18"/>
  <c r="L291" i="18"/>
  <c r="J291" i="18"/>
  <c r="K291" i="18" s="1"/>
  <c r="I291" i="18"/>
  <c r="H291" i="18"/>
  <c r="G291" i="18"/>
  <c r="H290" i="18"/>
  <c r="J290" i="18" s="1"/>
  <c r="L290" i="18" s="1"/>
  <c r="M290" i="18" s="1"/>
  <c r="G290" i="18"/>
  <c r="I290" i="18" s="1"/>
  <c r="M289" i="18"/>
  <c r="L289" i="18"/>
  <c r="J289" i="18"/>
  <c r="K289" i="18" s="1"/>
  <c r="H289" i="18"/>
  <c r="G289" i="18"/>
  <c r="I289" i="18" s="1"/>
  <c r="I288" i="18"/>
  <c r="H288" i="18"/>
  <c r="J288" i="18" s="1"/>
  <c r="G288" i="18"/>
  <c r="J287" i="18"/>
  <c r="K287" i="18" s="1"/>
  <c r="I287" i="18"/>
  <c r="H287" i="18"/>
  <c r="G287" i="18"/>
  <c r="H286" i="18"/>
  <c r="J286" i="18" s="1"/>
  <c r="G286" i="18"/>
  <c r="I286" i="18" s="1"/>
  <c r="J285" i="18"/>
  <c r="I285" i="18"/>
  <c r="H285" i="18"/>
  <c r="G285" i="18"/>
  <c r="J284" i="18"/>
  <c r="L284" i="18" s="1"/>
  <c r="M284" i="18" s="1"/>
  <c r="H284" i="18"/>
  <c r="G284" i="18"/>
  <c r="I284" i="18" s="1"/>
  <c r="M283" i="18"/>
  <c r="L283" i="18"/>
  <c r="K283" i="18"/>
  <c r="J283" i="18"/>
  <c r="I283" i="18"/>
  <c r="H283" i="18"/>
  <c r="G283" i="18"/>
  <c r="H282" i="18"/>
  <c r="J282" i="18" s="1"/>
  <c r="G282" i="18"/>
  <c r="I282" i="18" s="1"/>
  <c r="J281" i="18"/>
  <c r="L281" i="18" s="1"/>
  <c r="M281" i="18" s="1"/>
  <c r="H281" i="18"/>
  <c r="G281" i="18"/>
  <c r="I281" i="18" s="1"/>
  <c r="H280" i="18"/>
  <c r="J280" i="18" s="1"/>
  <c r="G280" i="18"/>
  <c r="D274" i="18"/>
  <c r="L273" i="18"/>
  <c r="M273" i="18" s="1"/>
  <c r="H273" i="18"/>
  <c r="J273" i="18" s="1"/>
  <c r="K273" i="18" s="1"/>
  <c r="G273" i="18"/>
  <c r="I273" i="18" s="1"/>
  <c r="I272" i="18"/>
  <c r="H272" i="18"/>
  <c r="J272" i="18" s="1"/>
  <c r="G272" i="18"/>
  <c r="I271" i="18"/>
  <c r="H271" i="18"/>
  <c r="J271" i="18" s="1"/>
  <c r="G271" i="18"/>
  <c r="M270" i="18"/>
  <c r="L270" i="18"/>
  <c r="K270" i="18"/>
  <c r="J270" i="18"/>
  <c r="I270" i="18"/>
  <c r="H270" i="18"/>
  <c r="G270" i="18"/>
  <c r="K269" i="18"/>
  <c r="J269" i="18"/>
  <c r="L269" i="18" s="1"/>
  <c r="M269" i="18" s="1"/>
  <c r="I269" i="18"/>
  <c r="H269" i="18"/>
  <c r="G269" i="18"/>
  <c r="M268" i="18"/>
  <c r="L268" i="18"/>
  <c r="K268" i="18"/>
  <c r="H268" i="18"/>
  <c r="J268" i="18" s="1"/>
  <c r="G268" i="18"/>
  <c r="I268" i="18" s="1"/>
  <c r="K267" i="18"/>
  <c r="J267" i="18"/>
  <c r="L267" i="18" s="1"/>
  <c r="M267" i="18" s="1"/>
  <c r="I267" i="18"/>
  <c r="H267" i="18"/>
  <c r="G267" i="18"/>
  <c r="H266" i="18"/>
  <c r="J266" i="18" s="1"/>
  <c r="K266" i="18" s="1"/>
  <c r="G266" i="18"/>
  <c r="I266" i="18" s="1"/>
  <c r="H265" i="18"/>
  <c r="J265" i="18" s="1"/>
  <c r="G265" i="18"/>
  <c r="I265" i="18" s="1"/>
  <c r="J264" i="18"/>
  <c r="K264" i="18" s="1"/>
  <c r="I264" i="18"/>
  <c r="H264" i="18"/>
  <c r="G264" i="18"/>
  <c r="J263" i="18"/>
  <c r="L263" i="18" s="1"/>
  <c r="M263" i="18" s="1"/>
  <c r="H263" i="18"/>
  <c r="G263" i="18"/>
  <c r="I263" i="18" s="1"/>
  <c r="I262" i="18"/>
  <c r="H262" i="18"/>
  <c r="J262" i="18" s="1"/>
  <c r="G262" i="18"/>
  <c r="L261" i="18"/>
  <c r="M261" i="18" s="1"/>
  <c r="K261" i="18"/>
  <c r="I261" i="18"/>
  <c r="H261" i="18"/>
  <c r="J261" i="18" s="1"/>
  <c r="G261" i="18"/>
  <c r="J260" i="18"/>
  <c r="L260" i="18" s="1"/>
  <c r="M260" i="18" s="1"/>
  <c r="I260" i="18"/>
  <c r="H260" i="18"/>
  <c r="G260" i="18"/>
  <c r="M259" i="18"/>
  <c r="J259" i="18"/>
  <c r="L259" i="18" s="1"/>
  <c r="H259" i="18"/>
  <c r="G259" i="18"/>
  <c r="I259" i="18" s="1"/>
  <c r="L258" i="18"/>
  <c r="M258" i="18" s="1"/>
  <c r="K258" i="18"/>
  <c r="J258" i="18"/>
  <c r="I258" i="18"/>
  <c r="H258" i="18"/>
  <c r="G258" i="18"/>
  <c r="H257" i="18"/>
  <c r="J257" i="18" s="1"/>
  <c r="G257" i="18"/>
  <c r="I257" i="18" s="1"/>
  <c r="M256" i="18"/>
  <c r="L256" i="18"/>
  <c r="H256" i="18"/>
  <c r="J256" i="18" s="1"/>
  <c r="K256" i="18" s="1"/>
  <c r="G256" i="18"/>
  <c r="I256" i="18" s="1"/>
  <c r="J255" i="18"/>
  <c r="K255" i="18" s="1"/>
  <c r="H255" i="18"/>
  <c r="G255" i="18"/>
  <c r="I255" i="18" s="1"/>
  <c r="J254" i="18"/>
  <c r="K254" i="18" s="1"/>
  <c r="H254" i="18"/>
  <c r="G254" i="18"/>
  <c r="I254" i="18" s="1"/>
  <c r="K253" i="18"/>
  <c r="J253" i="18"/>
  <c r="L253" i="18" s="1"/>
  <c r="M253" i="18" s="1"/>
  <c r="I253" i="18"/>
  <c r="H253" i="18"/>
  <c r="G253" i="18"/>
  <c r="J252" i="18"/>
  <c r="H252" i="18"/>
  <c r="G252" i="18"/>
  <c r="L251" i="18"/>
  <c r="M251" i="18" s="1"/>
  <c r="J251" i="18"/>
  <c r="K251" i="18" s="1"/>
  <c r="I251" i="18"/>
  <c r="H251" i="18"/>
  <c r="G251" i="18"/>
  <c r="D245" i="18"/>
  <c r="H244" i="18"/>
  <c r="J244" i="18" s="1"/>
  <c r="G244" i="18"/>
  <c r="I244" i="18" s="1"/>
  <c r="K243" i="18"/>
  <c r="J243" i="18"/>
  <c r="L243" i="18" s="1"/>
  <c r="M243" i="18" s="1"/>
  <c r="I243" i="18"/>
  <c r="H243" i="18"/>
  <c r="G243" i="18"/>
  <c r="J242" i="18"/>
  <c r="I242" i="18"/>
  <c r="H242" i="18"/>
  <c r="G242" i="18"/>
  <c r="L241" i="18"/>
  <c r="M241" i="18" s="1"/>
  <c r="J241" i="18"/>
  <c r="K241" i="18" s="1"/>
  <c r="I241" i="18"/>
  <c r="H241" i="18"/>
  <c r="G241" i="18"/>
  <c r="K240" i="18"/>
  <c r="H240" i="18"/>
  <c r="J240" i="18" s="1"/>
  <c r="L240" i="18" s="1"/>
  <c r="M240" i="18" s="1"/>
  <c r="G240" i="18"/>
  <c r="I240" i="18" s="1"/>
  <c r="J239" i="18"/>
  <c r="K239" i="18" s="1"/>
  <c r="I239" i="18"/>
  <c r="H239" i="18"/>
  <c r="G239" i="18"/>
  <c r="J238" i="18"/>
  <c r="I238" i="18"/>
  <c r="H238" i="18"/>
  <c r="G238" i="18"/>
  <c r="M237" i="18"/>
  <c r="K237" i="18"/>
  <c r="J237" i="18"/>
  <c r="L237" i="18" s="1"/>
  <c r="I237" i="18"/>
  <c r="H237" i="18"/>
  <c r="G237" i="18"/>
  <c r="M236" i="18"/>
  <c r="L236" i="18"/>
  <c r="K236" i="18"/>
  <c r="J236" i="18"/>
  <c r="I236" i="18"/>
  <c r="H236" i="18"/>
  <c r="G236" i="18"/>
  <c r="H235" i="18"/>
  <c r="J235" i="18" s="1"/>
  <c r="G235" i="18"/>
  <c r="I235" i="18" s="1"/>
  <c r="I234" i="18"/>
  <c r="H234" i="18"/>
  <c r="J234" i="18" s="1"/>
  <c r="G234" i="18"/>
  <c r="J233" i="18"/>
  <c r="H233" i="18"/>
  <c r="G233" i="18"/>
  <c r="H232" i="18"/>
  <c r="J232" i="18" s="1"/>
  <c r="G232" i="18"/>
  <c r="I232" i="18" s="1"/>
  <c r="K231" i="18"/>
  <c r="J231" i="18"/>
  <c r="L231" i="18" s="1"/>
  <c r="M231" i="18" s="1"/>
  <c r="H231" i="18"/>
  <c r="G231" i="18"/>
  <c r="I231" i="18" s="1"/>
  <c r="D225" i="18"/>
  <c r="H224" i="18"/>
  <c r="J224" i="18" s="1"/>
  <c r="G224" i="18"/>
  <c r="I224" i="18" s="1"/>
  <c r="I223" i="18"/>
  <c r="H223" i="18"/>
  <c r="J223" i="18" s="1"/>
  <c r="G223" i="18"/>
  <c r="I222" i="18"/>
  <c r="H222" i="18"/>
  <c r="J222" i="18" s="1"/>
  <c r="G222" i="18"/>
  <c r="J221" i="18"/>
  <c r="H221" i="18"/>
  <c r="G221" i="18"/>
  <c r="I221" i="18" s="1"/>
  <c r="K220" i="18"/>
  <c r="H220" i="18"/>
  <c r="J220" i="18" s="1"/>
  <c r="L220" i="18" s="1"/>
  <c r="M220" i="18" s="1"/>
  <c r="G220" i="18"/>
  <c r="I220" i="18" s="1"/>
  <c r="K219" i="18"/>
  <c r="I219" i="18"/>
  <c r="H219" i="18"/>
  <c r="J219" i="18" s="1"/>
  <c r="L219" i="18" s="1"/>
  <c r="M219" i="18" s="1"/>
  <c r="G219" i="18"/>
  <c r="K218" i="18"/>
  <c r="J218" i="18"/>
  <c r="L218" i="18" s="1"/>
  <c r="M218" i="18" s="1"/>
  <c r="I218" i="18"/>
  <c r="H218" i="18"/>
  <c r="G218" i="18"/>
  <c r="G225" i="18" s="1"/>
  <c r="J217" i="18"/>
  <c r="I217" i="18"/>
  <c r="H217" i="18"/>
  <c r="G217" i="18"/>
  <c r="J216" i="18"/>
  <c r="K216" i="18" s="1"/>
  <c r="I216" i="18"/>
  <c r="H216" i="18"/>
  <c r="G216" i="18"/>
  <c r="D210" i="18"/>
  <c r="I209" i="18"/>
  <c r="H209" i="18"/>
  <c r="J209" i="18" s="1"/>
  <c r="G209" i="18"/>
  <c r="H208" i="18"/>
  <c r="J208" i="18" s="1"/>
  <c r="G208" i="18"/>
  <c r="I208" i="18" s="1"/>
  <c r="I207" i="18"/>
  <c r="H207" i="18"/>
  <c r="J207" i="18" s="1"/>
  <c r="G207" i="18"/>
  <c r="M206" i="18"/>
  <c r="L206" i="18"/>
  <c r="J206" i="18"/>
  <c r="K206" i="18" s="1"/>
  <c r="I206" i="18"/>
  <c r="H206" i="18"/>
  <c r="G206" i="18"/>
  <c r="L205" i="18"/>
  <c r="M205" i="18" s="1"/>
  <c r="H205" i="18"/>
  <c r="J205" i="18" s="1"/>
  <c r="K205" i="18" s="1"/>
  <c r="G205" i="18"/>
  <c r="I205" i="18" s="1"/>
  <c r="H204" i="18"/>
  <c r="J204" i="18" s="1"/>
  <c r="G204" i="18"/>
  <c r="I204" i="18" s="1"/>
  <c r="I203" i="18"/>
  <c r="H203" i="18"/>
  <c r="J203" i="18" s="1"/>
  <c r="G203" i="18"/>
  <c r="I202" i="18"/>
  <c r="H202" i="18"/>
  <c r="J202" i="18" s="1"/>
  <c r="G202" i="18"/>
  <c r="J201" i="18"/>
  <c r="H201" i="18"/>
  <c r="G201" i="18"/>
  <c r="I201" i="18" s="1"/>
  <c r="J200" i="18"/>
  <c r="K200" i="18" s="1"/>
  <c r="I200" i="18"/>
  <c r="H200" i="18"/>
  <c r="G200" i="18"/>
  <c r="J199" i="18"/>
  <c r="H199" i="18"/>
  <c r="G199" i="18"/>
  <c r="I199" i="18" s="1"/>
  <c r="I198" i="18"/>
  <c r="H198" i="18"/>
  <c r="J198" i="18" s="1"/>
  <c r="G198" i="18"/>
  <c r="J197" i="18"/>
  <c r="I197" i="18"/>
  <c r="H197" i="18"/>
  <c r="G197" i="18"/>
  <c r="H196" i="18"/>
  <c r="J196" i="18" s="1"/>
  <c r="G196" i="18"/>
  <c r="I196" i="18" s="1"/>
  <c r="M195" i="18"/>
  <c r="L195" i="18"/>
  <c r="K195" i="18"/>
  <c r="J195" i="18"/>
  <c r="I195" i="18"/>
  <c r="H195" i="18"/>
  <c r="G195" i="18"/>
  <c r="H194" i="18"/>
  <c r="J194" i="18" s="1"/>
  <c r="G194" i="18"/>
  <c r="I194" i="18" s="1"/>
  <c r="H193" i="18"/>
  <c r="J193" i="18" s="1"/>
  <c r="G193" i="18"/>
  <c r="I193" i="18" s="1"/>
  <c r="I192" i="18"/>
  <c r="H192" i="18"/>
  <c r="J192" i="18" s="1"/>
  <c r="G192" i="18"/>
  <c r="L191" i="18"/>
  <c r="M191" i="18" s="1"/>
  <c r="I191" i="18"/>
  <c r="H191" i="18"/>
  <c r="J191" i="18" s="1"/>
  <c r="K191" i="18" s="1"/>
  <c r="G191" i="18"/>
  <c r="L190" i="18"/>
  <c r="M190" i="18" s="1"/>
  <c r="K190" i="18"/>
  <c r="H190" i="18"/>
  <c r="J190" i="18" s="1"/>
  <c r="G190" i="18"/>
  <c r="I190" i="18" s="1"/>
  <c r="J189" i="18"/>
  <c r="I189" i="18"/>
  <c r="H189" i="18"/>
  <c r="G189" i="18"/>
  <c r="L188" i="18"/>
  <c r="M188" i="18" s="1"/>
  <c r="K188" i="18"/>
  <c r="J188" i="18"/>
  <c r="H188" i="18"/>
  <c r="G188" i="18"/>
  <c r="I188" i="18" s="1"/>
  <c r="L187" i="18"/>
  <c r="M187" i="18" s="1"/>
  <c r="J187" i="18"/>
  <c r="K187" i="18" s="1"/>
  <c r="I187" i="18"/>
  <c r="H187" i="18"/>
  <c r="G187" i="18"/>
  <c r="L186" i="18"/>
  <c r="M186" i="18" s="1"/>
  <c r="K186" i="18"/>
  <c r="I186" i="18"/>
  <c r="H186" i="18"/>
  <c r="J186" i="18" s="1"/>
  <c r="G186" i="18"/>
  <c r="J185" i="18"/>
  <c r="H185" i="18"/>
  <c r="G185" i="18"/>
  <c r="I185" i="18" s="1"/>
  <c r="H184" i="18"/>
  <c r="J184" i="18" s="1"/>
  <c r="L184" i="18" s="1"/>
  <c r="M184" i="18" s="1"/>
  <c r="G184" i="18"/>
  <c r="I184" i="18" s="1"/>
  <c r="M183" i="18"/>
  <c r="L183" i="18"/>
  <c r="H183" i="18"/>
  <c r="J183" i="18" s="1"/>
  <c r="K183" i="18" s="1"/>
  <c r="G183" i="18"/>
  <c r="I183" i="18" s="1"/>
  <c r="L182" i="18"/>
  <c r="M182" i="18" s="1"/>
  <c r="J182" i="18"/>
  <c r="K182" i="18" s="1"/>
  <c r="I182" i="18"/>
  <c r="H182" i="18"/>
  <c r="G182" i="18"/>
  <c r="L181" i="18"/>
  <c r="M181" i="18" s="1"/>
  <c r="I181" i="18"/>
  <c r="H181" i="18"/>
  <c r="J181" i="18" s="1"/>
  <c r="K181" i="18" s="1"/>
  <c r="G181" i="18"/>
  <c r="J180" i="18"/>
  <c r="I180" i="18"/>
  <c r="H180" i="18"/>
  <c r="G180" i="18"/>
  <c r="J179" i="18"/>
  <c r="H179" i="18"/>
  <c r="G179" i="18"/>
  <c r="I179" i="18" s="1"/>
  <c r="I178" i="18"/>
  <c r="H178" i="18"/>
  <c r="J178" i="18" s="1"/>
  <c r="K178" i="18" s="1"/>
  <c r="G178" i="18"/>
  <c r="H177" i="18"/>
  <c r="J177" i="18" s="1"/>
  <c r="G177" i="18"/>
  <c r="I177" i="18" s="1"/>
  <c r="J176" i="18"/>
  <c r="I176" i="18"/>
  <c r="H176" i="18"/>
  <c r="G176" i="18"/>
  <c r="K175" i="18"/>
  <c r="J175" i="18"/>
  <c r="L175" i="18" s="1"/>
  <c r="M175" i="18" s="1"/>
  <c r="H175" i="18"/>
  <c r="G175" i="18"/>
  <c r="I175" i="18" s="1"/>
  <c r="J174" i="18"/>
  <c r="L174" i="18" s="1"/>
  <c r="M174" i="18" s="1"/>
  <c r="I174" i="18"/>
  <c r="H174" i="18"/>
  <c r="G174" i="18"/>
  <c r="L173" i="18"/>
  <c r="M173" i="18" s="1"/>
  <c r="I173" i="18"/>
  <c r="H173" i="18"/>
  <c r="J173" i="18" s="1"/>
  <c r="K173" i="18" s="1"/>
  <c r="G173" i="18"/>
  <c r="L172" i="18"/>
  <c r="M172" i="18" s="1"/>
  <c r="H172" i="18"/>
  <c r="J172" i="18" s="1"/>
  <c r="K172" i="18" s="1"/>
  <c r="G172" i="18"/>
  <c r="I172" i="18" s="1"/>
  <c r="K171" i="18"/>
  <c r="J171" i="18"/>
  <c r="L171" i="18" s="1"/>
  <c r="M171" i="18" s="1"/>
  <c r="I171" i="18"/>
  <c r="H171" i="18"/>
  <c r="G171" i="18"/>
  <c r="I170" i="18"/>
  <c r="H170" i="18"/>
  <c r="J170" i="18" s="1"/>
  <c r="G170" i="18"/>
  <c r="J169" i="18"/>
  <c r="H169" i="18"/>
  <c r="G169" i="18"/>
  <c r="I169" i="18" s="1"/>
  <c r="J168" i="18"/>
  <c r="H168" i="18"/>
  <c r="G168" i="18"/>
  <c r="I168" i="18" s="1"/>
  <c r="J167" i="18"/>
  <c r="I167" i="18"/>
  <c r="H167" i="18"/>
  <c r="G167" i="18"/>
  <c r="L166" i="18"/>
  <c r="M166" i="18" s="1"/>
  <c r="K166" i="18"/>
  <c r="H166" i="18"/>
  <c r="J166" i="18" s="1"/>
  <c r="G166" i="18"/>
  <c r="D160" i="18"/>
  <c r="H159" i="18"/>
  <c r="J159" i="18" s="1"/>
  <c r="G159" i="18"/>
  <c r="I159" i="18" s="1"/>
  <c r="K158" i="18"/>
  <c r="J158" i="18"/>
  <c r="L158" i="18" s="1"/>
  <c r="M158" i="18" s="1"/>
  <c r="I158" i="18"/>
  <c r="H158" i="18"/>
  <c r="G158" i="18"/>
  <c r="K157" i="18"/>
  <c r="J157" i="18"/>
  <c r="L157" i="18" s="1"/>
  <c r="M157" i="18" s="1"/>
  <c r="H157" i="18"/>
  <c r="G157" i="18"/>
  <c r="I157" i="18" s="1"/>
  <c r="K156" i="18"/>
  <c r="J156" i="18"/>
  <c r="L156" i="18" s="1"/>
  <c r="M156" i="18" s="1"/>
  <c r="I156" i="18"/>
  <c r="H156" i="18"/>
  <c r="G156" i="18"/>
  <c r="L155" i="18"/>
  <c r="M155" i="18" s="1"/>
  <c r="I155" i="18"/>
  <c r="H155" i="18"/>
  <c r="J155" i="18" s="1"/>
  <c r="K155" i="18" s="1"/>
  <c r="G155" i="18"/>
  <c r="M154" i="18"/>
  <c r="L154" i="18"/>
  <c r="K154" i="18"/>
  <c r="H154" i="18"/>
  <c r="J154" i="18" s="1"/>
  <c r="G154" i="18"/>
  <c r="I154" i="18" s="1"/>
  <c r="I153" i="18"/>
  <c r="H153" i="18"/>
  <c r="J153" i="18" s="1"/>
  <c r="K153" i="18" s="1"/>
  <c r="G153" i="18"/>
  <c r="J152" i="18"/>
  <c r="I152" i="18"/>
  <c r="H152" i="18"/>
  <c r="G152" i="18"/>
  <c r="L151" i="18"/>
  <c r="M151" i="18" s="1"/>
  <c r="I151" i="18"/>
  <c r="H151" i="18"/>
  <c r="J151" i="18" s="1"/>
  <c r="K151" i="18" s="1"/>
  <c r="G151" i="18"/>
  <c r="L150" i="18"/>
  <c r="M150" i="18" s="1"/>
  <c r="K150" i="18"/>
  <c r="J150" i="18"/>
  <c r="H150" i="18"/>
  <c r="G150" i="18"/>
  <c r="I150" i="18" s="1"/>
  <c r="L149" i="18"/>
  <c r="M149" i="18" s="1"/>
  <c r="K149" i="18"/>
  <c r="J149" i="18"/>
  <c r="H149" i="18"/>
  <c r="G149" i="18"/>
  <c r="I149" i="18" s="1"/>
  <c r="L148" i="18"/>
  <c r="M148" i="18" s="1"/>
  <c r="K148" i="18"/>
  <c r="H148" i="18"/>
  <c r="J148" i="18" s="1"/>
  <c r="G148" i="18"/>
  <c r="D142" i="18"/>
  <c r="I141" i="18"/>
  <c r="H141" i="18"/>
  <c r="J141" i="18" s="1"/>
  <c r="G141" i="18"/>
  <c r="L140" i="18"/>
  <c r="M140" i="18" s="1"/>
  <c r="J140" i="18"/>
  <c r="K140" i="18" s="1"/>
  <c r="H140" i="18"/>
  <c r="G140" i="18"/>
  <c r="I140" i="18" s="1"/>
  <c r="M139" i="18"/>
  <c r="K139" i="18"/>
  <c r="J139" i="18"/>
  <c r="L139" i="18" s="1"/>
  <c r="I139" i="18"/>
  <c r="H139" i="18"/>
  <c r="G139" i="18"/>
  <c r="L138" i="18"/>
  <c r="M138" i="18" s="1"/>
  <c r="H138" i="18"/>
  <c r="J138" i="18" s="1"/>
  <c r="K138" i="18" s="1"/>
  <c r="G138" i="18"/>
  <c r="G142" i="18" s="1"/>
  <c r="K137" i="18"/>
  <c r="J137" i="18"/>
  <c r="L137" i="18" s="1"/>
  <c r="M137" i="18" s="1"/>
  <c r="I137" i="18"/>
  <c r="H137" i="18"/>
  <c r="G137" i="18"/>
  <c r="K136" i="18"/>
  <c r="I136" i="18"/>
  <c r="H136" i="18"/>
  <c r="J136" i="18" s="1"/>
  <c r="L136" i="18" s="1"/>
  <c r="M136" i="18" s="1"/>
  <c r="G136" i="18"/>
  <c r="J135" i="18"/>
  <c r="I135" i="18"/>
  <c r="H135" i="18"/>
  <c r="G135" i="18"/>
  <c r="I134" i="18"/>
  <c r="H134" i="18"/>
  <c r="J134" i="18" s="1"/>
  <c r="G134" i="18"/>
  <c r="L133" i="18"/>
  <c r="M133" i="18" s="1"/>
  <c r="K133" i="18"/>
  <c r="H133" i="18"/>
  <c r="J133" i="18" s="1"/>
  <c r="G133" i="18"/>
  <c r="I133" i="18" s="1"/>
  <c r="I132" i="18"/>
  <c r="H132" i="18"/>
  <c r="J132" i="18" s="1"/>
  <c r="G132" i="18"/>
  <c r="J131" i="18"/>
  <c r="I131" i="18"/>
  <c r="H131" i="18"/>
  <c r="G131" i="18"/>
  <c r="K130" i="18"/>
  <c r="I130" i="18"/>
  <c r="H130" i="18"/>
  <c r="J130" i="18" s="1"/>
  <c r="L130" i="18" s="1"/>
  <c r="M130" i="18" s="1"/>
  <c r="G130" i="18"/>
  <c r="K129" i="18"/>
  <c r="J129" i="18"/>
  <c r="L129" i="18" s="1"/>
  <c r="M129" i="18" s="1"/>
  <c r="H129" i="18"/>
  <c r="G129" i="18"/>
  <c r="I129" i="18" s="1"/>
  <c r="J128" i="18"/>
  <c r="L128" i="18" s="1"/>
  <c r="M128" i="18" s="1"/>
  <c r="H128" i="18"/>
  <c r="G128" i="18"/>
  <c r="I128" i="18" s="1"/>
  <c r="K127" i="18"/>
  <c r="H127" i="18"/>
  <c r="J127" i="18" s="1"/>
  <c r="L127" i="18" s="1"/>
  <c r="M127" i="18" s="1"/>
  <c r="G127" i="18"/>
  <c r="I127" i="18" s="1"/>
  <c r="I126" i="18"/>
  <c r="H126" i="18"/>
  <c r="J126" i="18" s="1"/>
  <c r="G126" i="18"/>
  <c r="D120" i="18"/>
  <c r="J119" i="18"/>
  <c r="H119" i="18"/>
  <c r="G119" i="18"/>
  <c r="I119" i="18" s="1"/>
  <c r="I118" i="18"/>
  <c r="H118" i="18"/>
  <c r="J118" i="18" s="1"/>
  <c r="G118" i="18"/>
  <c r="L117" i="18"/>
  <c r="M117" i="18" s="1"/>
  <c r="I117" i="18"/>
  <c r="H117" i="18"/>
  <c r="J117" i="18" s="1"/>
  <c r="K117" i="18" s="1"/>
  <c r="G117" i="18"/>
  <c r="I116" i="18"/>
  <c r="H116" i="18"/>
  <c r="J116" i="18" s="1"/>
  <c r="G116" i="18"/>
  <c r="H115" i="18"/>
  <c r="J115" i="18" s="1"/>
  <c r="G115" i="18"/>
  <c r="I115" i="18" s="1"/>
  <c r="M114" i="18"/>
  <c r="L114" i="18"/>
  <c r="J114" i="18"/>
  <c r="K114" i="18" s="1"/>
  <c r="I114" i="18"/>
  <c r="H114" i="18"/>
  <c r="G114" i="18"/>
  <c r="H113" i="18"/>
  <c r="J113" i="18" s="1"/>
  <c r="G113" i="18"/>
  <c r="I113" i="18" s="1"/>
  <c r="L112" i="18"/>
  <c r="M112" i="18" s="1"/>
  <c r="K112" i="18"/>
  <c r="H112" i="18"/>
  <c r="J112" i="18" s="1"/>
  <c r="G112" i="18"/>
  <c r="I112" i="18" s="1"/>
  <c r="J111" i="18"/>
  <c r="I111" i="18"/>
  <c r="H111" i="18"/>
  <c r="G111" i="18"/>
  <c r="I110" i="18"/>
  <c r="H110" i="18"/>
  <c r="J110" i="18" s="1"/>
  <c r="G110" i="18"/>
  <c r="L109" i="18"/>
  <c r="M109" i="18" s="1"/>
  <c r="I109" i="18"/>
  <c r="H109" i="18"/>
  <c r="J109" i="18" s="1"/>
  <c r="K109" i="18" s="1"/>
  <c r="G109" i="18"/>
  <c r="J108" i="18"/>
  <c r="I108" i="18"/>
  <c r="H108" i="18"/>
  <c r="G108" i="18"/>
  <c r="L107" i="18"/>
  <c r="M107" i="18" s="1"/>
  <c r="K107" i="18"/>
  <c r="J107" i="18"/>
  <c r="H107" i="18"/>
  <c r="G107" i="18"/>
  <c r="I107" i="18" s="1"/>
  <c r="J106" i="18"/>
  <c r="H106" i="18"/>
  <c r="G106" i="18"/>
  <c r="I106" i="18" s="1"/>
  <c r="M105" i="18"/>
  <c r="L105" i="18"/>
  <c r="I105" i="18"/>
  <c r="I120" i="18" s="1"/>
  <c r="L10" i="17" s="1"/>
  <c r="H105" i="18"/>
  <c r="J105" i="18" s="1"/>
  <c r="K105" i="18" s="1"/>
  <c r="G105" i="18"/>
  <c r="D99" i="18"/>
  <c r="J98" i="18"/>
  <c r="H98" i="18"/>
  <c r="G98" i="18"/>
  <c r="I98" i="18" s="1"/>
  <c r="M97" i="18"/>
  <c r="L97" i="18"/>
  <c r="K97" i="18"/>
  <c r="I97" i="18"/>
  <c r="H97" i="18"/>
  <c r="J97" i="18" s="1"/>
  <c r="G97" i="18"/>
  <c r="H96" i="18"/>
  <c r="J96" i="18" s="1"/>
  <c r="G96" i="18"/>
  <c r="I96" i="18" s="1"/>
  <c r="L95" i="18"/>
  <c r="M95" i="18" s="1"/>
  <c r="K95" i="18"/>
  <c r="I95" i="18"/>
  <c r="H95" i="18"/>
  <c r="J95" i="18" s="1"/>
  <c r="G95" i="18"/>
  <c r="D89" i="18"/>
  <c r="H88" i="18"/>
  <c r="J88" i="18" s="1"/>
  <c r="G88" i="18"/>
  <c r="I88" i="18" s="1"/>
  <c r="L87" i="18"/>
  <c r="M87" i="18" s="1"/>
  <c r="I87" i="18"/>
  <c r="H87" i="18"/>
  <c r="J87" i="18" s="1"/>
  <c r="K87" i="18" s="1"/>
  <c r="G87" i="18"/>
  <c r="L86" i="18"/>
  <c r="M86" i="18" s="1"/>
  <c r="K86" i="18"/>
  <c r="J86" i="18"/>
  <c r="H86" i="18"/>
  <c r="G86" i="18"/>
  <c r="I86" i="18" s="1"/>
  <c r="I85" i="18"/>
  <c r="H85" i="18"/>
  <c r="J85" i="18" s="1"/>
  <c r="G85" i="18"/>
  <c r="L84" i="18"/>
  <c r="M84" i="18" s="1"/>
  <c r="J84" i="18"/>
  <c r="K84" i="18" s="1"/>
  <c r="I84" i="18"/>
  <c r="H84" i="18"/>
  <c r="G84" i="18"/>
  <c r="J83" i="18"/>
  <c r="L83" i="18" s="1"/>
  <c r="M83" i="18" s="1"/>
  <c r="H83" i="18"/>
  <c r="G83" i="18"/>
  <c r="D77" i="18"/>
  <c r="J76" i="18"/>
  <c r="L76" i="18" s="1"/>
  <c r="M76" i="18" s="1"/>
  <c r="H76" i="18"/>
  <c r="G76" i="18"/>
  <c r="I76" i="18" s="1"/>
  <c r="J75" i="18"/>
  <c r="I75" i="18"/>
  <c r="H75" i="18"/>
  <c r="G75" i="18"/>
  <c r="L74" i="18"/>
  <c r="M74" i="18" s="1"/>
  <c r="J74" i="18"/>
  <c r="K74" i="18" s="1"/>
  <c r="I74" i="18"/>
  <c r="H74" i="18"/>
  <c r="G74" i="18"/>
  <c r="H73" i="18"/>
  <c r="J73" i="18" s="1"/>
  <c r="G73" i="18"/>
  <c r="I72" i="18"/>
  <c r="H72" i="18"/>
  <c r="J72" i="18" s="1"/>
  <c r="G72" i="18"/>
  <c r="J71" i="18"/>
  <c r="I71" i="18"/>
  <c r="H71" i="18"/>
  <c r="G71" i="18"/>
  <c r="I70" i="18"/>
  <c r="H70" i="18"/>
  <c r="J70" i="18" s="1"/>
  <c r="G70" i="18"/>
  <c r="J69" i="18"/>
  <c r="L69" i="18" s="1"/>
  <c r="M69" i="18" s="1"/>
  <c r="I69" i="18"/>
  <c r="H69" i="18"/>
  <c r="G69" i="18"/>
  <c r="D63" i="18"/>
  <c r="J62" i="18"/>
  <c r="H62" i="18"/>
  <c r="G62" i="18"/>
  <c r="I62" i="18" s="1"/>
  <c r="J61" i="18"/>
  <c r="L61" i="18" s="1"/>
  <c r="M61" i="18" s="1"/>
  <c r="I61" i="18"/>
  <c r="H61" i="18"/>
  <c r="G61" i="18"/>
  <c r="H60" i="18"/>
  <c r="J60" i="18" s="1"/>
  <c r="G60" i="18"/>
  <c r="I60" i="18" s="1"/>
  <c r="J59" i="18"/>
  <c r="H59" i="18"/>
  <c r="G59" i="18"/>
  <c r="I59" i="18" s="1"/>
  <c r="I58" i="18"/>
  <c r="H58" i="18"/>
  <c r="J58" i="18" s="1"/>
  <c r="G58" i="18"/>
  <c r="L57" i="18"/>
  <c r="M57" i="18" s="1"/>
  <c r="H57" i="18"/>
  <c r="J57" i="18" s="1"/>
  <c r="K57" i="18" s="1"/>
  <c r="G57" i="18"/>
  <c r="I57" i="18" s="1"/>
  <c r="H56" i="18"/>
  <c r="J56" i="18" s="1"/>
  <c r="G56" i="18"/>
  <c r="I56" i="18" s="1"/>
  <c r="H55" i="18"/>
  <c r="J55" i="18" s="1"/>
  <c r="L55" i="18" s="1"/>
  <c r="M55" i="18" s="1"/>
  <c r="G55" i="18"/>
  <c r="I55" i="18" s="1"/>
  <c r="K54" i="18"/>
  <c r="J54" i="18"/>
  <c r="L54" i="18" s="1"/>
  <c r="M54" i="18" s="1"/>
  <c r="I54" i="18"/>
  <c r="H54" i="18"/>
  <c r="G54" i="18"/>
  <c r="M53" i="18"/>
  <c r="L53" i="18"/>
  <c r="K53" i="18"/>
  <c r="J53" i="18"/>
  <c r="I53" i="18"/>
  <c r="H53" i="18"/>
  <c r="G53" i="18"/>
  <c r="H52" i="18"/>
  <c r="J52" i="18" s="1"/>
  <c r="G52" i="18"/>
  <c r="I52" i="18" s="1"/>
  <c r="K51" i="18"/>
  <c r="J51" i="18"/>
  <c r="L51" i="18" s="1"/>
  <c r="M51" i="18" s="1"/>
  <c r="H51" i="18"/>
  <c r="G51" i="18"/>
  <c r="D45" i="18"/>
  <c r="I44" i="18"/>
  <c r="H44" i="18"/>
  <c r="J44" i="18" s="1"/>
  <c r="K44" i="18" s="1"/>
  <c r="G44" i="18"/>
  <c r="J43" i="18"/>
  <c r="H43" i="18"/>
  <c r="G43" i="18"/>
  <c r="I43" i="18" s="1"/>
  <c r="L42" i="18"/>
  <c r="M42" i="18" s="1"/>
  <c r="K42" i="18"/>
  <c r="J42" i="18"/>
  <c r="I42" i="18"/>
  <c r="H42" i="18"/>
  <c r="G42" i="18"/>
  <c r="J41" i="18"/>
  <c r="K41" i="18" s="1"/>
  <c r="I41" i="18"/>
  <c r="H41" i="18"/>
  <c r="G41" i="18"/>
  <c r="L40" i="18"/>
  <c r="M40" i="18" s="1"/>
  <c r="K40" i="18"/>
  <c r="J40" i="18"/>
  <c r="H40" i="18"/>
  <c r="G40" i="18"/>
  <c r="G34" i="18"/>
  <c r="D34" i="18"/>
  <c r="I33" i="18"/>
  <c r="H33" i="18"/>
  <c r="J33" i="18" s="1"/>
  <c r="G33" i="18"/>
  <c r="J32" i="18"/>
  <c r="I32" i="18"/>
  <c r="H32" i="18"/>
  <c r="G32" i="18"/>
  <c r="I31" i="18"/>
  <c r="H31" i="18"/>
  <c r="J31" i="18" s="1"/>
  <c r="G31" i="18"/>
  <c r="D25" i="18"/>
  <c r="J24" i="18"/>
  <c r="I24" i="18"/>
  <c r="H24" i="18"/>
  <c r="G24" i="18"/>
  <c r="H23" i="18"/>
  <c r="J23" i="18" s="1"/>
  <c r="G23" i="18"/>
  <c r="I23" i="18" s="1"/>
  <c r="L22" i="18"/>
  <c r="M22" i="18" s="1"/>
  <c r="H22" i="18"/>
  <c r="J22" i="18" s="1"/>
  <c r="K22" i="18" s="1"/>
  <c r="G22" i="18"/>
  <c r="I22" i="18" s="1"/>
  <c r="L21" i="18"/>
  <c r="M21" i="18" s="1"/>
  <c r="H21" i="18"/>
  <c r="J21" i="18" s="1"/>
  <c r="K21" i="18" s="1"/>
  <c r="G21" i="18"/>
  <c r="I21" i="18" s="1"/>
  <c r="J20" i="18"/>
  <c r="I20" i="18"/>
  <c r="H20" i="18"/>
  <c r="G20" i="18"/>
  <c r="K19" i="18"/>
  <c r="J19" i="18"/>
  <c r="L19" i="18" s="1"/>
  <c r="M19" i="18" s="1"/>
  <c r="H19" i="18"/>
  <c r="G19" i="18"/>
  <c r="I19" i="18" s="1"/>
  <c r="I18" i="18"/>
  <c r="H18" i="18"/>
  <c r="J18" i="18" s="1"/>
  <c r="G18" i="18"/>
  <c r="L17" i="18"/>
  <c r="M17" i="18" s="1"/>
  <c r="K17" i="18"/>
  <c r="J17" i="18"/>
  <c r="H17" i="18"/>
  <c r="G17" i="18"/>
  <c r="I17" i="18" s="1"/>
  <c r="K16" i="18"/>
  <c r="J16" i="18"/>
  <c r="L16" i="18" s="1"/>
  <c r="M16" i="18" s="1"/>
  <c r="I16" i="18"/>
  <c r="H16" i="18"/>
  <c r="G16" i="18"/>
  <c r="I15" i="18"/>
  <c r="H15" i="18"/>
  <c r="J15" i="18" s="1"/>
  <c r="K15" i="18" s="1"/>
  <c r="G15" i="18"/>
  <c r="N33" i="17"/>
  <c r="K33" i="17"/>
  <c r="J33" i="17"/>
  <c r="I33" i="17"/>
  <c r="H33" i="17"/>
  <c r="G33" i="17"/>
  <c r="F33" i="17"/>
  <c r="B33" i="17"/>
  <c r="M30" i="17"/>
  <c r="E30" i="17"/>
  <c r="D30" i="17"/>
  <c r="C30" i="17"/>
  <c r="M29" i="17"/>
  <c r="C29" i="17"/>
  <c r="D29" i="17" s="1"/>
  <c r="E29" i="17" s="1"/>
  <c r="M28" i="17"/>
  <c r="C28" i="17"/>
  <c r="D28" i="17" s="1"/>
  <c r="E28" i="17" s="1"/>
  <c r="M27" i="17"/>
  <c r="L27" i="17"/>
  <c r="D27" i="17"/>
  <c r="E27" i="17" s="1"/>
  <c r="M26" i="17"/>
  <c r="L26" i="17"/>
  <c r="C26" i="17"/>
  <c r="D26" i="17" s="1"/>
  <c r="E26" i="17" s="1"/>
  <c r="M25" i="17"/>
  <c r="E25" i="17"/>
  <c r="D25" i="17"/>
  <c r="C25" i="17"/>
  <c r="M24" i="17"/>
  <c r="C24" i="17"/>
  <c r="D24" i="17" s="1"/>
  <c r="E24" i="17" s="1"/>
  <c r="M23" i="17"/>
  <c r="E23" i="17"/>
  <c r="C23" i="17"/>
  <c r="D23" i="17" s="1"/>
  <c r="M22" i="17"/>
  <c r="E22" i="17"/>
  <c r="C22" i="17"/>
  <c r="D22" i="17" s="1"/>
  <c r="M21" i="17"/>
  <c r="D21" i="17"/>
  <c r="E21" i="17" s="1"/>
  <c r="C21" i="17"/>
  <c r="M20" i="17"/>
  <c r="D20" i="17"/>
  <c r="E20" i="17" s="1"/>
  <c r="C20" i="17"/>
  <c r="M19" i="17"/>
  <c r="E19" i="17"/>
  <c r="D19" i="17"/>
  <c r="C19" i="17"/>
  <c r="M18" i="17"/>
  <c r="E18" i="17"/>
  <c r="M17" i="17"/>
  <c r="D17" i="17"/>
  <c r="E17" i="17" s="1"/>
  <c r="C17" i="17"/>
  <c r="M16" i="17"/>
  <c r="E16" i="17"/>
  <c r="D16" i="17"/>
  <c r="C16" i="17"/>
  <c r="M15" i="17"/>
  <c r="E15" i="17"/>
  <c r="D15" i="17"/>
  <c r="C15" i="17"/>
  <c r="M14" i="17"/>
  <c r="C14" i="17"/>
  <c r="D14" i="17" s="1"/>
  <c r="E14" i="17" s="1"/>
  <c r="M13" i="17"/>
  <c r="C13" i="17"/>
  <c r="D13" i="17" s="1"/>
  <c r="E13" i="17" s="1"/>
  <c r="M12" i="17"/>
  <c r="M11" i="17"/>
  <c r="D11" i="17"/>
  <c r="E11" i="17" s="1"/>
  <c r="M10" i="17"/>
  <c r="E10" i="17"/>
  <c r="D10" i="17"/>
  <c r="C10" i="17"/>
  <c r="M9" i="17"/>
  <c r="C9" i="17"/>
  <c r="D9" i="17" s="1"/>
  <c r="E9" i="17" s="1"/>
  <c r="M8" i="17"/>
  <c r="D8" i="17"/>
  <c r="E8" i="17" s="1"/>
  <c r="C8" i="17"/>
  <c r="M7" i="17"/>
  <c r="C7" i="17"/>
  <c r="D7" i="17" s="1"/>
  <c r="E7" i="17" s="1"/>
  <c r="M6" i="17"/>
  <c r="C6" i="17"/>
  <c r="D6" i="17" s="1"/>
  <c r="E6" i="17" s="1"/>
  <c r="M5" i="17"/>
  <c r="C5" i="17"/>
  <c r="D5" i="17" s="1"/>
  <c r="E5" i="17" s="1"/>
  <c r="M4" i="17"/>
  <c r="M3" i="17"/>
  <c r="D3" i="17"/>
  <c r="C3" i="17"/>
  <c r="L68" i="16"/>
  <c r="K68" i="16"/>
  <c r="H68" i="16"/>
  <c r="E68" i="16"/>
  <c r="C68" i="16" a="1"/>
  <c r="C68" i="16"/>
  <c r="L56" i="16"/>
  <c r="K56" i="16"/>
  <c r="H56" i="16"/>
  <c r="E56" i="16"/>
  <c r="C56" i="16" a="1"/>
  <c r="C56" i="16" s="1"/>
  <c r="K43" i="16"/>
  <c r="E43" i="16"/>
  <c r="C43" i="16" a="1"/>
  <c r="C43" i="16" s="1"/>
  <c r="L37" i="16"/>
  <c r="J37" i="16"/>
  <c r="L34" i="16"/>
  <c r="G34" i="16"/>
  <c r="L33" i="16"/>
  <c r="H33" i="16"/>
  <c r="L32" i="16"/>
  <c r="H32" i="16"/>
  <c r="G32" i="16"/>
  <c r="L31" i="16"/>
  <c r="H31" i="16"/>
  <c r="G31" i="16"/>
  <c r="L30" i="16"/>
  <c r="G30" i="16"/>
  <c r="H30" i="16" s="1"/>
  <c r="L29" i="16"/>
  <c r="L43" i="16" s="1"/>
  <c r="H29" i="16"/>
  <c r="H43" i="16" s="1"/>
  <c r="G29" i="16"/>
  <c r="L22" i="16"/>
  <c r="K22" i="16"/>
  <c r="E22" i="16"/>
  <c r="C22" i="16" a="1"/>
  <c r="C22" i="16" s="1"/>
  <c r="E7" i="16"/>
  <c r="E55" i="15"/>
  <c r="C55" i="15" a="1"/>
  <c r="C55" i="15" s="1"/>
  <c r="E6" i="13" s="1"/>
  <c r="K54" i="15"/>
  <c r="L54" i="15" s="1"/>
  <c r="I54" i="15"/>
  <c r="J54" i="15" s="1"/>
  <c r="H54" i="15"/>
  <c r="G54" i="15"/>
  <c r="K53" i="15"/>
  <c r="L53" i="15" s="1"/>
  <c r="J53" i="15"/>
  <c r="H53" i="15"/>
  <c r="G53" i="15"/>
  <c r="I53" i="15" s="1"/>
  <c r="G52" i="15"/>
  <c r="J51" i="15"/>
  <c r="H51" i="15"/>
  <c r="G51" i="15"/>
  <c r="I51" i="15" s="1"/>
  <c r="K51" i="15" s="1"/>
  <c r="L51" i="15" s="1"/>
  <c r="G50" i="15"/>
  <c r="E43" i="15"/>
  <c r="C43" i="15" a="1"/>
  <c r="C43" i="15" s="1"/>
  <c r="J42" i="15"/>
  <c r="I42" i="15"/>
  <c r="K42" i="15" s="1"/>
  <c r="L42" i="15" s="1"/>
  <c r="H42" i="15"/>
  <c r="G42" i="15"/>
  <c r="I41" i="15"/>
  <c r="K41" i="15" s="1"/>
  <c r="L41" i="15" s="1"/>
  <c r="H41" i="15"/>
  <c r="G41" i="15"/>
  <c r="K40" i="15"/>
  <c r="L40" i="15" s="1"/>
  <c r="I40" i="15"/>
  <c r="J40" i="15" s="1"/>
  <c r="H40" i="15"/>
  <c r="G40" i="15"/>
  <c r="J39" i="15"/>
  <c r="I39" i="15"/>
  <c r="K39" i="15" s="1"/>
  <c r="L39" i="15" s="1"/>
  <c r="H39" i="15"/>
  <c r="H43" i="15" s="1"/>
  <c r="G39" i="15"/>
  <c r="I38" i="15"/>
  <c r="H38" i="15"/>
  <c r="G38" i="15"/>
  <c r="E31" i="15"/>
  <c r="C31" i="15" a="1"/>
  <c r="C31" i="15" s="1"/>
  <c r="E4" i="13" s="1"/>
  <c r="I30" i="15"/>
  <c r="H30" i="15"/>
  <c r="G30" i="15"/>
  <c r="K29" i="15"/>
  <c r="L29" i="15" s="1"/>
  <c r="H29" i="15"/>
  <c r="G29" i="15"/>
  <c r="I29" i="15" s="1"/>
  <c r="J29" i="15" s="1"/>
  <c r="H28" i="15"/>
  <c r="G28" i="15"/>
  <c r="I28" i="15" s="1"/>
  <c r="L27" i="15"/>
  <c r="K27" i="15"/>
  <c r="J27" i="15"/>
  <c r="I27" i="15"/>
  <c r="H27" i="15"/>
  <c r="G27" i="15"/>
  <c r="G26" i="15"/>
  <c r="H26" i="15" s="1"/>
  <c r="E18" i="15"/>
  <c r="C18" i="15" a="1"/>
  <c r="C18" i="15"/>
  <c r="E3" i="13" s="1"/>
  <c r="E9" i="13" s="1"/>
  <c r="G17" i="15"/>
  <c r="I16" i="15"/>
  <c r="K16" i="15" s="1"/>
  <c r="L16" i="15" s="1"/>
  <c r="H16" i="15"/>
  <c r="G16" i="15"/>
  <c r="K15" i="15"/>
  <c r="L15" i="15" s="1"/>
  <c r="J15" i="15"/>
  <c r="H15" i="15"/>
  <c r="G15" i="15"/>
  <c r="I15" i="15" s="1"/>
  <c r="K14" i="15"/>
  <c r="L14" i="15" s="1"/>
  <c r="H14" i="15"/>
  <c r="G14" i="15"/>
  <c r="I14" i="15" s="1"/>
  <c r="J14" i="15" s="1"/>
  <c r="K13" i="15"/>
  <c r="L13" i="15" s="1"/>
  <c r="J13" i="15"/>
  <c r="G13" i="15"/>
  <c r="I13" i="15" s="1"/>
  <c r="D7" i="15"/>
  <c r="K5" i="15"/>
  <c r="E397" i="14"/>
  <c r="D397" i="14"/>
  <c r="M396" i="14"/>
  <c r="H396" i="14"/>
  <c r="J396" i="14" s="1"/>
  <c r="K396" i="14" s="1"/>
  <c r="G396" i="14"/>
  <c r="I396" i="14" s="1"/>
  <c r="M395" i="14"/>
  <c r="J395" i="14"/>
  <c r="K395" i="14" s="1"/>
  <c r="I395" i="14"/>
  <c r="H395" i="14"/>
  <c r="G395" i="14"/>
  <c r="M394" i="14"/>
  <c r="J394" i="14"/>
  <c r="K394" i="14" s="1"/>
  <c r="H394" i="14"/>
  <c r="G394" i="14"/>
  <c r="I394" i="14" s="1"/>
  <c r="M393" i="14"/>
  <c r="K393" i="14"/>
  <c r="I393" i="14"/>
  <c r="H393" i="14"/>
  <c r="J393" i="14" s="1"/>
  <c r="G393" i="14"/>
  <c r="M392" i="14"/>
  <c r="H392" i="14"/>
  <c r="J392" i="14" s="1"/>
  <c r="K392" i="14" s="1"/>
  <c r="G392" i="14"/>
  <c r="I392" i="14" s="1"/>
  <c r="M391" i="14"/>
  <c r="J391" i="14"/>
  <c r="K391" i="14" s="1"/>
  <c r="H391" i="14"/>
  <c r="G391" i="14"/>
  <c r="I391" i="14" s="1"/>
  <c r="M390" i="14"/>
  <c r="J390" i="14"/>
  <c r="K390" i="14" s="1"/>
  <c r="H390" i="14"/>
  <c r="G390" i="14"/>
  <c r="I390" i="14" s="1"/>
  <c r="M389" i="14"/>
  <c r="J389" i="14"/>
  <c r="K389" i="14" s="1"/>
  <c r="I389" i="14"/>
  <c r="H389" i="14"/>
  <c r="G389" i="14"/>
  <c r="M388" i="14"/>
  <c r="H388" i="14"/>
  <c r="J388" i="14" s="1"/>
  <c r="K388" i="14" s="1"/>
  <c r="G388" i="14"/>
  <c r="I388" i="14" s="1"/>
  <c r="M387" i="14"/>
  <c r="K387" i="14"/>
  <c r="J387" i="14"/>
  <c r="H387" i="14"/>
  <c r="G387" i="14"/>
  <c r="I387" i="14" s="1"/>
  <c r="M386" i="14"/>
  <c r="H386" i="14"/>
  <c r="J386" i="14" s="1"/>
  <c r="K386" i="14" s="1"/>
  <c r="G386" i="14"/>
  <c r="I386" i="14" s="1"/>
  <c r="M385" i="14"/>
  <c r="J385" i="14"/>
  <c r="K385" i="14" s="1"/>
  <c r="I385" i="14"/>
  <c r="H385" i="14"/>
  <c r="G385" i="14"/>
  <c r="M384" i="14"/>
  <c r="J384" i="14"/>
  <c r="K384" i="14" s="1"/>
  <c r="H384" i="14"/>
  <c r="G384" i="14"/>
  <c r="I384" i="14" s="1"/>
  <c r="M383" i="14"/>
  <c r="K383" i="14"/>
  <c r="J383" i="14"/>
  <c r="I383" i="14"/>
  <c r="H383" i="14"/>
  <c r="G383" i="14"/>
  <c r="M382" i="14"/>
  <c r="H382" i="14"/>
  <c r="J382" i="14" s="1"/>
  <c r="K382" i="14" s="1"/>
  <c r="G382" i="14"/>
  <c r="I382" i="14" s="1"/>
  <c r="M381" i="14"/>
  <c r="H381" i="14"/>
  <c r="J381" i="14" s="1"/>
  <c r="K381" i="14" s="1"/>
  <c r="G381" i="14"/>
  <c r="I381" i="14" s="1"/>
  <c r="M380" i="14"/>
  <c r="K380" i="14"/>
  <c r="H380" i="14"/>
  <c r="J380" i="14" s="1"/>
  <c r="G380" i="14"/>
  <c r="I380" i="14" s="1"/>
  <c r="M379" i="14"/>
  <c r="H379" i="14"/>
  <c r="J379" i="14" s="1"/>
  <c r="K379" i="14" s="1"/>
  <c r="G379" i="14"/>
  <c r="I379" i="14" s="1"/>
  <c r="M378" i="14"/>
  <c r="H378" i="14"/>
  <c r="J378" i="14" s="1"/>
  <c r="K378" i="14" s="1"/>
  <c r="G378" i="14"/>
  <c r="I378" i="14" s="1"/>
  <c r="M377" i="14"/>
  <c r="J377" i="14"/>
  <c r="K377" i="14" s="1"/>
  <c r="I377" i="14"/>
  <c r="H377" i="14"/>
  <c r="G377" i="14"/>
  <c r="M376" i="14"/>
  <c r="J376" i="14"/>
  <c r="K376" i="14" s="1"/>
  <c r="H376" i="14"/>
  <c r="G376" i="14"/>
  <c r="I376" i="14" s="1"/>
  <c r="M375" i="14"/>
  <c r="H375" i="14"/>
  <c r="J375" i="14" s="1"/>
  <c r="K375" i="14" s="1"/>
  <c r="G375" i="14"/>
  <c r="I375" i="14" s="1"/>
  <c r="M374" i="14"/>
  <c r="H374" i="14"/>
  <c r="J374" i="14" s="1"/>
  <c r="K374" i="14" s="1"/>
  <c r="G374" i="14"/>
  <c r="I374" i="14" s="1"/>
  <c r="M373" i="14"/>
  <c r="J373" i="14"/>
  <c r="K373" i="14" s="1"/>
  <c r="H373" i="14"/>
  <c r="G373" i="14"/>
  <c r="I373" i="14" s="1"/>
  <c r="M372" i="14"/>
  <c r="K372" i="14"/>
  <c r="H372" i="14"/>
  <c r="J372" i="14" s="1"/>
  <c r="G372" i="14"/>
  <c r="I372" i="14" s="1"/>
  <c r="M371" i="14"/>
  <c r="K371" i="14"/>
  <c r="J371" i="14"/>
  <c r="I371" i="14"/>
  <c r="H371" i="14"/>
  <c r="G371" i="14"/>
  <c r="M370" i="14"/>
  <c r="J370" i="14"/>
  <c r="K370" i="14" s="1"/>
  <c r="H370" i="14"/>
  <c r="G370" i="14"/>
  <c r="I370" i="14" s="1"/>
  <c r="M369" i="14"/>
  <c r="J369" i="14"/>
  <c r="K369" i="14" s="1"/>
  <c r="I369" i="14"/>
  <c r="H369" i="14"/>
  <c r="G369" i="14"/>
  <c r="M368" i="14"/>
  <c r="H368" i="14"/>
  <c r="J368" i="14" s="1"/>
  <c r="K368" i="14" s="1"/>
  <c r="G368" i="14"/>
  <c r="I368" i="14" s="1"/>
  <c r="M367" i="14"/>
  <c r="H367" i="14"/>
  <c r="J367" i="14" s="1"/>
  <c r="K367" i="14" s="1"/>
  <c r="G367" i="14"/>
  <c r="I367" i="14" s="1"/>
  <c r="M366" i="14"/>
  <c r="K366" i="14"/>
  <c r="H366" i="14"/>
  <c r="J366" i="14" s="1"/>
  <c r="G366" i="14"/>
  <c r="I366" i="14" s="1"/>
  <c r="M365" i="14"/>
  <c r="H365" i="14"/>
  <c r="J365" i="14" s="1"/>
  <c r="K365" i="14" s="1"/>
  <c r="G365" i="14"/>
  <c r="I365" i="14" s="1"/>
  <c r="M364" i="14"/>
  <c r="J364" i="14"/>
  <c r="K364" i="14" s="1"/>
  <c r="H364" i="14"/>
  <c r="G364" i="14"/>
  <c r="I364" i="14" s="1"/>
  <c r="M363" i="14"/>
  <c r="K363" i="14"/>
  <c r="I363" i="14"/>
  <c r="H363" i="14"/>
  <c r="J363" i="14" s="1"/>
  <c r="G363" i="14"/>
  <c r="M362" i="14"/>
  <c r="H362" i="14"/>
  <c r="J362" i="14" s="1"/>
  <c r="K362" i="14" s="1"/>
  <c r="G362" i="14"/>
  <c r="I362" i="14" s="1"/>
  <c r="M361" i="14"/>
  <c r="K361" i="14"/>
  <c r="J361" i="14"/>
  <c r="H361" i="14"/>
  <c r="G361" i="14"/>
  <c r="I361" i="14" s="1"/>
  <c r="M360" i="14"/>
  <c r="J360" i="14"/>
  <c r="K360" i="14" s="1"/>
  <c r="H360" i="14"/>
  <c r="G360" i="14"/>
  <c r="I360" i="14" s="1"/>
  <c r="M359" i="14"/>
  <c r="J359" i="14"/>
  <c r="K359" i="14" s="1"/>
  <c r="I359" i="14"/>
  <c r="H359" i="14"/>
  <c r="G359" i="14"/>
  <c r="M358" i="14"/>
  <c r="H358" i="14"/>
  <c r="J358" i="14" s="1"/>
  <c r="K358" i="14" s="1"/>
  <c r="G358" i="14"/>
  <c r="I358" i="14" s="1"/>
  <c r="M357" i="14"/>
  <c r="J357" i="14"/>
  <c r="K357" i="14" s="1"/>
  <c r="I357" i="14"/>
  <c r="H357" i="14"/>
  <c r="G357" i="14"/>
  <c r="M356" i="14"/>
  <c r="H356" i="14"/>
  <c r="J356" i="14" s="1"/>
  <c r="K356" i="14" s="1"/>
  <c r="G356" i="14"/>
  <c r="I356" i="14" s="1"/>
  <c r="M355" i="14"/>
  <c r="J355" i="14"/>
  <c r="K355" i="14" s="1"/>
  <c r="I355" i="14"/>
  <c r="H355" i="14"/>
  <c r="G355" i="14"/>
  <c r="M354" i="14"/>
  <c r="H354" i="14"/>
  <c r="J354" i="14" s="1"/>
  <c r="K354" i="14" s="1"/>
  <c r="G354" i="14"/>
  <c r="I354" i="14" s="1"/>
  <c r="M353" i="14"/>
  <c r="J353" i="14"/>
  <c r="K353" i="14" s="1"/>
  <c r="I353" i="14"/>
  <c r="H353" i="14"/>
  <c r="G353" i="14"/>
  <c r="M352" i="14"/>
  <c r="K352" i="14"/>
  <c r="J352" i="14"/>
  <c r="H352" i="14"/>
  <c r="G352" i="14"/>
  <c r="I352" i="14" s="1"/>
  <c r="M351" i="14"/>
  <c r="H351" i="14"/>
  <c r="J351" i="14" s="1"/>
  <c r="K351" i="14" s="1"/>
  <c r="G351" i="14"/>
  <c r="E346" i="14"/>
  <c r="G5" i="13" s="1"/>
  <c r="D346" i="14"/>
  <c r="M345" i="14"/>
  <c r="J345" i="14"/>
  <c r="K345" i="14" s="1"/>
  <c r="I345" i="14"/>
  <c r="H345" i="14"/>
  <c r="G345" i="14"/>
  <c r="M344" i="14"/>
  <c r="K344" i="14"/>
  <c r="J344" i="14"/>
  <c r="H344" i="14"/>
  <c r="I344" i="14" s="1"/>
  <c r="G344" i="14"/>
  <c r="M343" i="14"/>
  <c r="J343" i="14"/>
  <c r="K343" i="14" s="1"/>
  <c r="I343" i="14"/>
  <c r="H343" i="14"/>
  <c r="G343" i="14"/>
  <c r="M342" i="14"/>
  <c r="I342" i="14"/>
  <c r="H342" i="14"/>
  <c r="J342" i="14" s="1"/>
  <c r="K342" i="14" s="1"/>
  <c r="G342" i="14"/>
  <c r="M341" i="14"/>
  <c r="J341" i="14"/>
  <c r="K341" i="14" s="1"/>
  <c r="I341" i="14"/>
  <c r="H341" i="14"/>
  <c r="G341" i="14"/>
  <c r="M340" i="14"/>
  <c r="H340" i="14"/>
  <c r="J340" i="14" s="1"/>
  <c r="K340" i="14" s="1"/>
  <c r="G340" i="14"/>
  <c r="M339" i="14"/>
  <c r="J339" i="14"/>
  <c r="K339" i="14" s="1"/>
  <c r="I339" i="14"/>
  <c r="H339" i="14"/>
  <c r="G339" i="14"/>
  <c r="M338" i="14"/>
  <c r="H338" i="14"/>
  <c r="G338" i="14"/>
  <c r="M337" i="14"/>
  <c r="J337" i="14"/>
  <c r="K337" i="14" s="1"/>
  <c r="I337" i="14"/>
  <c r="H337" i="14"/>
  <c r="G337" i="14"/>
  <c r="M336" i="14"/>
  <c r="J336" i="14"/>
  <c r="K336" i="14" s="1"/>
  <c r="H336" i="14"/>
  <c r="I336" i="14" s="1"/>
  <c r="G336" i="14"/>
  <c r="M335" i="14"/>
  <c r="J335" i="14"/>
  <c r="K335" i="14" s="1"/>
  <c r="I335" i="14"/>
  <c r="H335" i="14"/>
  <c r="G335" i="14"/>
  <c r="M334" i="14"/>
  <c r="J334" i="14"/>
  <c r="K334" i="14" s="1"/>
  <c r="I334" i="14"/>
  <c r="H334" i="14"/>
  <c r="G334" i="14"/>
  <c r="M333" i="14"/>
  <c r="J333" i="14"/>
  <c r="K333" i="14" s="1"/>
  <c r="I333" i="14"/>
  <c r="H333" i="14"/>
  <c r="G333" i="14"/>
  <c r="M332" i="14"/>
  <c r="H332" i="14"/>
  <c r="G332" i="14"/>
  <c r="M331" i="14"/>
  <c r="J331" i="14"/>
  <c r="K331" i="14" s="1"/>
  <c r="I331" i="14"/>
  <c r="H331" i="14"/>
  <c r="G331" i="14"/>
  <c r="L330" i="14"/>
  <c r="M330" i="14" s="1"/>
  <c r="J330" i="14"/>
  <c r="K330" i="14" s="1"/>
  <c r="I330" i="14"/>
  <c r="H330" i="14"/>
  <c r="G330" i="14"/>
  <c r="H329" i="14"/>
  <c r="G329" i="14"/>
  <c r="L328" i="14"/>
  <c r="M328" i="14" s="1"/>
  <c r="H328" i="14"/>
  <c r="J328" i="14" s="1"/>
  <c r="K328" i="14" s="1"/>
  <c r="G328" i="14"/>
  <c r="H327" i="14"/>
  <c r="G327" i="14"/>
  <c r="M326" i="14"/>
  <c r="J326" i="14"/>
  <c r="K326" i="14" s="1"/>
  <c r="H326" i="14"/>
  <c r="L326" i="14" s="1"/>
  <c r="G326" i="14"/>
  <c r="H325" i="14"/>
  <c r="G325" i="14"/>
  <c r="M324" i="14"/>
  <c r="L324" i="14"/>
  <c r="K324" i="14"/>
  <c r="J324" i="14"/>
  <c r="H324" i="14"/>
  <c r="I324" i="14" s="1"/>
  <c r="G324" i="14"/>
  <c r="J323" i="14"/>
  <c r="K323" i="14" s="1"/>
  <c r="H323" i="14"/>
  <c r="G323" i="14"/>
  <c r="M322" i="14"/>
  <c r="L322" i="14"/>
  <c r="K322" i="14"/>
  <c r="J322" i="14"/>
  <c r="I322" i="14"/>
  <c r="H322" i="14"/>
  <c r="G322" i="14"/>
  <c r="I321" i="14"/>
  <c r="H321" i="14"/>
  <c r="G321" i="14"/>
  <c r="L320" i="14"/>
  <c r="M320" i="14" s="1"/>
  <c r="J320" i="14"/>
  <c r="K320" i="14" s="1"/>
  <c r="H320" i="14"/>
  <c r="I320" i="14" s="1"/>
  <c r="G320" i="14"/>
  <c r="H319" i="14"/>
  <c r="L319" i="14" s="1"/>
  <c r="M319" i="14" s="1"/>
  <c r="G319" i="14"/>
  <c r="L318" i="14"/>
  <c r="M318" i="14" s="1"/>
  <c r="K318" i="14"/>
  <c r="J318" i="14"/>
  <c r="I318" i="14"/>
  <c r="H318" i="14"/>
  <c r="G318" i="14"/>
  <c r="H317" i="14"/>
  <c r="J317" i="14" s="1"/>
  <c r="K317" i="14" s="1"/>
  <c r="G317" i="14"/>
  <c r="H316" i="14"/>
  <c r="G316" i="14"/>
  <c r="K315" i="14"/>
  <c r="J315" i="14"/>
  <c r="H315" i="14"/>
  <c r="L315" i="14" s="1"/>
  <c r="M315" i="14" s="1"/>
  <c r="G315" i="14"/>
  <c r="H314" i="14"/>
  <c r="G314" i="14"/>
  <c r="H313" i="14"/>
  <c r="G313" i="14"/>
  <c r="M312" i="14"/>
  <c r="L312" i="14"/>
  <c r="H312" i="14"/>
  <c r="J312" i="14" s="1"/>
  <c r="K312" i="14" s="1"/>
  <c r="G312" i="14"/>
  <c r="L311" i="14"/>
  <c r="M311" i="14" s="1"/>
  <c r="J311" i="14"/>
  <c r="K311" i="14" s="1"/>
  <c r="H311" i="14"/>
  <c r="I311" i="14" s="1"/>
  <c r="G311" i="14"/>
  <c r="M310" i="14"/>
  <c r="H310" i="14"/>
  <c r="L310" i="14" s="1"/>
  <c r="G310" i="14"/>
  <c r="H309" i="14"/>
  <c r="G309" i="14"/>
  <c r="M308" i="14"/>
  <c r="J308" i="14"/>
  <c r="K308" i="14" s="1"/>
  <c r="H308" i="14"/>
  <c r="L308" i="14" s="1"/>
  <c r="G308" i="14"/>
  <c r="H307" i="14"/>
  <c r="G307" i="14"/>
  <c r="M306" i="14"/>
  <c r="L306" i="14"/>
  <c r="K306" i="14"/>
  <c r="J306" i="14"/>
  <c r="I306" i="14"/>
  <c r="H306" i="14"/>
  <c r="G306" i="14"/>
  <c r="I305" i="14"/>
  <c r="H305" i="14"/>
  <c r="G305" i="14"/>
  <c r="L304" i="14"/>
  <c r="M304" i="14" s="1"/>
  <c r="K304" i="14"/>
  <c r="I304" i="14"/>
  <c r="H304" i="14"/>
  <c r="J304" i="14" s="1"/>
  <c r="G304" i="14"/>
  <c r="H303" i="14"/>
  <c r="G303" i="14"/>
  <c r="J302" i="14"/>
  <c r="K302" i="14" s="1"/>
  <c r="H302" i="14"/>
  <c r="L302" i="14" s="1"/>
  <c r="M302" i="14" s="1"/>
  <c r="G302" i="14"/>
  <c r="H301" i="14"/>
  <c r="G301" i="14"/>
  <c r="L300" i="14"/>
  <c r="M300" i="14" s="1"/>
  <c r="J300" i="14"/>
  <c r="K300" i="14" s="1"/>
  <c r="H300" i="14"/>
  <c r="I300" i="14" s="1"/>
  <c r="G300" i="14"/>
  <c r="L299" i="14"/>
  <c r="M299" i="14" s="1"/>
  <c r="H299" i="14"/>
  <c r="G299" i="14"/>
  <c r="M298" i="14"/>
  <c r="L298" i="14"/>
  <c r="K298" i="14"/>
  <c r="I298" i="14"/>
  <c r="H298" i="14"/>
  <c r="J298" i="14" s="1"/>
  <c r="G298" i="14"/>
  <c r="H297" i="14"/>
  <c r="G297" i="14"/>
  <c r="M296" i="14"/>
  <c r="L296" i="14"/>
  <c r="J296" i="14"/>
  <c r="K296" i="14" s="1"/>
  <c r="I296" i="14"/>
  <c r="H296" i="14"/>
  <c r="G296" i="14"/>
  <c r="H295" i="14"/>
  <c r="G295" i="14"/>
  <c r="M294" i="14"/>
  <c r="L294" i="14"/>
  <c r="J294" i="14"/>
  <c r="K294" i="14" s="1"/>
  <c r="I294" i="14"/>
  <c r="H294" i="14"/>
  <c r="G294" i="14"/>
  <c r="J293" i="14"/>
  <c r="K293" i="14" s="1"/>
  <c r="H293" i="14"/>
  <c r="G293" i="14"/>
  <c r="L292" i="14"/>
  <c r="M292" i="14" s="1"/>
  <c r="K292" i="14"/>
  <c r="H292" i="14"/>
  <c r="J292" i="14" s="1"/>
  <c r="G292" i="14"/>
  <c r="M291" i="14"/>
  <c r="L291" i="14"/>
  <c r="K291" i="14"/>
  <c r="J291" i="14"/>
  <c r="I291" i="14"/>
  <c r="H291" i="14"/>
  <c r="G291" i="14"/>
  <c r="E286" i="14"/>
  <c r="D286" i="14"/>
  <c r="L285" i="14"/>
  <c r="M285" i="14" s="1"/>
  <c r="K285" i="14"/>
  <c r="J285" i="14"/>
  <c r="H285" i="14"/>
  <c r="G285" i="14"/>
  <c r="I285" i="14" s="1"/>
  <c r="J284" i="14"/>
  <c r="K284" i="14" s="1"/>
  <c r="I284" i="14"/>
  <c r="H284" i="14"/>
  <c r="L284" i="14" s="1"/>
  <c r="M284" i="14" s="1"/>
  <c r="G284" i="14"/>
  <c r="L283" i="14"/>
  <c r="M283" i="14" s="1"/>
  <c r="K283" i="14"/>
  <c r="J283" i="14"/>
  <c r="I283" i="14"/>
  <c r="H283" i="14"/>
  <c r="G283" i="14"/>
  <c r="L282" i="14"/>
  <c r="M282" i="14" s="1"/>
  <c r="J282" i="14"/>
  <c r="K282" i="14" s="1"/>
  <c r="I282" i="14"/>
  <c r="H282" i="14"/>
  <c r="G282" i="14"/>
  <c r="L281" i="14"/>
  <c r="M281" i="14" s="1"/>
  <c r="J281" i="14"/>
  <c r="K281" i="14" s="1"/>
  <c r="H281" i="14"/>
  <c r="G281" i="14"/>
  <c r="I281" i="14" s="1"/>
  <c r="M280" i="14"/>
  <c r="L280" i="14"/>
  <c r="K280" i="14"/>
  <c r="J280" i="14"/>
  <c r="H280" i="14"/>
  <c r="G280" i="14"/>
  <c r="I280" i="14" s="1"/>
  <c r="H279" i="14"/>
  <c r="J279" i="14" s="1"/>
  <c r="K279" i="14" s="1"/>
  <c r="G279" i="14"/>
  <c r="I279" i="14" s="1"/>
  <c r="L278" i="14"/>
  <c r="M278" i="14" s="1"/>
  <c r="K278" i="14"/>
  <c r="J278" i="14"/>
  <c r="I278" i="14"/>
  <c r="H278" i="14"/>
  <c r="G278" i="14"/>
  <c r="H277" i="14"/>
  <c r="G277" i="14"/>
  <c r="I277" i="14" s="1"/>
  <c r="J276" i="14"/>
  <c r="K276" i="14" s="1"/>
  <c r="I276" i="14"/>
  <c r="H276" i="14"/>
  <c r="L276" i="14" s="1"/>
  <c r="M276" i="14" s="1"/>
  <c r="G276" i="14"/>
  <c r="I275" i="14"/>
  <c r="H275" i="14"/>
  <c r="G275" i="14"/>
  <c r="H274" i="14"/>
  <c r="J274" i="14" s="1"/>
  <c r="K274" i="14" s="1"/>
  <c r="G274" i="14"/>
  <c r="I274" i="14" s="1"/>
  <c r="I273" i="14"/>
  <c r="H273" i="14"/>
  <c r="G273" i="14"/>
  <c r="L272" i="14"/>
  <c r="M272" i="14" s="1"/>
  <c r="J272" i="14"/>
  <c r="K272" i="14" s="1"/>
  <c r="I272" i="14"/>
  <c r="H272" i="14"/>
  <c r="G272" i="14"/>
  <c r="I271" i="14"/>
  <c r="H271" i="14"/>
  <c r="G271" i="14"/>
  <c r="L270" i="14"/>
  <c r="M270" i="14" s="1"/>
  <c r="J270" i="14"/>
  <c r="K270" i="14" s="1"/>
  <c r="I270" i="14"/>
  <c r="H270" i="14"/>
  <c r="G270" i="14"/>
  <c r="M269" i="14"/>
  <c r="L269" i="14"/>
  <c r="J269" i="14"/>
  <c r="K269" i="14" s="1"/>
  <c r="I269" i="14"/>
  <c r="H269" i="14"/>
  <c r="G269" i="14"/>
  <c r="M268" i="14"/>
  <c r="L268" i="14"/>
  <c r="K268" i="14"/>
  <c r="I268" i="14"/>
  <c r="H268" i="14"/>
  <c r="J268" i="14" s="1"/>
  <c r="G268" i="14"/>
  <c r="I267" i="14"/>
  <c r="H267" i="14"/>
  <c r="G267" i="14"/>
  <c r="I266" i="14"/>
  <c r="H266" i="14"/>
  <c r="L266" i="14" s="1"/>
  <c r="M266" i="14" s="1"/>
  <c r="G266" i="14"/>
  <c r="M265" i="14"/>
  <c r="J265" i="14"/>
  <c r="K265" i="14" s="1"/>
  <c r="I265" i="14"/>
  <c r="H265" i="14"/>
  <c r="L265" i="14" s="1"/>
  <c r="G265" i="14"/>
  <c r="L264" i="14"/>
  <c r="M264" i="14" s="1"/>
  <c r="J264" i="14"/>
  <c r="K264" i="14" s="1"/>
  <c r="I264" i="14"/>
  <c r="H264" i="14"/>
  <c r="G264" i="14"/>
  <c r="H263" i="14"/>
  <c r="G263" i="14"/>
  <c r="I263" i="14" s="1"/>
  <c r="H262" i="14"/>
  <c r="J262" i="14" s="1"/>
  <c r="K262" i="14" s="1"/>
  <c r="G262" i="14"/>
  <c r="I262" i="14" s="1"/>
  <c r="H261" i="14"/>
  <c r="G261" i="14"/>
  <c r="I261" i="14" s="1"/>
  <c r="M260" i="14"/>
  <c r="L260" i="14"/>
  <c r="I260" i="14"/>
  <c r="H260" i="14"/>
  <c r="J260" i="14" s="1"/>
  <c r="K260" i="14" s="1"/>
  <c r="G260" i="14"/>
  <c r="H259" i="14"/>
  <c r="G259" i="14"/>
  <c r="I259" i="14" s="1"/>
  <c r="I258" i="14"/>
  <c r="H258" i="14"/>
  <c r="L258" i="14" s="1"/>
  <c r="M258" i="14" s="1"/>
  <c r="G258" i="14"/>
  <c r="L257" i="14"/>
  <c r="M257" i="14" s="1"/>
  <c r="K257" i="14"/>
  <c r="J257" i="14"/>
  <c r="H257" i="14"/>
  <c r="G257" i="14"/>
  <c r="I257" i="14" s="1"/>
  <c r="L256" i="14"/>
  <c r="M256" i="14" s="1"/>
  <c r="J256" i="14"/>
  <c r="K256" i="14" s="1"/>
  <c r="I256" i="14"/>
  <c r="H256" i="14"/>
  <c r="G256" i="14"/>
  <c r="L255" i="14"/>
  <c r="M255" i="14" s="1"/>
  <c r="I255" i="14"/>
  <c r="H255" i="14"/>
  <c r="J255" i="14" s="1"/>
  <c r="K255" i="14" s="1"/>
  <c r="G255" i="14"/>
  <c r="L254" i="14"/>
  <c r="M254" i="14" s="1"/>
  <c r="J254" i="14"/>
  <c r="K254" i="14" s="1"/>
  <c r="H254" i="14"/>
  <c r="G254" i="14"/>
  <c r="I254" i="14" s="1"/>
  <c r="M253" i="14"/>
  <c r="J253" i="14"/>
  <c r="K253" i="14" s="1"/>
  <c r="I253" i="14"/>
  <c r="H253" i="14"/>
  <c r="L253" i="14" s="1"/>
  <c r="G253" i="14"/>
  <c r="M252" i="14"/>
  <c r="L252" i="14"/>
  <c r="I252" i="14"/>
  <c r="H252" i="14"/>
  <c r="J252" i="14" s="1"/>
  <c r="K252" i="14" s="1"/>
  <c r="G252" i="14"/>
  <c r="I251" i="14"/>
  <c r="H251" i="14"/>
  <c r="G251" i="14"/>
  <c r="M250" i="14"/>
  <c r="L250" i="14"/>
  <c r="H250" i="14"/>
  <c r="J250" i="14" s="1"/>
  <c r="K250" i="14" s="1"/>
  <c r="G250" i="14"/>
  <c r="I250" i="14" s="1"/>
  <c r="H249" i="14"/>
  <c r="L249" i="14" s="1"/>
  <c r="M249" i="14" s="1"/>
  <c r="G249" i="14"/>
  <c r="I249" i="14" s="1"/>
  <c r="L248" i="14"/>
  <c r="M248" i="14" s="1"/>
  <c r="H248" i="14"/>
  <c r="J248" i="14" s="1"/>
  <c r="K248" i="14" s="1"/>
  <c r="G248" i="14"/>
  <c r="I248" i="14" s="1"/>
  <c r="J247" i="14"/>
  <c r="K247" i="14" s="1"/>
  <c r="I247" i="14"/>
  <c r="H247" i="14"/>
  <c r="L247" i="14" s="1"/>
  <c r="M247" i="14" s="1"/>
  <c r="G247" i="14"/>
  <c r="L246" i="14"/>
  <c r="M246" i="14" s="1"/>
  <c r="H246" i="14"/>
  <c r="J246" i="14" s="1"/>
  <c r="K246" i="14" s="1"/>
  <c r="G246" i="14"/>
  <c r="I246" i="14" s="1"/>
  <c r="L245" i="14"/>
  <c r="M245" i="14" s="1"/>
  <c r="J245" i="14"/>
  <c r="K245" i="14" s="1"/>
  <c r="H245" i="14"/>
  <c r="G245" i="14"/>
  <c r="I245" i="14" s="1"/>
  <c r="L244" i="14"/>
  <c r="M244" i="14" s="1"/>
  <c r="J244" i="14"/>
  <c r="K244" i="14" s="1"/>
  <c r="I244" i="14"/>
  <c r="H244" i="14"/>
  <c r="G244" i="14"/>
  <c r="I243" i="14"/>
  <c r="H243" i="14"/>
  <c r="G243" i="14"/>
  <c r="H242" i="14"/>
  <c r="G242" i="14"/>
  <c r="I242" i="14" s="1"/>
  <c r="H241" i="14"/>
  <c r="L241" i="14" s="1"/>
  <c r="M241" i="14" s="1"/>
  <c r="G241" i="14"/>
  <c r="I241" i="14" s="1"/>
  <c r="I240" i="14"/>
  <c r="H240" i="14"/>
  <c r="G240" i="14"/>
  <c r="L239" i="14"/>
  <c r="M239" i="14" s="1"/>
  <c r="J239" i="14"/>
  <c r="K239" i="14" s="1"/>
  <c r="I239" i="14"/>
  <c r="H239" i="14"/>
  <c r="G239" i="14"/>
  <c r="H238" i="14"/>
  <c r="G238" i="14"/>
  <c r="I238" i="14" s="1"/>
  <c r="K237" i="14"/>
  <c r="J237" i="14"/>
  <c r="I237" i="14"/>
  <c r="H237" i="14"/>
  <c r="L237" i="14" s="1"/>
  <c r="M237" i="14" s="1"/>
  <c r="G237" i="14"/>
  <c r="I236" i="14"/>
  <c r="H236" i="14"/>
  <c r="G236" i="14"/>
  <c r="I235" i="14"/>
  <c r="H235" i="14"/>
  <c r="G235" i="14"/>
  <c r="L234" i="14"/>
  <c r="M234" i="14" s="1"/>
  <c r="J234" i="14"/>
  <c r="K234" i="14" s="1"/>
  <c r="I234" i="14"/>
  <c r="H234" i="14"/>
  <c r="G234" i="14"/>
  <c r="M233" i="14"/>
  <c r="L233" i="14"/>
  <c r="J233" i="14"/>
  <c r="K233" i="14" s="1"/>
  <c r="I233" i="14"/>
  <c r="H233" i="14"/>
  <c r="G233" i="14"/>
  <c r="H232" i="14"/>
  <c r="G232" i="14"/>
  <c r="I232" i="14" s="1"/>
  <c r="M231" i="14"/>
  <c r="L231" i="14"/>
  <c r="K231" i="14"/>
  <c r="H231" i="14"/>
  <c r="J231" i="14" s="1"/>
  <c r="G231" i="14"/>
  <c r="I231" i="14" s="1"/>
  <c r="H230" i="14"/>
  <c r="G230" i="14"/>
  <c r="I230" i="14" s="1"/>
  <c r="I229" i="14"/>
  <c r="H229" i="14"/>
  <c r="G229" i="14"/>
  <c r="I228" i="14"/>
  <c r="H228" i="14"/>
  <c r="G228" i="14"/>
  <c r="M227" i="14"/>
  <c r="K227" i="14"/>
  <c r="J227" i="14"/>
  <c r="I227" i="14"/>
  <c r="H227" i="14"/>
  <c r="L227" i="14" s="1"/>
  <c r="G227" i="14"/>
  <c r="H226" i="14"/>
  <c r="J226" i="14" s="1"/>
  <c r="K226" i="14" s="1"/>
  <c r="G226" i="14"/>
  <c r="I226" i="14" s="1"/>
  <c r="L225" i="14"/>
  <c r="M225" i="14" s="1"/>
  <c r="J225" i="14"/>
  <c r="K225" i="14" s="1"/>
  <c r="I225" i="14"/>
  <c r="H225" i="14"/>
  <c r="G225" i="14"/>
  <c r="L224" i="14"/>
  <c r="M224" i="14" s="1"/>
  <c r="I224" i="14"/>
  <c r="H224" i="14"/>
  <c r="J224" i="14" s="1"/>
  <c r="K224" i="14" s="1"/>
  <c r="G224" i="14"/>
  <c r="M223" i="14"/>
  <c r="L223" i="14"/>
  <c r="K223" i="14"/>
  <c r="J223" i="14"/>
  <c r="H223" i="14"/>
  <c r="G223" i="14"/>
  <c r="I223" i="14" s="1"/>
  <c r="L222" i="14"/>
  <c r="M222" i="14" s="1"/>
  <c r="J222" i="14"/>
  <c r="K222" i="14" s="1"/>
  <c r="I222" i="14"/>
  <c r="H222" i="14"/>
  <c r="G222" i="14"/>
  <c r="L221" i="14"/>
  <c r="M221" i="14" s="1"/>
  <c r="K221" i="14"/>
  <c r="J221" i="14"/>
  <c r="H221" i="14"/>
  <c r="G221" i="14"/>
  <c r="I221" i="14" s="1"/>
  <c r="I220" i="14"/>
  <c r="H220" i="14"/>
  <c r="G220" i="14"/>
  <c r="M219" i="14"/>
  <c r="L219" i="14"/>
  <c r="H219" i="14"/>
  <c r="J219" i="14" s="1"/>
  <c r="K219" i="14" s="1"/>
  <c r="G219" i="14"/>
  <c r="E214" i="14"/>
  <c r="D214" i="14"/>
  <c r="L213" i="14"/>
  <c r="M213" i="14" s="1"/>
  <c r="J213" i="14"/>
  <c r="K213" i="14" s="1"/>
  <c r="I213" i="14"/>
  <c r="H213" i="14"/>
  <c r="L212" i="14"/>
  <c r="M212" i="14" s="1"/>
  <c r="H212" i="14"/>
  <c r="J212" i="14" s="1"/>
  <c r="K212" i="14" s="1"/>
  <c r="G212" i="14"/>
  <c r="I212" i="14" s="1"/>
  <c r="M211" i="14"/>
  <c r="L211" i="14"/>
  <c r="K211" i="14"/>
  <c r="I211" i="14"/>
  <c r="H211" i="14"/>
  <c r="J211" i="14" s="1"/>
  <c r="G211" i="14"/>
  <c r="H210" i="14"/>
  <c r="G210" i="14"/>
  <c r="I210" i="14" s="1"/>
  <c r="M209" i="14"/>
  <c r="K209" i="14"/>
  <c r="J209" i="14"/>
  <c r="I209" i="14"/>
  <c r="H209" i="14"/>
  <c r="L209" i="14" s="1"/>
  <c r="G209" i="14"/>
  <c r="I208" i="14"/>
  <c r="H208" i="14"/>
  <c r="J208" i="14" s="1"/>
  <c r="K208" i="14" s="1"/>
  <c r="G208" i="14"/>
  <c r="L207" i="14"/>
  <c r="M207" i="14" s="1"/>
  <c r="K207" i="14"/>
  <c r="J207" i="14"/>
  <c r="H207" i="14"/>
  <c r="G207" i="14"/>
  <c r="I207" i="14" s="1"/>
  <c r="H206" i="14"/>
  <c r="J206" i="14" s="1"/>
  <c r="K206" i="14" s="1"/>
  <c r="G206" i="14"/>
  <c r="I206" i="14" s="1"/>
  <c r="L205" i="14"/>
  <c r="M205" i="14" s="1"/>
  <c r="J205" i="14"/>
  <c r="K205" i="14" s="1"/>
  <c r="I205" i="14"/>
  <c r="H205" i="14"/>
  <c r="G205" i="14"/>
  <c r="I204" i="14"/>
  <c r="H204" i="14"/>
  <c r="G204" i="14"/>
  <c r="L203" i="14"/>
  <c r="M203" i="14" s="1"/>
  <c r="K203" i="14"/>
  <c r="J203" i="14"/>
  <c r="H203" i="14"/>
  <c r="G203" i="14"/>
  <c r="I203" i="14" s="1"/>
  <c r="J202" i="14"/>
  <c r="K202" i="14" s="1"/>
  <c r="I202" i="14"/>
  <c r="H202" i="14"/>
  <c r="L202" i="14" s="1"/>
  <c r="M202" i="14" s="1"/>
  <c r="G202" i="14"/>
  <c r="L201" i="14"/>
  <c r="M201" i="14" s="1"/>
  <c r="J201" i="14"/>
  <c r="K201" i="14" s="1"/>
  <c r="H201" i="14"/>
  <c r="G201" i="14"/>
  <c r="I201" i="14" s="1"/>
  <c r="K200" i="14"/>
  <c r="J200" i="14"/>
  <c r="H200" i="14"/>
  <c r="L200" i="14" s="1"/>
  <c r="M200" i="14" s="1"/>
  <c r="G200" i="14"/>
  <c r="I200" i="14" s="1"/>
  <c r="H199" i="14"/>
  <c r="J199" i="14" s="1"/>
  <c r="K199" i="14" s="1"/>
  <c r="G199" i="14"/>
  <c r="I199" i="14" s="1"/>
  <c r="H198" i="14"/>
  <c r="L198" i="14" s="1"/>
  <c r="M198" i="14" s="1"/>
  <c r="G198" i="14"/>
  <c r="I198" i="14" s="1"/>
  <c r="M197" i="14"/>
  <c r="H197" i="14"/>
  <c r="L197" i="14" s="1"/>
  <c r="G197" i="14"/>
  <c r="I197" i="14" s="1"/>
  <c r="K196" i="14"/>
  <c r="J196" i="14"/>
  <c r="I196" i="14"/>
  <c r="H196" i="14"/>
  <c r="L196" i="14" s="1"/>
  <c r="M196" i="14" s="1"/>
  <c r="G196" i="14"/>
  <c r="I195" i="14"/>
  <c r="H195" i="14"/>
  <c r="J195" i="14" s="1"/>
  <c r="K195" i="14" s="1"/>
  <c r="G195" i="14"/>
  <c r="L194" i="14"/>
  <c r="M194" i="14" s="1"/>
  <c r="J194" i="14"/>
  <c r="K194" i="14" s="1"/>
  <c r="H194" i="14"/>
  <c r="G194" i="14"/>
  <c r="I194" i="14" s="1"/>
  <c r="M193" i="14"/>
  <c r="L193" i="14"/>
  <c r="J193" i="14"/>
  <c r="K193" i="14" s="1"/>
  <c r="I193" i="14"/>
  <c r="H193" i="14"/>
  <c r="G193" i="14"/>
  <c r="L192" i="14"/>
  <c r="M192" i="14" s="1"/>
  <c r="J192" i="14"/>
  <c r="K192" i="14" s="1"/>
  <c r="I192" i="14"/>
  <c r="H192" i="14"/>
  <c r="G192" i="14"/>
  <c r="L191" i="14"/>
  <c r="M191" i="14" s="1"/>
  <c r="J191" i="14"/>
  <c r="K191" i="14" s="1"/>
  <c r="H191" i="14"/>
  <c r="G191" i="14"/>
  <c r="I191" i="14" s="1"/>
  <c r="J190" i="14"/>
  <c r="K190" i="14" s="1"/>
  <c r="H190" i="14"/>
  <c r="L190" i="14" s="1"/>
  <c r="M190" i="14" s="1"/>
  <c r="G190" i="14"/>
  <c r="I190" i="14" s="1"/>
  <c r="L189" i="14"/>
  <c r="M189" i="14" s="1"/>
  <c r="J189" i="14"/>
  <c r="K189" i="14" s="1"/>
  <c r="H189" i="14"/>
  <c r="G189" i="14"/>
  <c r="I189" i="14" s="1"/>
  <c r="I188" i="14"/>
  <c r="H188" i="14"/>
  <c r="J188" i="14" s="1"/>
  <c r="K188" i="14" s="1"/>
  <c r="G188" i="14"/>
  <c r="L187" i="14"/>
  <c r="M187" i="14" s="1"/>
  <c r="K187" i="14"/>
  <c r="H187" i="14"/>
  <c r="J187" i="14" s="1"/>
  <c r="G187" i="14"/>
  <c r="I187" i="14" s="1"/>
  <c r="M186" i="14"/>
  <c r="K186" i="14"/>
  <c r="J186" i="14"/>
  <c r="I186" i="14"/>
  <c r="H186" i="14"/>
  <c r="L186" i="14" s="1"/>
  <c r="G186" i="14"/>
  <c r="M185" i="14"/>
  <c r="J185" i="14"/>
  <c r="K185" i="14" s="1"/>
  <c r="H185" i="14"/>
  <c r="L185" i="14" s="1"/>
  <c r="G185" i="14"/>
  <c r="I185" i="14" s="1"/>
  <c r="L184" i="14"/>
  <c r="M184" i="14" s="1"/>
  <c r="K184" i="14"/>
  <c r="J184" i="14"/>
  <c r="I184" i="14"/>
  <c r="H184" i="14"/>
  <c r="G184" i="14"/>
  <c r="L183" i="14"/>
  <c r="M183" i="14" s="1"/>
  <c r="K183" i="14"/>
  <c r="J183" i="14"/>
  <c r="H183" i="14"/>
  <c r="G183" i="14"/>
  <c r="I183" i="14" s="1"/>
  <c r="M182" i="14"/>
  <c r="L182" i="14"/>
  <c r="K182" i="14"/>
  <c r="J182" i="14"/>
  <c r="H182" i="14"/>
  <c r="G182" i="14"/>
  <c r="I182" i="14" s="1"/>
  <c r="L181" i="14"/>
  <c r="M181" i="14" s="1"/>
  <c r="H181" i="14"/>
  <c r="J181" i="14" s="1"/>
  <c r="K181" i="14" s="1"/>
  <c r="G181" i="14"/>
  <c r="I181" i="14" s="1"/>
  <c r="L180" i="14"/>
  <c r="M180" i="14" s="1"/>
  <c r="J180" i="14"/>
  <c r="K180" i="14" s="1"/>
  <c r="I180" i="14"/>
  <c r="H180" i="14"/>
  <c r="G180" i="14"/>
  <c r="L179" i="14"/>
  <c r="M179" i="14" s="1"/>
  <c r="H179" i="14"/>
  <c r="J179" i="14" s="1"/>
  <c r="K179" i="14" s="1"/>
  <c r="G179" i="14"/>
  <c r="I179" i="14" s="1"/>
  <c r="L178" i="14"/>
  <c r="M178" i="14" s="1"/>
  <c r="J178" i="14"/>
  <c r="K178" i="14" s="1"/>
  <c r="I178" i="14"/>
  <c r="H178" i="14"/>
  <c r="G178" i="14"/>
  <c r="L177" i="14"/>
  <c r="M177" i="14" s="1"/>
  <c r="J177" i="14"/>
  <c r="K177" i="14" s="1"/>
  <c r="H177" i="14"/>
  <c r="G177" i="14"/>
  <c r="I177" i="14" s="1"/>
  <c r="M176" i="14"/>
  <c r="L176" i="14"/>
  <c r="K176" i="14"/>
  <c r="J176" i="14"/>
  <c r="H176" i="14"/>
  <c r="G176" i="14"/>
  <c r="I176" i="14" s="1"/>
  <c r="L175" i="14"/>
  <c r="M175" i="14" s="1"/>
  <c r="H175" i="14"/>
  <c r="J175" i="14" s="1"/>
  <c r="K175" i="14" s="1"/>
  <c r="G175" i="14"/>
  <c r="I175" i="14" s="1"/>
  <c r="L174" i="14"/>
  <c r="M174" i="14" s="1"/>
  <c r="K174" i="14"/>
  <c r="J174" i="14"/>
  <c r="I174" i="14"/>
  <c r="H174" i="14"/>
  <c r="G174" i="14"/>
  <c r="H173" i="14"/>
  <c r="G173" i="14"/>
  <c r="I173" i="14" s="1"/>
  <c r="M172" i="14"/>
  <c r="L172" i="14"/>
  <c r="K172" i="14"/>
  <c r="J172" i="14"/>
  <c r="H172" i="14"/>
  <c r="G172" i="14"/>
  <c r="I172" i="14" s="1"/>
  <c r="H171" i="14"/>
  <c r="L171" i="14" s="1"/>
  <c r="M171" i="14" s="1"/>
  <c r="G171" i="14"/>
  <c r="I171" i="14" s="1"/>
  <c r="I170" i="14"/>
  <c r="H170" i="14"/>
  <c r="G170" i="14"/>
  <c r="L169" i="14"/>
  <c r="M169" i="14" s="1"/>
  <c r="K169" i="14"/>
  <c r="J169" i="14"/>
  <c r="H169" i="14"/>
  <c r="G169" i="14"/>
  <c r="I169" i="14" s="1"/>
  <c r="M168" i="14"/>
  <c r="J168" i="14"/>
  <c r="K168" i="14" s="1"/>
  <c r="I168" i="14"/>
  <c r="H168" i="14"/>
  <c r="L168" i="14" s="1"/>
  <c r="G168" i="14"/>
  <c r="M167" i="14"/>
  <c r="L167" i="14"/>
  <c r="K167" i="14"/>
  <c r="J167" i="14"/>
  <c r="I167" i="14"/>
  <c r="H167" i="14"/>
  <c r="G167" i="14"/>
  <c r="H166" i="14"/>
  <c r="G166" i="14"/>
  <c r="I166" i="14" s="1"/>
  <c r="M165" i="14"/>
  <c r="L165" i="14"/>
  <c r="K165" i="14"/>
  <c r="J165" i="14"/>
  <c r="H165" i="14"/>
  <c r="G165" i="14"/>
  <c r="I165" i="14" s="1"/>
  <c r="H164" i="14"/>
  <c r="J164" i="14" s="1"/>
  <c r="K164" i="14" s="1"/>
  <c r="G164" i="14"/>
  <c r="I164" i="14" s="1"/>
  <c r="L163" i="14"/>
  <c r="M163" i="14" s="1"/>
  <c r="J163" i="14"/>
  <c r="K163" i="14" s="1"/>
  <c r="H163" i="14"/>
  <c r="G163" i="14"/>
  <c r="I163" i="14" s="1"/>
  <c r="M162" i="14"/>
  <c r="J162" i="14"/>
  <c r="K162" i="14" s="1"/>
  <c r="I162" i="14"/>
  <c r="H162" i="14"/>
  <c r="L162" i="14" s="1"/>
  <c r="G162" i="14"/>
  <c r="L161" i="14"/>
  <c r="M161" i="14" s="1"/>
  <c r="H161" i="14"/>
  <c r="J161" i="14" s="1"/>
  <c r="K161" i="14" s="1"/>
  <c r="G161" i="14"/>
  <c r="I161" i="14" s="1"/>
  <c r="L160" i="14"/>
  <c r="M160" i="14" s="1"/>
  <c r="K160" i="14"/>
  <c r="J160" i="14"/>
  <c r="I160" i="14"/>
  <c r="H160" i="14"/>
  <c r="G160" i="14"/>
  <c r="M159" i="14"/>
  <c r="L159" i="14"/>
  <c r="J159" i="14"/>
  <c r="K159" i="14" s="1"/>
  <c r="I159" i="14"/>
  <c r="H159" i="14"/>
  <c r="G159" i="14"/>
  <c r="M158" i="14"/>
  <c r="L158" i="14"/>
  <c r="K158" i="14"/>
  <c r="I158" i="14"/>
  <c r="H158" i="14"/>
  <c r="J158" i="14" s="1"/>
  <c r="G158" i="14"/>
  <c r="L157" i="14"/>
  <c r="M157" i="14" s="1"/>
  <c r="J157" i="14"/>
  <c r="K157" i="14" s="1"/>
  <c r="H157" i="14"/>
  <c r="G157" i="14"/>
  <c r="I157" i="14" s="1"/>
  <c r="M156" i="14"/>
  <c r="J156" i="14"/>
  <c r="K156" i="14" s="1"/>
  <c r="I156" i="14"/>
  <c r="H156" i="14"/>
  <c r="L156" i="14" s="1"/>
  <c r="G156" i="14"/>
  <c r="I155" i="14"/>
  <c r="H155" i="14"/>
  <c r="G155" i="14"/>
  <c r="L154" i="14"/>
  <c r="M154" i="14" s="1"/>
  <c r="K154" i="14"/>
  <c r="J154" i="14"/>
  <c r="H154" i="14"/>
  <c r="G154" i="14"/>
  <c r="I154" i="14" s="1"/>
  <c r="M153" i="14"/>
  <c r="J153" i="14"/>
  <c r="K153" i="14" s="1"/>
  <c r="H153" i="14"/>
  <c r="L153" i="14" s="1"/>
  <c r="G153" i="14"/>
  <c r="I153" i="14" s="1"/>
  <c r="M152" i="14"/>
  <c r="L152" i="14"/>
  <c r="H152" i="14"/>
  <c r="J152" i="14" s="1"/>
  <c r="K152" i="14" s="1"/>
  <c r="G152" i="14"/>
  <c r="I152" i="14" s="1"/>
  <c r="J151" i="14"/>
  <c r="K151" i="14" s="1"/>
  <c r="I151" i="14"/>
  <c r="H151" i="14"/>
  <c r="L151" i="14" s="1"/>
  <c r="M151" i="14" s="1"/>
  <c r="G151" i="14"/>
  <c r="M150" i="14"/>
  <c r="L150" i="14"/>
  <c r="I150" i="14"/>
  <c r="H150" i="14"/>
  <c r="J150" i="14" s="1"/>
  <c r="K150" i="14" s="1"/>
  <c r="G150" i="14"/>
  <c r="I149" i="14"/>
  <c r="H149" i="14"/>
  <c r="G149" i="14"/>
  <c r="M148" i="14"/>
  <c r="L148" i="14"/>
  <c r="J148" i="14"/>
  <c r="K148" i="14" s="1"/>
  <c r="I148" i="14"/>
  <c r="H148" i="14"/>
  <c r="G148" i="14"/>
  <c r="I147" i="14"/>
  <c r="H147" i="14"/>
  <c r="G147" i="14"/>
  <c r="L146" i="14"/>
  <c r="M146" i="14" s="1"/>
  <c r="K146" i="14"/>
  <c r="H146" i="14"/>
  <c r="J146" i="14" s="1"/>
  <c r="G146" i="14"/>
  <c r="I146" i="14" s="1"/>
  <c r="M145" i="14"/>
  <c r="L145" i="14"/>
  <c r="J145" i="14"/>
  <c r="K145" i="14" s="1"/>
  <c r="I145" i="14"/>
  <c r="H145" i="14"/>
  <c r="G145" i="14"/>
  <c r="H144" i="14"/>
  <c r="G144" i="14"/>
  <c r="I144" i="14" s="1"/>
  <c r="M143" i="14"/>
  <c r="L143" i="14"/>
  <c r="K143" i="14"/>
  <c r="J143" i="14"/>
  <c r="I143" i="14"/>
  <c r="H143" i="14"/>
  <c r="G143" i="14"/>
  <c r="J142" i="14"/>
  <c r="K142" i="14" s="1"/>
  <c r="I142" i="14"/>
  <c r="H142" i="14"/>
  <c r="L142" i="14" s="1"/>
  <c r="M142" i="14" s="1"/>
  <c r="G142" i="14"/>
  <c r="M141" i="14"/>
  <c r="L141" i="14"/>
  <c r="H141" i="14"/>
  <c r="J141" i="14" s="1"/>
  <c r="K141" i="14" s="1"/>
  <c r="G141" i="14"/>
  <c r="I141" i="14" s="1"/>
  <c r="H140" i="14"/>
  <c r="G140" i="14"/>
  <c r="I140" i="14" s="1"/>
  <c r="I139" i="14"/>
  <c r="H139" i="14"/>
  <c r="G139" i="14"/>
  <c r="H138" i="14"/>
  <c r="J138" i="14" s="1"/>
  <c r="K138" i="14" s="1"/>
  <c r="G138" i="14"/>
  <c r="I138" i="14" s="1"/>
  <c r="L137" i="14"/>
  <c r="M137" i="14" s="1"/>
  <c r="J137" i="14"/>
  <c r="K137" i="14" s="1"/>
  <c r="I137" i="14"/>
  <c r="H137" i="14"/>
  <c r="G137" i="14"/>
  <c r="M136" i="14"/>
  <c r="L136" i="14"/>
  <c r="K136" i="14"/>
  <c r="J136" i="14"/>
  <c r="I136" i="14"/>
  <c r="H136" i="14"/>
  <c r="G136" i="14"/>
  <c r="L135" i="14"/>
  <c r="M135" i="14" s="1"/>
  <c r="H135" i="14"/>
  <c r="J135" i="14" s="1"/>
  <c r="K135" i="14" s="1"/>
  <c r="G135" i="14"/>
  <c r="I135" i="14" s="1"/>
  <c r="M134" i="14"/>
  <c r="L134" i="14"/>
  <c r="K134" i="14"/>
  <c r="I134" i="14"/>
  <c r="H134" i="14"/>
  <c r="J134" i="14" s="1"/>
  <c r="G134" i="14"/>
  <c r="L133" i="14"/>
  <c r="M133" i="14" s="1"/>
  <c r="I133" i="14"/>
  <c r="H133" i="14"/>
  <c r="J133" i="14" s="1"/>
  <c r="K133" i="14" s="1"/>
  <c r="G133" i="14"/>
  <c r="M132" i="14"/>
  <c r="K132" i="14"/>
  <c r="J132" i="14"/>
  <c r="H132" i="14"/>
  <c r="L132" i="14" s="1"/>
  <c r="G132" i="14"/>
  <c r="I132" i="14" s="1"/>
  <c r="I131" i="14"/>
  <c r="H131" i="14"/>
  <c r="G131" i="14"/>
  <c r="M130" i="14"/>
  <c r="L130" i="14"/>
  <c r="I130" i="14"/>
  <c r="H130" i="14"/>
  <c r="J130" i="14" s="1"/>
  <c r="K130" i="14" s="1"/>
  <c r="G130" i="14"/>
  <c r="H129" i="14"/>
  <c r="J129" i="14" s="1"/>
  <c r="K129" i="14" s="1"/>
  <c r="G129" i="14"/>
  <c r="I129" i="14" s="1"/>
  <c r="M128" i="14"/>
  <c r="L128" i="14"/>
  <c r="J128" i="14"/>
  <c r="K128" i="14" s="1"/>
  <c r="I128" i="14"/>
  <c r="H128" i="14"/>
  <c r="G128" i="14"/>
  <c r="H127" i="14"/>
  <c r="L127" i="14" s="1"/>
  <c r="M127" i="14" s="1"/>
  <c r="G127" i="14"/>
  <c r="I127" i="14" s="1"/>
  <c r="L126" i="14"/>
  <c r="M126" i="14" s="1"/>
  <c r="K126" i="14"/>
  <c r="J126" i="14"/>
  <c r="H126" i="14"/>
  <c r="G126" i="14"/>
  <c r="I126" i="14" s="1"/>
  <c r="L125" i="14"/>
  <c r="M125" i="14" s="1"/>
  <c r="K125" i="14"/>
  <c r="J125" i="14"/>
  <c r="I125" i="14"/>
  <c r="H125" i="14"/>
  <c r="G125" i="14"/>
  <c r="L124" i="14"/>
  <c r="M124" i="14" s="1"/>
  <c r="K124" i="14"/>
  <c r="J124" i="14"/>
  <c r="H124" i="14"/>
  <c r="G124" i="14"/>
  <c r="I124" i="14" s="1"/>
  <c r="M123" i="14"/>
  <c r="L123" i="14"/>
  <c r="K123" i="14"/>
  <c r="J123" i="14"/>
  <c r="H123" i="14"/>
  <c r="G123" i="14"/>
  <c r="I123" i="14" s="1"/>
  <c r="H122" i="14"/>
  <c r="G122" i="14"/>
  <c r="I122" i="14" s="1"/>
  <c r="L121" i="14"/>
  <c r="M121" i="14" s="1"/>
  <c r="K121" i="14"/>
  <c r="H121" i="14"/>
  <c r="J121" i="14" s="1"/>
  <c r="G121" i="14"/>
  <c r="I121" i="14" s="1"/>
  <c r="J120" i="14"/>
  <c r="K120" i="14" s="1"/>
  <c r="H120" i="14"/>
  <c r="L120" i="14" s="1"/>
  <c r="M120" i="14" s="1"/>
  <c r="G120" i="14"/>
  <c r="I120" i="14" s="1"/>
  <c r="L119" i="14"/>
  <c r="M119" i="14" s="1"/>
  <c r="I119" i="14"/>
  <c r="H119" i="14"/>
  <c r="J119" i="14" s="1"/>
  <c r="K119" i="14" s="1"/>
  <c r="G119" i="14"/>
  <c r="L118" i="14"/>
  <c r="M118" i="14" s="1"/>
  <c r="K118" i="14"/>
  <c r="J118" i="14"/>
  <c r="I118" i="14"/>
  <c r="H118" i="14"/>
  <c r="G118" i="14"/>
  <c r="L117" i="14"/>
  <c r="M117" i="14" s="1"/>
  <c r="J117" i="14"/>
  <c r="K117" i="14" s="1"/>
  <c r="H117" i="14"/>
  <c r="G117" i="14"/>
  <c r="I117" i="14" s="1"/>
  <c r="M116" i="14"/>
  <c r="L116" i="14"/>
  <c r="K116" i="14"/>
  <c r="J116" i="14"/>
  <c r="I116" i="14"/>
  <c r="H116" i="14"/>
  <c r="G116" i="14"/>
  <c r="L115" i="14"/>
  <c r="M115" i="14" s="1"/>
  <c r="J115" i="14"/>
  <c r="K115" i="14" s="1"/>
  <c r="H115" i="14"/>
  <c r="G115" i="14"/>
  <c r="I115" i="14" s="1"/>
  <c r="L114" i="14"/>
  <c r="M114" i="14" s="1"/>
  <c r="K114" i="14"/>
  <c r="J114" i="14"/>
  <c r="I114" i="14"/>
  <c r="H114" i="14"/>
  <c r="G114" i="14"/>
  <c r="H113" i="14"/>
  <c r="J113" i="14" s="1"/>
  <c r="K113" i="14" s="1"/>
  <c r="G113" i="14"/>
  <c r="I113" i="14" s="1"/>
  <c r="M112" i="14"/>
  <c r="L112" i="14"/>
  <c r="J112" i="14"/>
  <c r="K112" i="14" s="1"/>
  <c r="H112" i="14"/>
  <c r="G112" i="14"/>
  <c r="I112" i="14" s="1"/>
  <c r="H111" i="14"/>
  <c r="L111" i="14" s="1"/>
  <c r="M111" i="14" s="1"/>
  <c r="G111" i="14"/>
  <c r="I111" i="14" s="1"/>
  <c r="L110" i="14"/>
  <c r="M110" i="14" s="1"/>
  <c r="H110" i="14"/>
  <c r="J110" i="14" s="1"/>
  <c r="K110" i="14" s="1"/>
  <c r="G110" i="14"/>
  <c r="I110" i="14" s="1"/>
  <c r="K109" i="14"/>
  <c r="J109" i="14"/>
  <c r="I109" i="14"/>
  <c r="H109" i="14"/>
  <c r="L109" i="14" s="1"/>
  <c r="M109" i="14" s="1"/>
  <c r="G109" i="14"/>
  <c r="I108" i="14"/>
  <c r="H108" i="14"/>
  <c r="G108" i="14"/>
  <c r="L107" i="14"/>
  <c r="M107" i="14" s="1"/>
  <c r="K107" i="14"/>
  <c r="J107" i="14"/>
  <c r="I107" i="14"/>
  <c r="H107" i="14"/>
  <c r="G107" i="14"/>
  <c r="L106" i="14"/>
  <c r="M106" i="14" s="1"/>
  <c r="K106" i="14"/>
  <c r="J106" i="14"/>
  <c r="H106" i="14"/>
  <c r="G106" i="14"/>
  <c r="I106" i="14" s="1"/>
  <c r="K105" i="14"/>
  <c r="J105" i="14"/>
  <c r="H105" i="14"/>
  <c r="L105" i="14" s="1"/>
  <c r="M105" i="14" s="1"/>
  <c r="G105" i="14"/>
  <c r="I105" i="14" s="1"/>
  <c r="L104" i="14"/>
  <c r="M104" i="14" s="1"/>
  <c r="H104" i="14"/>
  <c r="J104" i="14" s="1"/>
  <c r="K104" i="14" s="1"/>
  <c r="G104" i="14"/>
  <c r="I104" i="14" s="1"/>
  <c r="L103" i="14"/>
  <c r="M103" i="14" s="1"/>
  <c r="J103" i="14"/>
  <c r="K103" i="14" s="1"/>
  <c r="I103" i="14"/>
  <c r="H103" i="14"/>
  <c r="G103" i="14"/>
  <c r="M102" i="14"/>
  <c r="L102" i="14"/>
  <c r="I102" i="14"/>
  <c r="H102" i="14"/>
  <c r="J102" i="14" s="1"/>
  <c r="K102" i="14" s="1"/>
  <c r="G102" i="14"/>
  <c r="L101" i="14"/>
  <c r="M101" i="14" s="1"/>
  <c r="J101" i="14"/>
  <c r="K101" i="14" s="1"/>
  <c r="H101" i="14"/>
  <c r="G101" i="14"/>
  <c r="I101" i="14" s="1"/>
  <c r="M100" i="14"/>
  <c r="L100" i="14"/>
  <c r="J100" i="14"/>
  <c r="K100" i="14" s="1"/>
  <c r="I100" i="14"/>
  <c r="H100" i="14"/>
  <c r="G100" i="14"/>
  <c r="I99" i="14"/>
  <c r="H99" i="14"/>
  <c r="J99" i="14" s="1"/>
  <c r="K99" i="14" s="1"/>
  <c r="G99" i="14"/>
  <c r="L98" i="14"/>
  <c r="M98" i="14" s="1"/>
  <c r="K98" i="14"/>
  <c r="I98" i="14"/>
  <c r="H98" i="14"/>
  <c r="J98" i="14" s="1"/>
  <c r="G98" i="14"/>
  <c r="M97" i="14"/>
  <c r="L97" i="14"/>
  <c r="J97" i="14"/>
  <c r="K97" i="14" s="1"/>
  <c r="I97" i="14"/>
  <c r="H97" i="14"/>
  <c r="G97" i="14"/>
  <c r="M96" i="14"/>
  <c r="K96" i="14"/>
  <c r="J96" i="14"/>
  <c r="I96" i="14"/>
  <c r="H96" i="14"/>
  <c r="L96" i="14" s="1"/>
  <c r="G96" i="14"/>
  <c r="L95" i="14"/>
  <c r="M95" i="14" s="1"/>
  <c r="J95" i="14"/>
  <c r="K95" i="14" s="1"/>
  <c r="I95" i="14"/>
  <c r="H95" i="14"/>
  <c r="G95" i="14"/>
  <c r="L94" i="14"/>
  <c r="M94" i="14" s="1"/>
  <c r="K94" i="14"/>
  <c r="J94" i="14"/>
  <c r="I94" i="14"/>
  <c r="H94" i="14"/>
  <c r="G94" i="14"/>
  <c r="L93" i="14"/>
  <c r="M93" i="14" s="1"/>
  <c r="H93" i="14"/>
  <c r="J93" i="14" s="1"/>
  <c r="K93" i="14" s="1"/>
  <c r="G93" i="14"/>
  <c r="I93" i="14" s="1"/>
  <c r="H92" i="14"/>
  <c r="L92" i="14" s="1"/>
  <c r="M92" i="14" s="1"/>
  <c r="G92" i="14"/>
  <c r="I92" i="14" s="1"/>
  <c r="I91" i="14"/>
  <c r="H91" i="14"/>
  <c r="G91" i="14"/>
  <c r="H90" i="14"/>
  <c r="G90" i="14"/>
  <c r="I90" i="14" s="1"/>
  <c r="J89" i="14"/>
  <c r="K89" i="14" s="1"/>
  <c r="I89" i="14"/>
  <c r="H89" i="14"/>
  <c r="L89" i="14" s="1"/>
  <c r="M89" i="14" s="1"/>
  <c r="G89" i="14"/>
  <c r="L88" i="14"/>
  <c r="M88" i="14" s="1"/>
  <c r="J88" i="14"/>
  <c r="K88" i="14" s="1"/>
  <c r="I88" i="14"/>
  <c r="H88" i="14"/>
  <c r="G88" i="14"/>
  <c r="L87" i="14"/>
  <c r="M87" i="14" s="1"/>
  <c r="J87" i="14"/>
  <c r="K87" i="14" s="1"/>
  <c r="I87" i="14"/>
  <c r="H87" i="14"/>
  <c r="G87" i="14"/>
  <c r="L86" i="14"/>
  <c r="M86" i="14" s="1"/>
  <c r="K86" i="14"/>
  <c r="I86" i="14"/>
  <c r="H86" i="14"/>
  <c r="J86" i="14" s="1"/>
  <c r="G86" i="14"/>
  <c r="L85" i="14"/>
  <c r="M85" i="14" s="1"/>
  <c r="J85" i="14"/>
  <c r="K85" i="14" s="1"/>
  <c r="I85" i="14"/>
  <c r="H85" i="14"/>
  <c r="G85" i="14"/>
  <c r="M84" i="14"/>
  <c r="K84" i="14"/>
  <c r="J84" i="14"/>
  <c r="H84" i="14"/>
  <c r="L84" i="14" s="1"/>
  <c r="G84" i="14"/>
  <c r="I84" i="14" s="1"/>
  <c r="L83" i="14"/>
  <c r="M83" i="14" s="1"/>
  <c r="J83" i="14"/>
  <c r="K83" i="14" s="1"/>
  <c r="I83" i="14"/>
  <c r="H83" i="14"/>
  <c r="G83" i="14"/>
  <c r="H82" i="14"/>
  <c r="J82" i="14" s="1"/>
  <c r="K82" i="14" s="1"/>
  <c r="G82" i="14"/>
  <c r="I82" i="14" s="1"/>
  <c r="L81" i="14"/>
  <c r="M81" i="14" s="1"/>
  <c r="K81" i="14"/>
  <c r="H81" i="14"/>
  <c r="J81" i="14" s="1"/>
  <c r="G81" i="14"/>
  <c r="I81" i="14" s="1"/>
  <c r="M80" i="14"/>
  <c r="J80" i="14"/>
  <c r="K80" i="14" s="1"/>
  <c r="I80" i="14"/>
  <c r="H80" i="14"/>
  <c r="L80" i="14" s="1"/>
  <c r="G80" i="14"/>
  <c r="I79" i="14"/>
  <c r="H79" i="14"/>
  <c r="G79" i="14"/>
  <c r="K78" i="14"/>
  <c r="J78" i="14"/>
  <c r="I78" i="14"/>
  <c r="H78" i="14"/>
  <c r="L78" i="14" s="1"/>
  <c r="M78" i="14" s="1"/>
  <c r="G78" i="14"/>
  <c r="I77" i="14"/>
  <c r="H77" i="14"/>
  <c r="J77" i="14" s="1"/>
  <c r="K77" i="14" s="1"/>
  <c r="G77" i="14"/>
  <c r="L76" i="14"/>
  <c r="M76" i="14" s="1"/>
  <c r="J76" i="14"/>
  <c r="K76" i="14" s="1"/>
  <c r="I76" i="14"/>
  <c r="H76" i="14"/>
  <c r="G76" i="14"/>
  <c r="L75" i="14"/>
  <c r="M75" i="14" s="1"/>
  <c r="J75" i="14"/>
  <c r="K75" i="14" s="1"/>
  <c r="H75" i="14"/>
  <c r="G75" i="14"/>
  <c r="I75" i="14" s="1"/>
  <c r="M74" i="14"/>
  <c r="L74" i="14"/>
  <c r="K74" i="14"/>
  <c r="I74" i="14"/>
  <c r="H74" i="14"/>
  <c r="J74" i="14" s="1"/>
  <c r="G74" i="14"/>
  <c r="H73" i="14"/>
  <c r="J73" i="14" s="1"/>
  <c r="K73" i="14" s="1"/>
  <c r="G73" i="14"/>
  <c r="I73" i="14" s="1"/>
  <c r="M72" i="14"/>
  <c r="I72" i="14"/>
  <c r="H72" i="14"/>
  <c r="L72" i="14" s="1"/>
  <c r="G72" i="14"/>
  <c r="M71" i="14"/>
  <c r="L71" i="14"/>
  <c r="I71" i="14"/>
  <c r="H71" i="14"/>
  <c r="J71" i="14" s="1"/>
  <c r="K71" i="14" s="1"/>
  <c r="G71" i="14"/>
  <c r="I70" i="14"/>
  <c r="H70" i="14"/>
  <c r="L70" i="14" s="1"/>
  <c r="M70" i="14" s="1"/>
  <c r="G70" i="14"/>
  <c r="H69" i="14"/>
  <c r="L69" i="14" s="1"/>
  <c r="M69" i="14" s="1"/>
  <c r="G69" i="14"/>
  <c r="I69" i="14" s="1"/>
  <c r="I68" i="14"/>
  <c r="H68" i="14"/>
  <c r="L68" i="14" s="1"/>
  <c r="M68" i="14" s="1"/>
  <c r="G68" i="14"/>
  <c r="L67" i="14"/>
  <c r="M67" i="14" s="1"/>
  <c r="J67" i="14"/>
  <c r="K67" i="14" s="1"/>
  <c r="I67" i="14"/>
  <c r="H67" i="14"/>
  <c r="G67" i="14"/>
  <c r="L66" i="14"/>
  <c r="M66" i="14" s="1"/>
  <c r="J66" i="14"/>
  <c r="K66" i="14" s="1"/>
  <c r="I66" i="14"/>
  <c r="H66" i="14"/>
  <c r="G66" i="14"/>
  <c r="L65" i="14"/>
  <c r="M65" i="14" s="1"/>
  <c r="K65" i="14"/>
  <c r="J65" i="14"/>
  <c r="H65" i="14"/>
  <c r="G65" i="14"/>
  <c r="I65" i="14" s="1"/>
  <c r="L64" i="14"/>
  <c r="M64" i="14" s="1"/>
  <c r="J64" i="14"/>
  <c r="K64" i="14" s="1"/>
  <c r="H64" i="14"/>
  <c r="G64" i="14"/>
  <c r="I64" i="14" s="1"/>
  <c r="M63" i="14"/>
  <c r="L63" i="14"/>
  <c r="H63" i="14"/>
  <c r="J63" i="14" s="1"/>
  <c r="K63" i="14" s="1"/>
  <c r="G63" i="14"/>
  <c r="I63" i="14" s="1"/>
  <c r="H62" i="14"/>
  <c r="J62" i="14" s="1"/>
  <c r="K62" i="14" s="1"/>
  <c r="G62" i="14"/>
  <c r="I62" i="14" s="1"/>
  <c r="M61" i="14"/>
  <c r="L61" i="14"/>
  <c r="K61" i="14"/>
  <c r="J61" i="14"/>
  <c r="H61" i="14"/>
  <c r="G61" i="14"/>
  <c r="I61" i="14" s="1"/>
  <c r="I60" i="14"/>
  <c r="H60" i="14"/>
  <c r="G60" i="14"/>
  <c r="L59" i="14"/>
  <c r="M59" i="14" s="1"/>
  <c r="K59" i="14"/>
  <c r="J59" i="14"/>
  <c r="I59" i="14"/>
  <c r="H59" i="14"/>
  <c r="G59" i="14"/>
  <c r="I58" i="14"/>
  <c r="H58" i="14"/>
  <c r="G58" i="14"/>
  <c r="L57" i="14"/>
  <c r="M57" i="14" s="1"/>
  <c r="K57" i="14"/>
  <c r="J57" i="14"/>
  <c r="H57" i="14"/>
  <c r="G57" i="14"/>
  <c r="I57" i="14" s="1"/>
  <c r="I56" i="14"/>
  <c r="H56" i="14"/>
  <c r="G56" i="14"/>
  <c r="L55" i="14"/>
  <c r="M55" i="14" s="1"/>
  <c r="J55" i="14"/>
  <c r="K55" i="14" s="1"/>
  <c r="I55" i="14"/>
  <c r="H55" i="14"/>
  <c r="G55" i="14"/>
  <c r="J54" i="14"/>
  <c r="K54" i="14" s="1"/>
  <c r="H54" i="14"/>
  <c r="L54" i="14" s="1"/>
  <c r="M54" i="14" s="1"/>
  <c r="G54" i="14"/>
  <c r="I54" i="14" s="1"/>
  <c r="L53" i="14"/>
  <c r="M53" i="14" s="1"/>
  <c r="K53" i="14"/>
  <c r="J53" i="14"/>
  <c r="H53" i="14"/>
  <c r="G53" i="14"/>
  <c r="I53" i="14" s="1"/>
  <c r="L52" i="14"/>
  <c r="M52" i="14" s="1"/>
  <c r="J52" i="14"/>
  <c r="K52" i="14" s="1"/>
  <c r="H52" i="14"/>
  <c r="G52" i="14"/>
  <c r="I52" i="14" s="1"/>
  <c r="M51" i="14"/>
  <c r="L51" i="14"/>
  <c r="I51" i="14"/>
  <c r="H51" i="14"/>
  <c r="J51" i="14" s="1"/>
  <c r="K51" i="14" s="1"/>
  <c r="G51" i="14"/>
  <c r="I50" i="14"/>
  <c r="H50" i="14"/>
  <c r="G50" i="14"/>
  <c r="M49" i="14"/>
  <c r="J49" i="14"/>
  <c r="K49" i="14" s="1"/>
  <c r="I49" i="14"/>
  <c r="H49" i="14"/>
  <c r="L49" i="14" s="1"/>
  <c r="G49" i="14"/>
  <c r="H48" i="14"/>
  <c r="G48" i="14"/>
  <c r="I48" i="14" s="1"/>
  <c r="K47" i="14"/>
  <c r="J47" i="14"/>
  <c r="I47" i="14"/>
  <c r="H47" i="14"/>
  <c r="L47" i="14" s="1"/>
  <c r="M47" i="14" s="1"/>
  <c r="G47" i="14"/>
  <c r="L46" i="14"/>
  <c r="M46" i="14" s="1"/>
  <c r="J46" i="14"/>
  <c r="K46" i="14" s="1"/>
  <c r="I46" i="14"/>
  <c r="H46" i="14"/>
  <c r="G46" i="14"/>
  <c r="M45" i="14"/>
  <c r="L45" i="14"/>
  <c r="K45" i="14"/>
  <c r="J45" i="14"/>
  <c r="H45" i="14"/>
  <c r="G45" i="14"/>
  <c r="I45" i="14" s="1"/>
  <c r="M44" i="14"/>
  <c r="L44" i="14"/>
  <c r="J44" i="14"/>
  <c r="K44" i="14" s="1"/>
  <c r="H44" i="14"/>
  <c r="G44" i="14"/>
  <c r="I44" i="14" s="1"/>
  <c r="L43" i="14"/>
  <c r="M43" i="14" s="1"/>
  <c r="J43" i="14"/>
  <c r="K43" i="14" s="1"/>
  <c r="I43" i="14"/>
  <c r="H43" i="14"/>
  <c r="G43" i="14"/>
  <c r="H42" i="14"/>
  <c r="J42" i="14" s="1"/>
  <c r="K42" i="14" s="1"/>
  <c r="G42" i="14"/>
  <c r="I42" i="14" s="1"/>
  <c r="L41" i="14"/>
  <c r="M41" i="14" s="1"/>
  <c r="J41" i="14"/>
  <c r="K41" i="14" s="1"/>
  <c r="I41" i="14"/>
  <c r="H41" i="14"/>
  <c r="G41" i="14"/>
  <c r="L40" i="14"/>
  <c r="M40" i="14" s="1"/>
  <c r="J40" i="14"/>
  <c r="K40" i="14" s="1"/>
  <c r="H40" i="14"/>
  <c r="G40" i="14"/>
  <c r="I40" i="14" s="1"/>
  <c r="M39" i="14"/>
  <c r="L39" i="14"/>
  <c r="K39" i="14"/>
  <c r="J39" i="14"/>
  <c r="I39" i="14"/>
  <c r="H39" i="14"/>
  <c r="G39" i="14"/>
  <c r="H38" i="14"/>
  <c r="G38" i="14"/>
  <c r="I38" i="14" s="1"/>
  <c r="M37" i="14"/>
  <c r="L37" i="14"/>
  <c r="K37" i="14"/>
  <c r="J37" i="14"/>
  <c r="I37" i="14"/>
  <c r="H37" i="14"/>
  <c r="G37" i="14"/>
  <c r="H36" i="14"/>
  <c r="L36" i="14" s="1"/>
  <c r="M36" i="14" s="1"/>
  <c r="G36" i="14"/>
  <c r="I36" i="14" s="1"/>
  <c r="L35" i="14"/>
  <c r="M35" i="14" s="1"/>
  <c r="K35" i="14"/>
  <c r="J35" i="14"/>
  <c r="I35" i="14"/>
  <c r="H35" i="14"/>
  <c r="G35" i="14"/>
  <c r="H34" i="14"/>
  <c r="G34" i="14"/>
  <c r="I34" i="14" s="1"/>
  <c r="L33" i="14"/>
  <c r="M33" i="14" s="1"/>
  <c r="K33" i="14"/>
  <c r="H33" i="14"/>
  <c r="J33" i="14" s="1"/>
  <c r="G33" i="14"/>
  <c r="I33" i="14" s="1"/>
  <c r="H32" i="14"/>
  <c r="G32" i="14"/>
  <c r="I32" i="14" s="1"/>
  <c r="L31" i="14"/>
  <c r="M31" i="14" s="1"/>
  <c r="H31" i="14"/>
  <c r="J31" i="14" s="1"/>
  <c r="K31" i="14" s="1"/>
  <c r="G31" i="14"/>
  <c r="I31" i="14" s="1"/>
  <c r="H30" i="14"/>
  <c r="J30" i="14" s="1"/>
  <c r="K30" i="14" s="1"/>
  <c r="G30" i="14"/>
  <c r="I30" i="14" s="1"/>
  <c r="L29" i="14"/>
  <c r="M29" i="14" s="1"/>
  <c r="H29" i="14"/>
  <c r="J29" i="14" s="1"/>
  <c r="K29" i="14" s="1"/>
  <c r="G29" i="14"/>
  <c r="I29" i="14" s="1"/>
  <c r="M28" i="14"/>
  <c r="L28" i="14"/>
  <c r="J28" i="14"/>
  <c r="K28" i="14" s="1"/>
  <c r="H28" i="14"/>
  <c r="G28" i="14"/>
  <c r="I28" i="14" s="1"/>
  <c r="H27" i="14"/>
  <c r="L27" i="14" s="1"/>
  <c r="M27" i="14" s="1"/>
  <c r="G27" i="14"/>
  <c r="I27" i="14" s="1"/>
  <c r="M26" i="14"/>
  <c r="L26" i="14"/>
  <c r="K26" i="14"/>
  <c r="I26" i="14"/>
  <c r="H26" i="14"/>
  <c r="J26" i="14" s="1"/>
  <c r="G26" i="14"/>
  <c r="K25" i="14"/>
  <c r="J25" i="14"/>
  <c r="H25" i="14"/>
  <c r="L25" i="14" s="1"/>
  <c r="M25" i="14" s="1"/>
  <c r="G25" i="14"/>
  <c r="I25" i="14" s="1"/>
  <c r="M24" i="14"/>
  <c r="K24" i="14"/>
  <c r="J24" i="14"/>
  <c r="I24" i="14"/>
  <c r="H24" i="14"/>
  <c r="L24" i="14" s="1"/>
  <c r="G24" i="14"/>
  <c r="L23" i="14"/>
  <c r="M23" i="14" s="1"/>
  <c r="K23" i="14"/>
  <c r="J23" i="14"/>
  <c r="I23" i="14"/>
  <c r="H23" i="14"/>
  <c r="G23" i="14"/>
  <c r="M22" i="14"/>
  <c r="L22" i="14"/>
  <c r="K22" i="14"/>
  <c r="H22" i="14"/>
  <c r="J22" i="14" s="1"/>
  <c r="G22" i="14"/>
  <c r="I22" i="14" s="1"/>
  <c r="L21" i="14"/>
  <c r="M21" i="14" s="1"/>
  <c r="K21" i="14"/>
  <c r="J21" i="14"/>
  <c r="H21" i="14"/>
  <c r="G21" i="14"/>
  <c r="I21" i="14" s="1"/>
  <c r="M20" i="14"/>
  <c r="L20" i="14"/>
  <c r="I20" i="14"/>
  <c r="H20" i="14"/>
  <c r="J20" i="14" s="1"/>
  <c r="K20" i="14" s="1"/>
  <c r="G20" i="14"/>
  <c r="I19" i="14"/>
  <c r="H19" i="14"/>
  <c r="G19" i="14"/>
  <c r="M18" i="14"/>
  <c r="J18" i="14"/>
  <c r="K18" i="14" s="1"/>
  <c r="I18" i="14"/>
  <c r="H18" i="14"/>
  <c r="L18" i="14" s="1"/>
  <c r="G18" i="14"/>
  <c r="H17" i="14"/>
  <c r="G17" i="14"/>
  <c r="I17" i="14" s="1"/>
  <c r="L16" i="14"/>
  <c r="M16" i="14" s="1"/>
  <c r="K16" i="14"/>
  <c r="J16" i="14"/>
  <c r="I16" i="14"/>
  <c r="H16" i="14"/>
  <c r="G16" i="14"/>
  <c r="L15" i="14"/>
  <c r="M15" i="14" s="1"/>
  <c r="J15" i="14"/>
  <c r="K15" i="14" s="1"/>
  <c r="I15" i="14"/>
  <c r="H15" i="14"/>
  <c r="G15" i="14"/>
  <c r="M14" i="14"/>
  <c r="L14" i="14"/>
  <c r="K14" i="14"/>
  <c r="I14" i="14"/>
  <c r="H14" i="14"/>
  <c r="J14" i="14" s="1"/>
  <c r="G14" i="14"/>
  <c r="L13" i="14"/>
  <c r="M13" i="14" s="1"/>
  <c r="K13" i="14"/>
  <c r="J13" i="14"/>
  <c r="H13" i="14"/>
  <c r="G13" i="14"/>
  <c r="D6" i="14"/>
  <c r="D7" i="14" s="1"/>
  <c r="C9" i="13"/>
  <c r="K6" i="13"/>
  <c r="J6" i="13"/>
  <c r="I6" i="13"/>
  <c r="D6" i="13"/>
  <c r="C6" i="13"/>
  <c r="F6" i="13" s="1"/>
  <c r="B6" i="13"/>
  <c r="M5" i="13"/>
  <c r="L5" i="13"/>
  <c r="K5" i="13"/>
  <c r="J5" i="13"/>
  <c r="I5" i="13"/>
  <c r="E5" i="13"/>
  <c r="D5" i="13"/>
  <c r="C5" i="13"/>
  <c r="F5" i="13" s="1"/>
  <c r="B5" i="13"/>
  <c r="K4" i="13"/>
  <c r="J4" i="13"/>
  <c r="I4" i="13"/>
  <c r="D4" i="13"/>
  <c r="B4" i="13" s="1"/>
  <c r="C4" i="13"/>
  <c r="K3" i="13"/>
  <c r="J3" i="13"/>
  <c r="I3" i="13"/>
  <c r="I9" i="13" s="1"/>
  <c r="G3" i="13"/>
  <c r="D3" i="13"/>
  <c r="D9" i="13" s="1"/>
  <c r="C3" i="13"/>
  <c r="L109" i="12"/>
  <c r="J109" i="12"/>
  <c r="E109" i="12"/>
  <c r="C109" i="12"/>
  <c r="L100" i="12"/>
  <c r="J100" i="12"/>
  <c r="E100" i="12"/>
  <c r="C100" i="12"/>
  <c r="L96" i="12"/>
  <c r="L91" i="12"/>
  <c r="J91" i="12"/>
  <c r="E91" i="12"/>
  <c r="G5" i="8" s="1"/>
  <c r="C91" i="12" a="1"/>
  <c r="C91" i="12"/>
  <c r="L90" i="12"/>
  <c r="G90" i="12"/>
  <c r="G80" i="12"/>
  <c r="H79" i="12"/>
  <c r="H78" i="12"/>
  <c r="H77" i="12"/>
  <c r="H76" i="12"/>
  <c r="H75" i="12"/>
  <c r="L56" i="12"/>
  <c r="J56" i="12"/>
  <c r="E56" i="12"/>
  <c r="C56" i="12" a="1"/>
  <c r="C56" i="12"/>
  <c r="G46" i="12"/>
  <c r="G45" i="12"/>
  <c r="G44" i="12"/>
  <c r="G43" i="12"/>
  <c r="H42" i="12"/>
  <c r="H41" i="12"/>
  <c r="H40" i="12"/>
  <c r="H39" i="12"/>
  <c r="E32" i="12"/>
  <c r="C32" i="12" a="1"/>
  <c r="C32" i="12"/>
  <c r="F3" i="8" s="1"/>
  <c r="G23" i="12"/>
  <c r="K22" i="12"/>
  <c r="G22" i="12"/>
  <c r="L21" i="12"/>
  <c r="E7" i="12"/>
  <c r="D7" i="12"/>
  <c r="D6" i="12"/>
  <c r="E61" i="11"/>
  <c r="C61" i="11" a="1"/>
  <c r="C61" i="11" s="1"/>
  <c r="G60" i="11"/>
  <c r="K59" i="11"/>
  <c r="L59" i="11" s="1"/>
  <c r="J59" i="11"/>
  <c r="I59" i="11"/>
  <c r="H59" i="11"/>
  <c r="G59" i="11"/>
  <c r="G58" i="11"/>
  <c r="K57" i="11"/>
  <c r="L57" i="11" s="1"/>
  <c r="J57" i="11"/>
  <c r="I57" i="11"/>
  <c r="H57" i="11"/>
  <c r="G57" i="11"/>
  <c r="G56" i="11"/>
  <c r="E50" i="11"/>
  <c r="C50" i="11" a="1"/>
  <c r="C50" i="11"/>
  <c r="L49" i="11"/>
  <c r="J49" i="11"/>
  <c r="I49" i="11"/>
  <c r="K49" i="11" s="1"/>
  <c r="G49" i="11"/>
  <c r="H49" i="11" s="1"/>
  <c r="G48" i="11"/>
  <c r="I47" i="11"/>
  <c r="H47" i="11"/>
  <c r="G47" i="11"/>
  <c r="G46" i="11"/>
  <c r="H46" i="11" s="1"/>
  <c r="K45" i="11"/>
  <c r="L45" i="11" s="1"/>
  <c r="J45" i="11"/>
  <c r="I45" i="11"/>
  <c r="H45" i="11"/>
  <c r="G45" i="11"/>
  <c r="E40" i="11"/>
  <c r="C40" i="11" a="1"/>
  <c r="C40" i="11" s="1"/>
  <c r="G39" i="11"/>
  <c r="J38" i="11"/>
  <c r="H38" i="11"/>
  <c r="G38" i="11"/>
  <c r="I38" i="11" s="1"/>
  <c r="K38" i="11" s="1"/>
  <c r="L38" i="11" s="1"/>
  <c r="G37" i="11"/>
  <c r="L36" i="11"/>
  <c r="K36" i="11"/>
  <c r="J36" i="11"/>
  <c r="H36" i="11"/>
  <c r="G36" i="11"/>
  <c r="I36" i="11" s="1"/>
  <c r="G35" i="11"/>
  <c r="I35" i="11" s="1"/>
  <c r="E30" i="11"/>
  <c r="C30" i="11" a="1"/>
  <c r="C30" i="11" s="1"/>
  <c r="I4" i="8" s="1"/>
  <c r="C4" i="8" s="1"/>
  <c r="L29" i="11"/>
  <c r="K29" i="11"/>
  <c r="J29" i="11"/>
  <c r="I29" i="11"/>
  <c r="G29" i="11"/>
  <c r="H29" i="11" s="1"/>
  <c r="I28" i="11"/>
  <c r="H28" i="11"/>
  <c r="G28" i="11"/>
  <c r="J27" i="11"/>
  <c r="I27" i="11"/>
  <c r="K27" i="11" s="1"/>
  <c r="L27" i="11" s="1"/>
  <c r="G27" i="11"/>
  <c r="H27" i="11" s="1"/>
  <c r="I26" i="11"/>
  <c r="H26" i="11"/>
  <c r="G26" i="11"/>
  <c r="I25" i="11"/>
  <c r="G25" i="11"/>
  <c r="H25" i="11" s="1"/>
  <c r="E18" i="11"/>
  <c r="C18" i="11" a="1"/>
  <c r="C18" i="11"/>
  <c r="J15" i="11"/>
  <c r="I15" i="11"/>
  <c r="K15" i="11" s="1"/>
  <c r="L15" i="11" s="1"/>
  <c r="H15" i="11"/>
  <c r="G15" i="11"/>
  <c r="L14" i="11"/>
  <c r="G14" i="11"/>
  <c r="H14" i="11" s="1"/>
  <c r="L13" i="11"/>
  <c r="G13" i="11"/>
  <c r="D7" i="11"/>
  <c r="G9" i="10"/>
  <c r="F9" i="10"/>
  <c r="D9" i="10"/>
  <c r="F8" i="10"/>
  <c r="C8" i="10"/>
  <c r="F7" i="10"/>
  <c r="C7" i="10"/>
  <c r="F6" i="10"/>
  <c r="E9" i="10" s="1"/>
  <c r="C6" i="10"/>
  <c r="B6" i="10"/>
  <c r="E329" i="9"/>
  <c r="B329" i="9"/>
  <c r="H328" i="9"/>
  <c r="G328" i="9"/>
  <c r="I328" i="9" s="1"/>
  <c r="J327" i="9"/>
  <c r="I327" i="9"/>
  <c r="K327" i="9" s="1"/>
  <c r="L327" i="9" s="1"/>
  <c r="H327" i="9"/>
  <c r="G327" i="9"/>
  <c r="G326" i="9"/>
  <c r="I326" i="9" s="1"/>
  <c r="K325" i="9"/>
  <c r="L325" i="9" s="1"/>
  <c r="J325" i="9"/>
  <c r="I325" i="9"/>
  <c r="H325" i="9"/>
  <c r="G325" i="9"/>
  <c r="G324" i="9"/>
  <c r="I323" i="9"/>
  <c r="K323" i="9" s="1"/>
  <c r="L323" i="9" s="1"/>
  <c r="H323" i="9"/>
  <c r="G323" i="9"/>
  <c r="G322" i="9"/>
  <c r="H322" i="9" s="1"/>
  <c r="I321" i="9"/>
  <c r="G321" i="9"/>
  <c r="H321" i="9" s="1"/>
  <c r="K320" i="9"/>
  <c r="L320" i="9" s="1"/>
  <c r="I320" i="9"/>
  <c r="J320" i="9" s="1"/>
  <c r="H320" i="9"/>
  <c r="G320" i="9"/>
  <c r="G319" i="9"/>
  <c r="I318" i="9"/>
  <c r="G318" i="9"/>
  <c r="H318" i="9" s="1"/>
  <c r="J317" i="9"/>
  <c r="I317" i="9"/>
  <c r="K317" i="9" s="1"/>
  <c r="L317" i="9" s="1"/>
  <c r="H317" i="9"/>
  <c r="G317" i="9"/>
  <c r="K316" i="9"/>
  <c r="L316" i="9" s="1"/>
  <c r="I316" i="9"/>
  <c r="J316" i="9" s="1"/>
  <c r="H316" i="9"/>
  <c r="G316" i="9"/>
  <c r="H315" i="9"/>
  <c r="G315" i="9"/>
  <c r="I315" i="9" s="1"/>
  <c r="I314" i="9"/>
  <c r="J314" i="9" s="1"/>
  <c r="H314" i="9"/>
  <c r="G314" i="9"/>
  <c r="H313" i="9"/>
  <c r="G313" i="9"/>
  <c r="I313" i="9" s="1"/>
  <c r="H312" i="9"/>
  <c r="G312" i="9"/>
  <c r="I312" i="9" s="1"/>
  <c r="G311" i="9"/>
  <c r="L310" i="9"/>
  <c r="K310" i="9"/>
  <c r="I310" i="9"/>
  <c r="J310" i="9" s="1"/>
  <c r="H310" i="9"/>
  <c r="G310" i="9"/>
  <c r="G309" i="9"/>
  <c r="H309" i="9" s="1"/>
  <c r="G308" i="9"/>
  <c r="I308" i="9" s="1"/>
  <c r="L307" i="9"/>
  <c r="K307" i="9"/>
  <c r="J307" i="9"/>
  <c r="I307" i="9"/>
  <c r="H307" i="9"/>
  <c r="G307" i="9"/>
  <c r="G306" i="9"/>
  <c r="I306" i="9" s="1"/>
  <c r="K305" i="9"/>
  <c r="L305" i="9" s="1"/>
  <c r="J305" i="9"/>
  <c r="I305" i="9"/>
  <c r="G305" i="9"/>
  <c r="H305" i="9" s="1"/>
  <c r="H304" i="9"/>
  <c r="G304" i="9"/>
  <c r="I304" i="9" s="1"/>
  <c r="K303" i="9"/>
  <c r="L303" i="9" s="1"/>
  <c r="I303" i="9"/>
  <c r="J303" i="9" s="1"/>
  <c r="H303" i="9"/>
  <c r="G303" i="9"/>
  <c r="H302" i="9"/>
  <c r="G302" i="9"/>
  <c r="I302" i="9" s="1"/>
  <c r="G301" i="9"/>
  <c r="G300" i="9"/>
  <c r="L299" i="9"/>
  <c r="K299" i="9"/>
  <c r="J299" i="9"/>
  <c r="I299" i="9"/>
  <c r="G299" i="9"/>
  <c r="H299" i="9" s="1"/>
  <c r="G298" i="9"/>
  <c r="H298" i="9" s="1"/>
  <c r="H297" i="9"/>
  <c r="G297" i="9"/>
  <c r="I297" i="9" s="1"/>
  <c r="L296" i="9"/>
  <c r="K296" i="9"/>
  <c r="I296" i="9"/>
  <c r="J296" i="9" s="1"/>
  <c r="H296" i="9"/>
  <c r="G296" i="9"/>
  <c r="G295" i="9"/>
  <c r="I295" i="9" s="1"/>
  <c r="J295" i="9" s="1"/>
  <c r="I294" i="9"/>
  <c r="G294" i="9"/>
  <c r="H294" i="9" s="1"/>
  <c r="G293" i="9"/>
  <c r="I292" i="9"/>
  <c r="H292" i="9"/>
  <c r="G292" i="9"/>
  <c r="I291" i="9"/>
  <c r="H291" i="9"/>
  <c r="G291" i="9"/>
  <c r="H290" i="9"/>
  <c r="G290" i="9"/>
  <c r="I290" i="9" s="1"/>
  <c r="G289" i="9"/>
  <c r="L288" i="9"/>
  <c r="K288" i="9"/>
  <c r="I288" i="9"/>
  <c r="J288" i="9" s="1"/>
  <c r="H288" i="9"/>
  <c r="G288" i="9"/>
  <c r="G287" i="9"/>
  <c r="G286" i="9"/>
  <c r="G285" i="9"/>
  <c r="H285" i="9" s="1"/>
  <c r="L284" i="9"/>
  <c r="K284" i="9"/>
  <c r="I284" i="9"/>
  <c r="J284" i="9" s="1"/>
  <c r="H284" i="9"/>
  <c r="G284" i="9"/>
  <c r="L283" i="9"/>
  <c r="K283" i="9"/>
  <c r="J283" i="9"/>
  <c r="I283" i="9"/>
  <c r="H283" i="9"/>
  <c r="G283" i="9"/>
  <c r="K282" i="9"/>
  <c r="L282" i="9" s="1"/>
  <c r="I282" i="9"/>
  <c r="J282" i="9" s="1"/>
  <c r="H282" i="9"/>
  <c r="G282" i="9"/>
  <c r="J281" i="9"/>
  <c r="I281" i="9"/>
  <c r="K281" i="9" s="1"/>
  <c r="L281" i="9" s="1"/>
  <c r="G281" i="9"/>
  <c r="H281" i="9" s="1"/>
  <c r="I280" i="9"/>
  <c r="H280" i="9"/>
  <c r="G280" i="9"/>
  <c r="K279" i="9"/>
  <c r="L279" i="9" s="1"/>
  <c r="J279" i="9"/>
  <c r="I279" i="9"/>
  <c r="H279" i="9"/>
  <c r="G279" i="9"/>
  <c r="H278" i="9"/>
  <c r="G278" i="9"/>
  <c r="I278" i="9" s="1"/>
  <c r="I277" i="9"/>
  <c r="G277" i="9"/>
  <c r="H277" i="9" s="1"/>
  <c r="G276" i="9"/>
  <c r="I275" i="9"/>
  <c r="G275" i="9"/>
  <c r="H275" i="9" s="1"/>
  <c r="I274" i="9"/>
  <c r="J274" i="9" s="1"/>
  <c r="G274" i="9"/>
  <c r="H274" i="9" s="1"/>
  <c r="K273" i="9"/>
  <c r="L273" i="9" s="1"/>
  <c r="J273" i="9"/>
  <c r="I273" i="9"/>
  <c r="H273" i="9"/>
  <c r="G273" i="9"/>
  <c r="L272" i="9"/>
  <c r="K272" i="9"/>
  <c r="I272" i="9"/>
  <c r="J272" i="9" s="1"/>
  <c r="H272" i="9"/>
  <c r="G272" i="9"/>
  <c r="K271" i="9"/>
  <c r="L271" i="9" s="1"/>
  <c r="I271" i="9"/>
  <c r="J271" i="9" s="1"/>
  <c r="H271" i="9"/>
  <c r="G271" i="9"/>
  <c r="I270" i="9"/>
  <c r="G270" i="9"/>
  <c r="H270" i="9" s="1"/>
  <c r="H269" i="9"/>
  <c r="G269" i="9"/>
  <c r="I269" i="9" s="1"/>
  <c r="K268" i="9"/>
  <c r="L268" i="9" s="1"/>
  <c r="I268" i="9"/>
  <c r="J268" i="9" s="1"/>
  <c r="H268" i="9"/>
  <c r="G268" i="9"/>
  <c r="H267" i="9"/>
  <c r="G267" i="9"/>
  <c r="I267" i="9" s="1"/>
  <c r="G266" i="9"/>
  <c r="I266" i="9" s="1"/>
  <c r="K265" i="9"/>
  <c r="L265" i="9" s="1"/>
  <c r="H265" i="9"/>
  <c r="G265" i="9"/>
  <c r="I265" i="9" s="1"/>
  <c r="J265" i="9" s="1"/>
  <c r="I264" i="9"/>
  <c r="G264" i="9"/>
  <c r="H264" i="9" s="1"/>
  <c r="G263" i="9"/>
  <c r="K262" i="9"/>
  <c r="L262" i="9" s="1"/>
  <c r="I262" i="9"/>
  <c r="J262" i="9" s="1"/>
  <c r="G262" i="9"/>
  <c r="H262" i="9" s="1"/>
  <c r="K261" i="9"/>
  <c r="L261" i="9" s="1"/>
  <c r="I261" i="9"/>
  <c r="J261" i="9" s="1"/>
  <c r="G261" i="9"/>
  <c r="H261" i="9" s="1"/>
  <c r="G260" i="9"/>
  <c r="L259" i="9"/>
  <c r="K259" i="9"/>
  <c r="J259" i="9"/>
  <c r="I259" i="9"/>
  <c r="H259" i="9"/>
  <c r="G259" i="9"/>
  <c r="E252" i="9"/>
  <c r="D6" i="8" s="1"/>
  <c r="M6" i="8" s="1"/>
  <c r="B252" i="9"/>
  <c r="I251" i="9"/>
  <c r="H251" i="9"/>
  <c r="G251" i="9"/>
  <c r="K250" i="9"/>
  <c r="L250" i="9" s="1"/>
  <c r="I250" i="9"/>
  <c r="J250" i="9" s="1"/>
  <c r="H250" i="9"/>
  <c r="G250" i="9"/>
  <c r="K249" i="9"/>
  <c r="L249" i="9" s="1"/>
  <c r="J249" i="9"/>
  <c r="I249" i="9"/>
  <c r="H249" i="9"/>
  <c r="G249" i="9"/>
  <c r="K248" i="9"/>
  <c r="L248" i="9" s="1"/>
  <c r="I248" i="9"/>
  <c r="J248" i="9" s="1"/>
  <c r="H248" i="9"/>
  <c r="G248" i="9"/>
  <c r="H247" i="9"/>
  <c r="G247" i="9"/>
  <c r="I247" i="9" s="1"/>
  <c r="K246" i="9"/>
  <c r="L246" i="9" s="1"/>
  <c r="I246" i="9"/>
  <c r="J246" i="9" s="1"/>
  <c r="H246" i="9"/>
  <c r="G246" i="9"/>
  <c r="G245" i="9"/>
  <c r="I244" i="9"/>
  <c r="J244" i="9" s="1"/>
  <c r="H244" i="9"/>
  <c r="G244" i="9"/>
  <c r="H243" i="9"/>
  <c r="G243" i="9"/>
  <c r="I243" i="9" s="1"/>
  <c r="I242" i="9"/>
  <c r="H242" i="9"/>
  <c r="G242" i="9"/>
  <c r="L241" i="9"/>
  <c r="K241" i="9"/>
  <c r="J241" i="9"/>
  <c r="I241" i="9"/>
  <c r="H241" i="9"/>
  <c r="G241" i="9"/>
  <c r="K240" i="9"/>
  <c r="L240" i="9" s="1"/>
  <c r="I240" i="9"/>
  <c r="J240" i="9" s="1"/>
  <c r="H240" i="9"/>
  <c r="G240" i="9"/>
  <c r="L239" i="9"/>
  <c r="K239" i="9"/>
  <c r="J239" i="9"/>
  <c r="I239" i="9"/>
  <c r="H239" i="9"/>
  <c r="G239" i="9"/>
  <c r="K238" i="9"/>
  <c r="L238" i="9" s="1"/>
  <c r="I238" i="9"/>
  <c r="J238" i="9" s="1"/>
  <c r="H238" i="9"/>
  <c r="G238" i="9"/>
  <c r="G237" i="9"/>
  <c r="K236" i="9"/>
  <c r="L236" i="9" s="1"/>
  <c r="I236" i="9"/>
  <c r="J236" i="9" s="1"/>
  <c r="H236" i="9"/>
  <c r="G236" i="9"/>
  <c r="I235" i="9"/>
  <c r="H235" i="9"/>
  <c r="G235" i="9"/>
  <c r="I234" i="9"/>
  <c r="J234" i="9" s="1"/>
  <c r="H234" i="9"/>
  <c r="G234" i="9"/>
  <c r="G233" i="9"/>
  <c r="I232" i="9"/>
  <c r="J232" i="9" s="1"/>
  <c r="H232" i="9"/>
  <c r="G232" i="9"/>
  <c r="H231" i="9"/>
  <c r="G231" i="9"/>
  <c r="I231" i="9" s="1"/>
  <c r="I230" i="9"/>
  <c r="H230" i="9"/>
  <c r="G230" i="9"/>
  <c r="K229" i="9"/>
  <c r="L229" i="9" s="1"/>
  <c r="J229" i="9"/>
  <c r="I229" i="9"/>
  <c r="H229" i="9"/>
  <c r="G229" i="9"/>
  <c r="K228" i="9"/>
  <c r="L228" i="9" s="1"/>
  <c r="I228" i="9"/>
  <c r="J228" i="9" s="1"/>
  <c r="H228" i="9"/>
  <c r="G228" i="9"/>
  <c r="K227" i="9"/>
  <c r="L227" i="9" s="1"/>
  <c r="I227" i="9"/>
  <c r="J227" i="9" s="1"/>
  <c r="H227" i="9"/>
  <c r="G227" i="9"/>
  <c r="I226" i="9"/>
  <c r="H226" i="9"/>
  <c r="G226" i="9"/>
  <c r="I225" i="9"/>
  <c r="G225" i="9"/>
  <c r="H225" i="9" s="1"/>
  <c r="K224" i="9"/>
  <c r="L224" i="9" s="1"/>
  <c r="I224" i="9"/>
  <c r="J224" i="9" s="1"/>
  <c r="H224" i="9"/>
  <c r="G224" i="9"/>
  <c r="K223" i="9"/>
  <c r="L223" i="9" s="1"/>
  <c r="J223" i="9"/>
  <c r="I223" i="9"/>
  <c r="H223" i="9"/>
  <c r="G223" i="9"/>
  <c r="I222" i="9"/>
  <c r="H222" i="9"/>
  <c r="G222" i="9"/>
  <c r="G221" i="9"/>
  <c r="I221" i="9" s="1"/>
  <c r="L220" i="9"/>
  <c r="K220" i="9"/>
  <c r="I220" i="9"/>
  <c r="J220" i="9" s="1"/>
  <c r="H220" i="9"/>
  <c r="G220" i="9"/>
  <c r="G219" i="9"/>
  <c r="I219" i="9" s="1"/>
  <c r="I218" i="9"/>
  <c r="H218" i="9"/>
  <c r="G218" i="9"/>
  <c r="G217" i="9"/>
  <c r="I216" i="9"/>
  <c r="J216" i="9" s="1"/>
  <c r="H216" i="9"/>
  <c r="G216" i="9"/>
  <c r="G215" i="9"/>
  <c r="K214" i="9"/>
  <c r="L214" i="9" s="1"/>
  <c r="I214" i="9"/>
  <c r="J214" i="9" s="1"/>
  <c r="H214" i="9"/>
  <c r="G214" i="9"/>
  <c r="I213" i="9"/>
  <c r="J213" i="9" s="1"/>
  <c r="G213" i="9"/>
  <c r="H213" i="9" s="1"/>
  <c r="K212" i="9"/>
  <c r="L212" i="9" s="1"/>
  <c r="I212" i="9"/>
  <c r="J212" i="9" s="1"/>
  <c r="H212" i="9"/>
  <c r="G212" i="9"/>
  <c r="L211" i="9"/>
  <c r="J211" i="9"/>
  <c r="H211" i="9"/>
  <c r="G211" i="9"/>
  <c r="I211" i="9" s="1"/>
  <c r="K211" i="9" s="1"/>
  <c r="I210" i="9"/>
  <c r="J210" i="9" s="1"/>
  <c r="H210" i="9"/>
  <c r="G210" i="9"/>
  <c r="K209" i="9"/>
  <c r="L209" i="9" s="1"/>
  <c r="I209" i="9"/>
  <c r="J209" i="9" s="1"/>
  <c r="G209" i="9"/>
  <c r="H209" i="9" s="1"/>
  <c r="I208" i="9"/>
  <c r="H208" i="9"/>
  <c r="G208" i="9"/>
  <c r="K207" i="9"/>
  <c r="L207" i="9" s="1"/>
  <c r="J207" i="9"/>
  <c r="I207" i="9"/>
  <c r="H207" i="9"/>
  <c r="G207" i="9"/>
  <c r="I206" i="9"/>
  <c r="J206" i="9" s="1"/>
  <c r="H206" i="9"/>
  <c r="G206" i="9"/>
  <c r="G205" i="9"/>
  <c r="H205" i="9" s="1"/>
  <c r="K204" i="9"/>
  <c r="L204" i="9" s="1"/>
  <c r="I204" i="9"/>
  <c r="J204" i="9" s="1"/>
  <c r="H204" i="9"/>
  <c r="G204" i="9"/>
  <c r="J203" i="9"/>
  <c r="I203" i="9"/>
  <c r="K203" i="9" s="1"/>
  <c r="L203" i="9" s="1"/>
  <c r="H203" i="9"/>
  <c r="G203" i="9"/>
  <c r="I202" i="9"/>
  <c r="H202" i="9"/>
  <c r="G202" i="9"/>
  <c r="H201" i="9"/>
  <c r="G201" i="9"/>
  <c r="I201" i="9" s="1"/>
  <c r="K201" i="9" s="1"/>
  <c r="L201" i="9" s="1"/>
  <c r="K200" i="9"/>
  <c r="L200" i="9" s="1"/>
  <c r="I200" i="9"/>
  <c r="J200" i="9" s="1"/>
  <c r="H200" i="9"/>
  <c r="G200" i="9"/>
  <c r="I199" i="9"/>
  <c r="H199" i="9"/>
  <c r="G199" i="9"/>
  <c r="I198" i="9"/>
  <c r="H198" i="9"/>
  <c r="G198" i="9"/>
  <c r="G197" i="9"/>
  <c r="I197" i="9" s="1"/>
  <c r="K196" i="9"/>
  <c r="L196" i="9" s="1"/>
  <c r="I196" i="9"/>
  <c r="J196" i="9" s="1"/>
  <c r="H196" i="9"/>
  <c r="G196" i="9"/>
  <c r="I195" i="9"/>
  <c r="H195" i="9"/>
  <c r="G195" i="9"/>
  <c r="I194" i="9"/>
  <c r="J194" i="9" s="1"/>
  <c r="H194" i="9"/>
  <c r="G194" i="9"/>
  <c r="K193" i="9"/>
  <c r="L193" i="9" s="1"/>
  <c r="H193" i="9"/>
  <c r="G193" i="9"/>
  <c r="I193" i="9" s="1"/>
  <c r="J193" i="9" s="1"/>
  <c r="I192" i="9"/>
  <c r="H192" i="9"/>
  <c r="G192" i="9"/>
  <c r="G191" i="9"/>
  <c r="K190" i="9"/>
  <c r="L190" i="9" s="1"/>
  <c r="I190" i="9"/>
  <c r="J190" i="9" s="1"/>
  <c r="H190" i="9"/>
  <c r="G190" i="9"/>
  <c r="I189" i="9"/>
  <c r="G189" i="9"/>
  <c r="H189" i="9" s="1"/>
  <c r="I188" i="9"/>
  <c r="J188" i="9" s="1"/>
  <c r="H188" i="9"/>
  <c r="G188" i="9"/>
  <c r="L187" i="9"/>
  <c r="J187" i="9"/>
  <c r="H187" i="9"/>
  <c r="G187" i="9"/>
  <c r="I187" i="9" s="1"/>
  <c r="K187" i="9" s="1"/>
  <c r="I186" i="9"/>
  <c r="H186" i="9"/>
  <c r="G186" i="9"/>
  <c r="G185" i="9"/>
  <c r="I184" i="9"/>
  <c r="H184" i="9"/>
  <c r="G184" i="9"/>
  <c r="L183" i="9"/>
  <c r="K183" i="9"/>
  <c r="J183" i="9"/>
  <c r="I183" i="9"/>
  <c r="H183" i="9"/>
  <c r="G183" i="9"/>
  <c r="I182" i="9"/>
  <c r="J182" i="9" s="1"/>
  <c r="H182" i="9"/>
  <c r="G182" i="9"/>
  <c r="L181" i="9"/>
  <c r="K181" i="9"/>
  <c r="J181" i="9"/>
  <c r="I181" i="9"/>
  <c r="H181" i="9"/>
  <c r="G181" i="9"/>
  <c r="K180" i="9"/>
  <c r="L180" i="9" s="1"/>
  <c r="I180" i="9"/>
  <c r="J180" i="9" s="1"/>
  <c r="H180" i="9"/>
  <c r="G180" i="9"/>
  <c r="J179" i="9"/>
  <c r="H179" i="9"/>
  <c r="G179" i="9"/>
  <c r="I179" i="9" s="1"/>
  <c r="K179" i="9" s="1"/>
  <c r="L179" i="9" s="1"/>
  <c r="I178" i="9"/>
  <c r="H178" i="9"/>
  <c r="G178" i="9"/>
  <c r="J177" i="9"/>
  <c r="I177" i="9"/>
  <c r="K177" i="9" s="1"/>
  <c r="L177" i="9" s="1"/>
  <c r="H177" i="9"/>
  <c r="G177" i="9"/>
  <c r="L176" i="9"/>
  <c r="K176" i="9"/>
  <c r="I176" i="9"/>
  <c r="J176" i="9" s="1"/>
  <c r="H176" i="9"/>
  <c r="G176" i="9"/>
  <c r="H175" i="9"/>
  <c r="G175" i="9"/>
  <c r="I175" i="9" s="1"/>
  <c r="I174" i="9"/>
  <c r="J174" i="9" s="1"/>
  <c r="H174" i="9"/>
  <c r="G174" i="9"/>
  <c r="G173" i="9"/>
  <c r="I173" i="9" s="1"/>
  <c r="I172" i="9"/>
  <c r="H172" i="9"/>
  <c r="G172" i="9"/>
  <c r="I171" i="9"/>
  <c r="H171" i="9"/>
  <c r="G171" i="9"/>
  <c r="I170" i="9"/>
  <c r="J170" i="9" s="1"/>
  <c r="H170" i="9"/>
  <c r="G170" i="9"/>
  <c r="K169" i="9"/>
  <c r="L169" i="9" s="1"/>
  <c r="H169" i="9"/>
  <c r="G169" i="9"/>
  <c r="I169" i="9" s="1"/>
  <c r="J169" i="9" s="1"/>
  <c r="I168" i="9"/>
  <c r="H168" i="9"/>
  <c r="G168" i="9"/>
  <c r="G167" i="9"/>
  <c r="L166" i="9"/>
  <c r="K166" i="9"/>
  <c r="I166" i="9"/>
  <c r="J166" i="9" s="1"/>
  <c r="H166" i="9"/>
  <c r="G166" i="9"/>
  <c r="K165" i="9"/>
  <c r="L165" i="9" s="1"/>
  <c r="I165" i="9"/>
  <c r="J165" i="9" s="1"/>
  <c r="G165" i="9"/>
  <c r="H165" i="9" s="1"/>
  <c r="K164" i="9"/>
  <c r="L164" i="9" s="1"/>
  <c r="I164" i="9"/>
  <c r="J164" i="9" s="1"/>
  <c r="H164" i="9"/>
  <c r="G164" i="9"/>
  <c r="H163" i="9"/>
  <c r="G163" i="9"/>
  <c r="I163" i="9" s="1"/>
  <c r="I162" i="9"/>
  <c r="J162" i="9" s="1"/>
  <c r="H162" i="9"/>
  <c r="G162" i="9"/>
  <c r="I161" i="9"/>
  <c r="G161" i="9"/>
  <c r="H161" i="9" s="1"/>
  <c r="I160" i="9"/>
  <c r="H160" i="9"/>
  <c r="G160" i="9"/>
  <c r="I159" i="9"/>
  <c r="K159" i="9" s="1"/>
  <c r="L159" i="9" s="1"/>
  <c r="H159" i="9"/>
  <c r="G159" i="9"/>
  <c r="E151" i="9"/>
  <c r="B8" i="10" s="1"/>
  <c r="C151" i="9"/>
  <c r="H150" i="9"/>
  <c r="L149" i="9"/>
  <c r="G149" i="9"/>
  <c r="K149" i="9" s="1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3" i="9"/>
  <c r="G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E111" i="9"/>
  <c r="C111" i="9"/>
  <c r="B4" i="8" s="1"/>
  <c r="L110" i="9"/>
  <c r="K110" i="9"/>
  <c r="J110" i="9"/>
  <c r="H110" i="9"/>
  <c r="G110" i="9"/>
  <c r="L109" i="9"/>
  <c r="K109" i="9"/>
  <c r="J109" i="9"/>
  <c r="G109" i="9"/>
  <c r="H109" i="9" s="1"/>
  <c r="K108" i="9"/>
  <c r="L108" i="9" s="1"/>
  <c r="J108" i="9"/>
  <c r="G108" i="9"/>
  <c r="H108" i="9" s="1"/>
  <c r="L107" i="9"/>
  <c r="K107" i="9"/>
  <c r="J107" i="9"/>
  <c r="H107" i="9"/>
  <c r="G107" i="9"/>
  <c r="L106" i="9"/>
  <c r="K106" i="9"/>
  <c r="J106" i="9"/>
  <c r="G106" i="9"/>
  <c r="H106" i="9" s="1"/>
  <c r="K105" i="9"/>
  <c r="L105" i="9" s="1"/>
  <c r="J105" i="9"/>
  <c r="G105" i="9"/>
  <c r="H105" i="9" s="1"/>
  <c r="K104" i="9"/>
  <c r="L104" i="9" s="1"/>
  <c r="J104" i="9"/>
  <c r="G104" i="9"/>
  <c r="H104" i="9" s="1"/>
  <c r="K103" i="9"/>
  <c r="L103" i="9" s="1"/>
  <c r="J103" i="9"/>
  <c r="G103" i="9"/>
  <c r="H103" i="9" s="1"/>
  <c r="K102" i="9"/>
  <c r="L102" i="9" s="1"/>
  <c r="J102" i="9"/>
  <c r="G102" i="9"/>
  <c r="H102" i="9" s="1"/>
  <c r="L101" i="9"/>
  <c r="K101" i="9"/>
  <c r="J101" i="9"/>
  <c r="H101" i="9"/>
  <c r="G101" i="9"/>
  <c r="L100" i="9"/>
  <c r="K100" i="9"/>
  <c r="J100" i="9"/>
  <c r="G100" i="9"/>
  <c r="H100" i="9" s="1"/>
  <c r="K99" i="9"/>
  <c r="L99" i="9" s="1"/>
  <c r="J99" i="9"/>
  <c r="G99" i="9"/>
  <c r="H99" i="9" s="1"/>
  <c r="L98" i="9"/>
  <c r="K98" i="9"/>
  <c r="J98" i="9"/>
  <c r="H98" i="9"/>
  <c r="G98" i="9"/>
  <c r="K97" i="9"/>
  <c r="L97" i="9" s="1"/>
  <c r="J97" i="9"/>
  <c r="G97" i="9"/>
  <c r="H97" i="9" s="1"/>
  <c r="L96" i="9"/>
  <c r="K96" i="9"/>
  <c r="J96" i="9"/>
  <c r="H96" i="9"/>
  <c r="G96" i="9"/>
  <c r="L95" i="9"/>
  <c r="K95" i="9"/>
  <c r="J95" i="9"/>
  <c r="H95" i="9"/>
  <c r="G95" i="9"/>
  <c r="K94" i="9"/>
  <c r="L94" i="9" s="1"/>
  <c r="J94" i="9"/>
  <c r="H94" i="9"/>
  <c r="G94" i="9"/>
  <c r="K93" i="9"/>
  <c r="L93" i="9" s="1"/>
  <c r="J93" i="9"/>
  <c r="G93" i="9"/>
  <c r="H93" i="9" s="1"/>
  <c r="K92" i="9"/>
  <c r="L92" i="9" s="1"/>
  <c r="J92" i="9"/>
  <c r="G92" i="9"/>
  <c r="H92" i="9" s="1"/>
  <c r="K91" i="9"/>
  <c r="L91" i="9" s="1"/>
  <c r="J91" i="9"/>
  <c r="H91" i="9"/>
  <c r="G91" i="9"/>
  <c r="K90" i="9"/>
  <c r="L90" i="9" s="1"/>
  <c r="J90" i="9"/>
  <c r="G90" i="9"/>
  <c r="H90" i="9" s="1"/>
  <c r="K89" i="9"/>
  <c r="L89" i="9" s="1"/>
  <c r="J89" i="9"/>
  <c r="G89" i="9"/>
  <c r="H89" i="9" s="1"/>
  <c r="L88" i="9"/>
  <c r="K88" i="9"/>
  <c r="J88" i="9"/>
  <c r="G88" i="9"/>
  <c r="H88" i="9" s="1"/>
  <c r="K87" i="9"/>
  <c r="L87" i="9" s="1"/>
  <c r="J87" i="9"/>
  <c r="G87" i="9"/>
  <c r="H87" i="9" s="1"/>
  <c r="K86" i="9"/>
  <c r="L86" i="9" s="1"/>
  <c r="J86" i="9"/>
  <c r="H86" i="9"/>
  <c r="G86" i="9"/>
  <c r="L85" i="9"/>
  <c r="K85" i="9"/>
  <c r="J85" i="9"/>
  <c r="G85" i="9"/>
  <c r="H85" i="9" s="1"/>
  <c r="K84" i="9"/>
  <c r="L84" i="9" s="1"/>
  <c r="J84" i="9"/>
  <c r="G84" i="9"/>
  <c r="H84" i="9" s="1"/>
  <c r="L83" i="9"/>
  <c r="K83" i="9"/>
  <c r="J83" i="9"/>
  <c r="H83" i="9"/>
  <c r="G83" i="9"/>
  <c r="K82" i="9"/>
  <c r="L82" i="9" s="1"/>
  <c r="J82" i="9"/>
  <c r="H82" i="9"/>
  <c r="G82" i="9"/>
  <c r="K81" i="9"/>
  <c r="L81" i="9" s="1"/>
  <c r="J81" i="9"/>
  <c r="G81" i="9"/>
  <c r="H81" i="9" s="1"/>
  <c r="K80" i="9"/>
  <c r="L80" i="9" s="1"/>
  <c r="J80" i="9"/>
  <c r="H80" i="9"/>
  <c r="G80" i="9"/>
  <c r="K79" i="9"/>
  <c r="L79" i="9" s="1"/>
  <c r="J79" i="9"/>
  <c r="G79" i="9"/>
  <c r="H79" i="9" s="1"/>
  <c r="K78" i="9"/>
  <c r="L78" i="9" s="1"/>
  <c r="J78" i="9"/>
  <c r="H78" i="9"/>
  <c r="G78" i="9"/>
  <c r="K77" i="9"/>
  <c r="L77" i="9" s="1"/>
  <c r="J77" i="9"/>
  <c r="H77" i="9"/>
  <c r="G77" i="9"/>
  <c r="L76" i="9"/>
  <c r="K76" i="9"/>
  <c r="J76" i="9"/>
  <c r="H76" i="9"/>
  <c r="G76" i="9"/>
  <c r="L75" i="9"/>
  <c r="K75" i="9"/>
  <c r="J75" i="9"/>
  <c r="G75" i="9"/>
  <c r="H75" i="9" s="1"/>
  <c r="L74" i="9"/>
  <c r="K74" i="9"/>
  <c r="J74" i="9"/>
  <c r="H74" i="9"/>
  <c r="G74" i="9"/>
  <c r="L73" i="9"/>
  <c r="K73" i="9"/>
  <c r="J73" i="9"/>
  <c r="H73" i="9"/>
  <c r="G73" i="9"/>
  <c r="K72" i="9"/>
  <c r="L72" i="9" s="1"/>
  <c r="J72" i="9"/>
  <c r="G72" i="9"/>
  <c r="H72" i="9" s="1"/>
  <c r="L71" i="9"/>
  <c r="K71" i="9"/>
  <c r="J71" i="9"/>
  <c r="H71" i="9"/>
  <c r="G71" i="9"/>
  <c r="L70" i="9"/>
  <c r="K70" i="9"/>
  <c r="J70" i="9"/>
  <c r="G70" i="9"/>
  <c r="H70" i="9" s="1"/>
  <c r="K69" i="9"/>
  <c r="L69" i="9" s="1"/>
  <c r="J69" i="9"/>
  <c r="G69" i="9"/>
  <c r="H69" i="9" s="1"/>
  <c r="K68" i="9"/>
  <c r="L68" i="9" s="1"/>
  <c r="J68" i="9"/>
  <c r="H68" i="9"/>
  <c r="G68" i="9"/>
  <c r="K67" i="9"/>
  <c r="L67" i="9" s="1"/>
  <c r="J67" i="9"/>
  <c r="G67" i="9"/>
  <c r="H67" i="9" s="1"/>
  <c r="K66" i="9"/>
  <c r="L66" i="9" s="1"/>
  <c r="J66" i="9"/>
  <c r="G66" i="9"/>
  <c r="H66" i="9" s="1"/>
  <c r="K65" i="9"/>
  <c r="L65" i="9" s="1"/>
  <c r="J65" i="9"/>
  <c r="H65" i="9"/>
  <c r="G65" i="9"/>
  <c r="L64" i="9"/>
  <c r="K64" i="9"/>
  <c r="J64" i="9"/>
  <c r="G64" i="9"/>
  <c r="H64" i="9" s="1"/>
  <c r="L63" i="9"/>
  <c r="K63" i="9"/>
  <c r="J63" i="9"/>
  <c r="H63" i="9"/>
  <c r="G63" i="9"/>
  <c r="K62" i="9"/>
  <c r="L62" i="9" s="1"/>
  <c r="J62" i="9"/>
  <c r="G62" i="9"/>
  <c r="H62" i="9" s="1"/>
  <c r="K61" i="9"/>
  <c r="L61" i="9" s="1"/>
  <c r="J61" i="9"/>
  <c r="G61" i="9"/>
  <c r="H61" i="9" s="1"/>
  <c r="E56" i="9"/>
  <c r="C56" i="9"/>
  <c r="B3" i="8" s="1"/>
  <c r="B8" i="8" s="1"/>
  <c r="K55" i="9"/>
  <c r="L54" i="9"/>
  <c r="K54" i="9"/>
  <c r="J54" i="9"/>
  <c r="G54" i="9"/>
  <c r="H54" i="9" s="1"/>
  <c r="K53" i="9"/>
  <c r="L53" i="9" s="1"/>
  <c r="J53" i="9"/>
  <c r="H53" i="9"/>
  <c r="G53" i="9"/>
  <c r="K52" i="9"/>
  <c r="L52" i="9" s="1"/>
  <c r="J52" i="9"/>
  <c r="G52" i="9"/>
  <c r="H52" i="9" s="1"/>
  <c r="K51" i="9"/>
  <c r="L51" i="9" s="1"/>
  <c r="J51" i="9"/>
  <c r="H51" i="9"/>
  <c r="G51" i="9"/>
  <c r="L50" i="9"/>
  <c r="K50" i="9"/>
  <c r="J50" i="9"/>
  <c r="G50" i="9"/>
  <c r="H50" i="9" s="1"/>
  <c r="K49" i="9"/>
  <c r="L49" i="9" s="1"/>
  <c r="J49" i="9"/>
  <c r="G49" i="9"/>
  <c r="H49" i="9" s="1"/>
  <c r="L48" i="9"/>
  <c r="K48" i="9"/>
  <c r="J48" i="9"/>
  <c r="G48" i="9"/>
  <c r="H48" i="9" s="1"/>
  <c r="L47" i="9"/>
  <c r="K47" i="9"/>
  <c r="J47" i="9"/>
  <c r="G47" i="9"/>
  <c r="H47" i="9" s="1"/>
  <c r="K46" i="9"/>
  <c r="L46" i="9" s="1"/>
  <c r="J46" i="9"/>
  <c r="H46" i="9"/>
  <c r="G46" i="9"/>
  <c r="K45" i="9"/>
  <c r="L45" i="9" s="1"/>
  <c r="J45" i="9"/>
  <c r="H45" i="9"/>
  <c r="G45" i="9"/>
  <c r="L44" i="9"/>
  <c r="K44" i="9"/>
  <c r="J44" i="9"/>
  <c r="G44" i="9"/>
  <c r="H44" i="9" s="1"/>
  <c r="K43" i="9"/>
  <c r="L43" i="9" s="1"/>
  <c r="J43" i="9"/>
  <c r="G43" i="9"/>
  <c r="H43" i="9" s="1"/>
  <c r="L42" i="9"/>
  <c r="K42" i="9"/>
  <c r="J42" i="9"/>
  <c r="G42" i="9"/>
  <c r="H42" i="9" s="1"/>
  <c r="K41" i="9"/>
  <c r="L41" i="9" s="1"/>
  <c r="J41" i="9"/>
  <c r="H41" i="9"/>
  <c r="G41" i="9"/>
  <c r="K40" i="9"/>
  <c r="L40" i="9" s="1"/>
  <c r="J40" i="9"/>
  <c r="G40" i="9"/>
  <c r="H40" i="9" s="1"/>
  <c r="K39" i="9"/>
  <c r="L39" i="9" s="1"/>
  <c r="J39" i="9"/>
  <c r="G39" i="9"/>
  <c r="H39" i="9" s="1"/>
  <c r="L38" i="9"/>
  <c r="K38" i="9"/>
  <c r="J38" i="9"/>
  <c r="G38" i="9"/>
  <c r="H38" i="9" s="1"/>
  <c r="L37" i="9"/>
  <c r="K37" i="9"/>
  <c r="J37" i="9"/>
  <c r="H37" i="9"/>
  <c r="G37" i="9"/>
  <c r="K36" i="9"/>
  <c r="L36" i="9" s="1"/>
  <c r="J36" i="9"/>
  <c r="G36" i="9"/>
  <c r="H36" i="9" s="1"/>
  <c r="L35" i="9"/>
  <c r="K35" i="9"/>
  <c r="J35" i="9"/>
  <c r="G35" i="9"/>
  <c r="H35" i="9" s="1"/>
  <c r="K34" i="9"/>
  <c r="L34" i="9" s="1"/>
  <c r="J34" i="9"/>
  <c r="G34" i="9"/>
  <c r="H34" i="9" s="1"/>
  <c r="K33" i="9"/>
  <c r="L33" i="9" s="1"/>
  <c r="J33" i="9"/>
  <c r="H33" i="9"/>
  <c r="G33" i="9"/>
  <c r="L32" i="9"/>
  <c r="K32" i="9"/>
  <c r="J32" i="9"/>
  <c r="G32" i="9"/>
  <c r="H32" i="9" s="1"/>
  <c r="K31" i="9"/>
  <c r="L31" i="9" s="1"/>
  <c r="J31" i="9"/>
  <c r="G31" i="9"/>
  <c r="H31" i="9" s="1"/>
  <c r="L30" i="9"/>
  <c r="K30" i="9"/>
  <c r="J30" i="9"/>
  <c r="G30" i="9"/>
  <c r="H30" i="9" s="1"/>
  <c r="K29" i="9"/>
  <c r="L29" i="9" s="1"/>
  <c r="J29" i="9"/>
  <c r="H29" i="9"/>
  <c r="G29" i="9"/>
  <c r="K28" i="9"/>
  <c r="L28" i="9" s="1"/>
  <c r="J28" i="9"/>
  <c r="H28" i="9"/>
  <c r="G28" i="9"/>
  <c r="L27" i="9"/>
  <c r="K27" i="9"/>
  <c r="J27" i="9"/>
  <c r="H27" i="9"/>
  <c r="G27" i="9"/>
  <c r="L26" i="9"/>
  <c r="K26" i="9"/>
  <c r="J26" i="9"/>
  <c r="G26" i="9"/>
  <c r="H26" i="9" s="1"/>
  <c r="L25" i="9"/>
  <c r="K25" i="9"/>
  <c r="J25" i="9"/>
  <c r="H25" i="9"/>
  <c r="G25" i="9"/>
  <c r="L24" i="9"/>
  <c r="K24" i="9"/>
  <c r="J24" i="9"/>
  <c r="G24" i="9"/>
  <c r="H24" i="9" s="1"/>
  <c r="K23" i="9"/>
  <c r="L23" i="9" s="1"/>
  <c r="J23" i="9"/>
  <c r="H23" i="9"/>
  <c r="G23" i="9"/>
  <c r="L22" i="9"/>
  <c r="K22" i="9"/>
  <c r="J22" i="9"/>
  <c r="H22" i="9"/>
  <c r="G22" i="9"/>
  <c r="K21" i="9"/>
  <c r="L21" i="9" s="1"/>
  <c r="J21" i="9"/>
  <c r="G21" i="9"/>
  <c r="H21" i="9" s="1"/>
  <c r="K20" i="9"/>
  <c r="L20" i="9" s="1"/>
  <c r="J20" i="9"/>
  <c r="H20" i="9"/>
  <c r="G20" i="9"/>
  <c r="K19" i="9"/>
  <c r="L19" i="9" s="1"/>
  <c r="J19" i="9"/>
  <c r="G19" i="9"/>
  <c r="H19" i="9" s="1"/>
  <c r="K18" i="9"/>
  <c r="L18" i="9" s="1"/>
  <c r="J18" i="9"/>
  <c r="H18" i="9"/>
  <c r="G18" i="9"/>
  <c r="L17" i="9"/>
  <c r="K17" i="9"/>
  <c r="J17" i="9"/>
  <c r="H17" i="9"/>
  <c r="G17" i="9"/>
  <c r="K16" i="9"/>
  <c r="L16" i="9" s="1"/>
  <c r="J16" i="9"/>
  <c r="G16" i="9"/>
  <c r="H16" i="9" s="1"/>
  <c r="K15" i="9"/>
  <c r="L15" i="9" s="1"/>
  <c r="J15" i="9"/>
  <c r="H15" i="9"/>
  <c r="G15" i="9"/>
  <c r="L14" i="9"/>
  <c r="K14" i="9"/>
  <c r="J14" i="9"/>
  <c r="G14" i="9"/>
  <c r="H14" i="9" s="1"/>
  <c r="K13" i="9"/>
  <c r="L13" i="9" s="1"/>
  <c r="J13" i="9"/>
  <c r="H13" i="9"/>
  <c r="G13" i="9"/>
  <c r="O7" i="8"/>
  <c r="L7" i="8"/>
  <c r="J7" i="8"/>
  <c r="I7" i="8"/>
  <c r="H7" i="8"/>
  <c r="G7" i="8"/>
  <c r="M7" i="8" s="1"/>
  <c r="F7" i="8"/>
  <c r="D7" i="8"/>
  <c r="B7" i="8"/>
  <c r="O6" i="8"/>
  <c r="L6" i="8"/>
  <c r="J6" i="8"/>
  <c r="I6" i="8"/>
  <c r="C6" i="8" s="1"/>
  <c r="H6" i="8"/>
  <c r="G6" i="8"/>
  <c r="F6" i="8"/>
  <c r="B6" i="8"/>
  <c r="O5" i="8"/>
  <c r="M5" i="8"/>
  <c r="L5" i="8"/>
  <c r="J5" i="8"/>
  <c r="I5" i="8"/>
  <c r="C5" i="8" s="1"/>
  <c r="H5" i="8"/>
  <c r="F5" i="8"/>
  <c r="D5" i="8"/>
  <c r="B5" i="8"/>
  <c r="O4" i="8"/>
  <c r="L4" i="8"/>
  <c r="J4" i="8"/>
  <c r="H4" i="8"/>
  <c r="G4" i="8"/>
  <c r="F4" i="8"/>
  <c r="J3" i="8"/>
  <c r="I3" i="8"/>
  <c r="G3" i="8"/>
  <c r="D3" i="8"/>
  <c r="C3" i="8"/>
  <c r="E171" i="7"/>
  <c r="D171" i="7"/>
  <c r="K170" i="7"/>
  <c r="L170" i="7" s="1"/>
  <c r="J170" i="7"/>
  <c r="G170" i="7"/>
  <c r="H170" i="7" s="1"/>
  <c r="J169" i="7"/>
  <c r="G169" i="7"/>
  <c r="J168" i="7"/>
  <c r="G168" i="7"/>
  <c r="K168" i="7" s="1"/>
  <c r="L168" i="7" s="1"/>
  <c r="J167" i="7"/>
  <c r="G167" i="7"/>
  <c r="J166" i="7"/>
  <c r="G166" i="7"/>
  <c r="H166" i="7" s="1"/>
  <c r="L165" i="7"/>
  <c r="K165" i="7"/>
  <c r="J165" i="7"/>
  <c r="H165" i="7"/>
  <c r="G165" i="7"/>
  <c r="J164" i="7"/>
  <c r="H164" i="7"/>
  <c r="G164" i="7"/>
  <c r="K164" i="7" s="1"/>
  <c r="L164" i="7" s="1"/>
  <c r="J163" i="7"/>
  <c r="G163" i="7"/>
  <c r="K162" i="7"/>
  <c r="L162" i="7" s="1"/>
  <c r="J162" i="7"/>
  <c r="H162" i="7"/>
  <c r="G162" i="7"/>
  <c r="L161" i="7"/>
  <c r="K161" i="7"/>
  <c r="J161" i="7"/>
  <c r="G161" i="7"/>
  <c r="H161" i="7" s="1"/>
  <c r="K160" i="7"/>
  <c r="L160" i="7" s="1"/>
  <c r="J160" i="7"/>
  <c r="H160" i="7"/>
  <c r="G160" i="7"/>
  <c r="L159" i="7"/>
  <c r="K159" i="7"/>
  <c r="J159" i="7"/>
  <c r="H159" i="7"/>
  <c r="G159" i="7"/>
  <c r="K158" i="7"/>
  <c r="L158" i="7" s="1"/>
  <c r="J158" i="7"/>
  <c r="H158" i="7"/>
  <c r="G158" i="7"/>
  <c r="J157" i="7"/>
  <c r="G157" i="7"/>
  <c r="J156" i="7"/>
  <c r="H156" i="7"/>
  <c r="G156" i="7"/>
  <c r="K156" i="7" s="1"/>
  <c r="L156" i="7" s="1"/>
  <c r="E151" i="7"/>
  <c r="D151" i="7"/>
  <c r="L150" i="7"/>
  <c r="K150" i="7"/>
  <c r="J150" i="7"/>
  <c r="G150" i="7"/>
  <c r="H150" i="7" s="1"/>
  <c r="K149" i="7"/>
  <c r="L149" i="7" s="1"/>
  <c r="J149" i="7"/>
  <c r="G149" i="7"/>
  <c r="H149" i="7" s="1"/>
  <c r="L148" i="7"/>
  <c r="K148" i="7"/>
  <c r="J148" i="7"/>
  <c r="H148" i="7"/>
  <c r="G148" i="7"/>
  <c r="L147" i="7"/>
  <c r="K147" i="7"/>
  <c r="J147" i="7"/>
  <c r="H147" i="7"/>
  <c r="G147" i="7"/>
  <c r="K146" i="7"/>
  <c r="L146" i="7" s="1"/>
  <c r="J146" i="7"/>
  <c r="G146" i="7"/>
  <c r="H146" i="7" s="1"/>
  <c r="E141" i="7"/>
  <c r="D141" i="7"/>
  <c r="L140" i="7"/>
  <c r="K140" i="7"/>
  <c r="J140" i="7"/>
  <c r="G140" i="7"/>
  <c r="H140" i="7" s="1"/>
  <c r="L139" i="7"/>
  <c r="K139" i="7"/>
  <c r="J139" i="7"/>
  <c r="H139" i="7"/>
  <c r="H141" i="7" s="1"/>
  <c r="G139" i="7"/>
  <c r="K138" i="7"/>
  <c r="L138" i="7" s="1"/>
  <c r="J138" i="7"/>
  <c r="G138" i="7"/>
  <c r="H138" i="7" s="1"/>
  <c r="E132" i="7"/>
  <c r="D132" i="7"/>
  <c r="K130" i="7"/>
  <c r="L130" i="7" s="1"/>
  <c r="J130" i="7"/>
  <c r="G130" i="7"/>
  <c r="H130" i="7" s="1"/>
  <c r="H132" i="7" s="1"/>
  <c r="H125" i="7"/>
  <c r="E125" i="7"/>
  <c r="D125" i="7"/>
  <c r="H118" i="7"/>
  <c r="E118" i="7"/>
  <c r="D118" i="7"/>
  <c r="E110" i="7"/>
  <c r="D110" i="7"/>
  <c r="L107" i="7"/>
  <c r="K107" i="7"/>
  <c r="J107" i="7"/>
  <c r="I107" i="7"/>
  <c r="H107" i="7"/>
  <c r="H110" i="7" s="1"/>
  <c r="G107" i="7"/>
  <c r="H99" i="7"/>
  <c r="E99" i="7"/>
  <c r="D99" i="7"/>
  <c r="H91" i="7"/>
  <c r="E91" i="7"/>
  <c r="D91" i="7"/>
  <c r="L89" i="7"/>
  <c r="K89" i="7"/>
  <c r="J89" i="7"/>
  <c r="G89" i="7"/>
  <c r="H89" i="7" s="1"/>
  <c r="E84" i="7"/>
  <c r="D84" i="7"/>
  <c r="K82" i="7"/>
  <c r="L82" i="7" s="1"/>
  <c r="J82" i="7"/>
  <c r="G82" i="7"/>
  <c r="H82" i="7" s="1"/>
  <c r="L81" i="7"/>
  <c r="K81" i="7"/>
  <c r="J81" i="7"/>
  <c r="H81" i="7"/>
  <c r="G81" i="7"/>
  <c r="K80" i="7"/>
  <c r="L80" i="7" s="1"/>
  <c r="J80" i="7"/>
  <c r="G80" i="7"/>
  <c r="H80" i="7" s="1"/>
  <c r="L79" i="7"/>
  <c r="K79" i="7"/>
  <c r="J79" i="7"/>
  <c r="H79" i="7"/>
  <c r="G79" i="7"/>
  <c r="E75" i="7"/>
  <c r="D75" i="7"/>
  <c r="K74" i="7"/>
  <c r="L74" i="7" s="1"/>
  <c r="J74" i="7"/>
  <c r="G74" i="7"/>
  <c r="H74" i="7" s="1"/>
  <c r="L73" i="7"/>
  <c r="K73" i="7"/>
  <c r="J73" i="7"/>
  <c r="H73" i="7"/>
  <c r="G73" i="7"/>
  <c r="K72" i="7"/>
  <c r="L72" i="7" s="1"/>
  <c r="J72" i="7"/>
  <c r="G72" i="7"/>
  <c r="H72" i="7" s="1"/>
  <c r="K71" i="7"/>
  <c r="L71" i="7" s="1"/>
  <c r="J71" i="7"/>
  <c r="H71" i="7"/>
  <c r="G71" i="7"/>
  <c r="E65" i="7"/>
  <c r="D65" i="7"/>
  <c r="L63" i="7"/>
  <c r="K63" i="7"/>
  <c r="J63" i="7"/>
  <c r="H63" i="7"/>
  <c r="H65" i="7" s="1"/>
  <c r="G63" i="7"/>
  <c r="K62" i="7"/>
  <c r="L62" i="7" s="1"/>
  <c r="J62" i="7"/>
  <c r="G62" i="7"/>
  <c r="H62" i="7" s="1"/>
  <c r="H57" i="7"/>
  <c r="E57" i="7"/>
  <c r="D57" i="7"/>
  <c r="K53" i="7"/>
  <c r="L53" i="7" s="1"/>
  <c r="J53" i="7"/>
  <c r="H53" i="7"/>
  <c r="G53" i="7"/>
  <c r="K52" i="7"/>
  <c r="L52" i="7" s="1"/>
  <c r="J52" i="7"/>
  <c r="G52" i="7"/>
  <c r="H52" i="7" s="1"/>
  <c r="E46" i="7"/>
  <c r="D46" i="7"/>
  <c r="K43" i="7"/>
  <c r="L43" i="7" s="1"/>
  <c r="J43" i="7"/>
  <c r="G43" i="7"/>
  <c r="H43" i="7" s="1"/>
  <c r="H46" i="7" s="1"/>
  <c r="E37" i="7"/>
  <c r="D37" i="7"/>
  <c r="L33" i="7"/>
  <c r="K33" i="7"/>
  <c r="J33" i="7"/>
  <c r="H33" i="7"/>
  <c r="H37" i="7" s="1"/>
  <c r="G33" i="7"/>
  <c r="H27" i="7"/>
  <c r="E27" i="7"/>
  <c r="D27" i="7"/>
  <c r="E18" i="7"/>
  <c r="D18" i="7"/>
  <c r="K17" i="7"/>
  <c r="L17" i="7" s="1"/>
  <c r="J17" i="7"/>
  <c r="G17" i="7"/>
  <c r="H17" i="7" s="1"/>
  <c r="L16" i="7"/>
  <c r="K16" i="7"/>
  <c r="J16" i="7"/>
  <c r="H16" i="7"/>
  <c r="G16" i="7"/>
  <c r="L15" i="7"/>
  <c r="K15" i="7"/>
  <c r="J15" i="7"/>
  <c r="H15" i="7"/>
  <c r="G15" i="7"/>
  <c r="K14" i="7"/>
  <c r="L14" i="7" s="1"/>
  <c r="J14" i="7"/>
  <c r="H14" i="7"/>
  <c r="H18" i="7" s="1"/>
  <c r="G14" i="7"/>
  <c r="K473" i="6"/>
  <c r="E473" i="6"/>
  <c r="C473" i="6"/>
  <c r="H472" i="6"/>
  <c r="G472" i="6"/>
  <c r="G468" i="6"/>
  <c r="G467" i="6"/>
  <c r="G466" i="6"/>
  <c r="L465" i="6"/>
  <c r="G465" i="6"/>
  <c r="L464" i="6"/>
  <c r="G464" i="6"/>
  <c r="L463" i="6"/>
  <c r="G463" i="6"/>
  <c r="L462" i="6"/>
  <c r="G462" i="6"/>
  <c r="L461" i="6"/>
  <c r="G461" i="6"/>
  <c r="L460" i="6"/>
  <c r="G460" i="6"/>
  <c r="L459" i="6"/>
  <c r="G459" i="6"/>
  <c r="L458" i="6"/>
  <c r="G458" i="6"/>
  <c r="L457" i="6"/>
  <c r="G457" i="6"/>
  <c r="L456" i="6"/>
  <c r="L455" i="6"/>
  <c r="L454" i="6"/>
  <c r="L453" i="6"/>
  <c r="L452" i="6"/>
  <c r="G452" i="6"/>
  <c r="L447" i="6"/>
  <c r="O110" i="4" s="1"/>
  <c r="K447" i="6"/>
  <c r="E447" i="6"/>
  <c r="C447" i="6"/>
  <c r="L440" i="6"/>
  <c r="F440" i="6"/>
  <c r="L423" i="6"/>
  <c r="K423" i="6"/>
  <c r="E423" i="6"/>
  <c r="C423" i="6"/>
  <c r="K413" i="6"/>
  <c r="E413" i="6"/>
  <c r="C413" i="6"/>
  <c r="G412" i="6"/>
  <c r="H412" i="6" s="1"/>
  <c r="J412" i="6" s="1"/>
  <c r="L412" i="6" s="1"/>
  <c r="L413" i="6" s="1"/>
  <c r="J409" i="6"/>
  <c r="F409" i="6"/>
  <c r="J408" i="6"/>
  <c r="J407" i="6"/>
  <c r="J406" i="6"/>
  <c r="J405" i="6"/>
  <c r="L400" i="6"/>
  <c r="K400" i="6"/>
  <c r="E400" i="6"/>
  <c r="C400" i="6"/>
  <c r="J399" i="6"/>
  <c r="J398" i="6"/>
  <c r="J397" i="6"/>
  <c r="J396" i="6"/>
  <c r="J395" i="6"/>
  <c r="K389" i="6"/>
  <c r="E389" i="6"/>
  <c r="C389" i="6"/>
  <c r="J388" i="6"/>
  <c r="L388" i="6" s="1"/>
  <c r="J387" i="6"/>
  <c r="L387" i="6" s="1"/>
  <c r="K382" i="6"/>
  <c r="E382" i="6"/>
  <c r="C382" i="6"/>
  <c r="J381" i="6"/>
  <c r="L381" i="6" s="1"/>
  <c r="J380" i="6"/>
  <c r="L380" i="6" s="1"/>
  <c r="L379" i="6"/>
  <c r="J379" i="6"/>
  <c r="L378" i="6"/>
  <c r="J378" i="6"/>
  <c r="L377" i="6"/>
  <c r="J377" i="6"/>
  <c r="L371" i="6"/>
  <c r="K371" i="6"/>
  <c r="E371" i="6"/>
  <c r="C371" i="6"/>
  <c r="J370" i="6"/>
  <c r="L370" i="6" s="1"/>
  <c r="L369" i="6"/>
  <c r="J369" i="6"/>
  <c r="L368" i="6"/>
  <c r="J368" i="6"/>
  <c r="K362" i="6"/>
  <c r="E362" i="6"/>
  <c r="C362" i="6"/>
  <c r="J360" i="6"/>
  <c r="L360" i="6" s="1"/>
  <c r="F360" i="6"/>
  <c r="J359" i="6"/>
  <c r="L359" i="6" s="1"/>
  <c r="L358" i="6"/>
  <c r="J358" i="6"/>
  <c r="L357" i="6"/>
  <c r="J357" i="6"/>
  <c r="L356" i="6"/>
  <c r="J356" i="6"/>
  <c r="J355" i="6"/>
  <c r="L355" i="6" s="1"/>
  <c r="J354" i="6"/>
  <c r="L354" i="6" s="1"/>
  <c r="J353" i="6"/>
  <c r="L353" i="6" s="1"/>
  <c r="J352" i="6"/>
  <c r="L352" i="6" s="1"/>
  <c r="L351" i="6"/>
  <c r="J351" i="6"/>
  <c r="L350" i="6"/>
  <c r="J350" i="6"/>
  <c r="K345" i="6"/>
  <c r="E345" i="6"/>
  <c r="C345" i="6"/>
  <c r="G343" i="6"/>
  <c r="H343" i="6" s="1"/>
  <c r="J339" i="6"/>
  <c r="L339" i="6" s="1"/>
  <c r="J338" i="6"/>
  <c r="L338" i="6" s="1"/>
  <c r="J337" i="6"/>
  <c r="L337" i="6" s="1"/>
  <c r="J336" i="6"/>
  <c r="L336" i="6" s="1"/>
  <c r="K330" i="6"/>
  <c r="E330" i="6"/>
  <c r="C330" i="6"/>
  <c r="J327" i="6"/>
  <c r="L327" i="6" s="1"/>
  <c r="J326" i="6"/>
  <c r="L326" i="6" s="1"/>
  <c r="J325" i="6"/>
  <c r="L325" i="6" s="1"/>
  <c r="J324" i="6"/>
  <c r="L324" i="6" s="1"/>
  <c r="J323" i="6"/>
  <c r="L323" i="6" s="1"/>
  <c r="L322" i="6"/>
  <c r="J322" i="6"/>
  <c r="J321" i="6"/>
  <c r="L321" i="6" s="1"/>
  <c r="J320" i="6"/>
  <c r="L320" i="6" s="1"/>
  <c r="J319" i="6"/>
  <c r="L319" i="6" s="1"/>
  <c r="J318" i="6"/>
  <c r="L318" i="6" s="1"/>
  <c r="L317" i="6"/>
  <c r="J317" i="6"/>
  <c r="L316" i="6"/>
  <c r="J316" i="6"/>
  <c r="J315" i="6"/>
  <c r="L315" i="6" s="1"/>
  <c r="J314" i="6"/>
  <c r="L314" i="6" s="1"/>
  <c r="J313" i="6"/>
  <c r="L313" i="6" s="1"/>
  <c r="J312" i="6"/>
  <c r="L312" i="6" s="1"/>
  <c r="L311" i="6"/>
  <c r="J311" i="6"/>
  <c r="L310" i="6"/>
  <c r="J310" i="6"/>
  <c r="L309" i="6"/>
  <c r="J309" i="6"/>
  <c r="L308" i="6"/>
  <c r="J308" i="6"/>
  <c r="J307" i="6"/>
  <c r="L307" i="6" s="1"/>
  <c r="J306" i="6"/>
  <c r="L306" i="6" s="1"/>
  <c r="J305" i="6"/>
  <c r="L305" i="6" s="1"/>
  <c r="K300" i="6"/>
  <c r="K4" i="6" s="1"/>
  <c r="E300" i="6"/>
  <c r="C300" i="6"/>
  <c r="G298" i="6"/>
  <c r="H298" i="6" s="1"/>
  <c r="L297" i="6"/>
  <c r="J297" i="6"/>
  <c r="J295" i="6"/>
  <c r="L295" i="6" s="1"/>
  <c r="F295" i="6"/>
  <c r="J294" i="6"/>
  <c r="L294" i="6" s="1"/>
  <c r="J293" i="6"/>
  <c r="L293" i="6" s="1"/>
  <c r="L292" i="6"/>
  <c r="J292" i="6"/>
  <c r="J291" i="6"/>
  <c r="L291" i="6" s="1"/>
  <c r="L290" i="6"/>
  <c r="J290" i="6"/>
  <c r="G290" i="6"/>
  <c r="J289" i="6"/>
  <c r="L289" i="6" s="1"/>
  <c r="J288" i="6"/>
  <c r="L288" i="6" s="1"/>
  <c r="J287" i="6"/>
  <c r="L287" i="6" s="1"/>
  <c r="L300" i="6" s="1"/>
  <c r="O51" i="4" s="1"/>
  <c r="L286" i="6"/>
  <c r="J286" i="6"/>
  <c r="K281" i="6"/>
  <c r="E281" i="6"/>
  <c r="C281" i="6"/>
  <c r="J279" i="6"/>
  <c r="L279" i="6" s="1"/>
  <c r="J278" i="6"/>
  <c r="L278" i="6" s="1"/>
  <c r="L277" i="6"/>
  <c r="J277" i="6"/>
  <c r="L276" i="6"/>
  <c r="J276" i="6"/>
  <c r="L275" i="6"/>
  <c r="J275" i="6"/>
  <c r="J274" i="6"/>
  <c r="L274" i="6" s="1"/>
  <c r="L281" i="6" s="1"/>
  <c r="K267" i="6"/>
  <c r="E267" i="6"/>
  <c r="C267" i="6"/>
  <c r="H264" i="6"/>
  <c r="H263" i="6"/>
  <c r="L258" i="6"/>
  <c r="J258" i="6"/>
  <c r="J257" i="6"/>
  <c r="L257" i="6" s="1"/>
  <c r="J256" i="6"/>
  <c r="L256" i="6" s="1"/>
  <c r="J255" i="6"/>
  <c r="L255" i="6" s="1"/>
  <c r="L254" i="6"/>
  <c r="J254" i="6"/>
  <c r="J253" i="6"/>
  <c r="L253" i="6" s="1"/>
  <c r="J252" i="6"/>
  <c r="L252" i="6" s="1"/>
  <c r="L251" i="6"/>
  <c r="L220" i="6"/>
  <c r="J220" i="6"/>
  <c r="G220" i="6"/>
  <c r="J219" i="6"/>
  <c r="L219" i="6" s="1"/>
  <c r="G219" i="6"/>
  <c r="J218" i="6"/>
  <c r="L218" i="6" s="1"/>
  <c r="G218" i="6"/>
  <c r="H217" i="6"/>
  <c r="J217" i="6" s="1"/>
  <c r="L217" i="6" s="1"/>
  <c r="G217" i="6"/>
  <c r="J216" i="6"/>
  <c r="L216" i="6" s="1"/>
  <c r="G216" i="6"/>
  <c r="J215" i="6"/>
  <c r="L215" i="6" s="1"/>
  <c r="G215" i="6"/>
  <c r="J214" i="6"/>
  <c r="L214" i="6" s="1"/>
  <c r="G214" i="6"/>
  <c r="J213" i="6"/>
  <c r="L213" i="6" s="1"/>
  <c r="G213" i="6"/>
  <c r="J212" i="6"/>
  <c r="L212" i="6" s="1"/>
  <c r="G212" i="6"/>
  <c r="L211" i="6"/>
  <c r="J211" i="6"/>
  <c r="G211" i="6"/>
  <c r="L210" i="6"/>
  <c r="J210" i="6"/>
  <c r="G210" i="6"/>
  <c r="L209" i="6"/>
  <c r="J209" i="6"/>
  <c r="G209" i="6"/>
  <c r="J208" i="6"/>
  <c r="L208" i="6" s="1"/>
  <c r="G208" i="6"/>
  <c r="J207" i="6"/>
  <c r="L207" i="6" s="1"/>
  <c r="G207" i="6"/>
  <c r="L206" i="6"/>
  <c r="J206" i="6"/>
  <c r="G206" i="6"/>
  <c r="J205" i="6"/>
  <c r="L205" i="6" s="1"/>
  <c r="G205" i="6"/>
  <c r="J204" i="6"/>
  <c r="L204" i="6" s="1"/>
  <c r="G204" i="6"/>
  <c r="J203" i="6"/>
  <c r="L203" i="6" s="1"/>
  <c r="G203" i="6"/>
  <c r="L202" i="6"/>
  <c r="J202" i="6"/>
  <c r="G202" i="6"/>
  <c r="L201" i="6"/>
  <c r="J201" i="6"/>
  <c r="G201" i="6"/>
  <c r="J200" i="6"/>
  <c r="L200" i="6" s="1"/>
  <c r="G200" i="6"/>
  <c r="L199" i="6"/>
  <c r="J199" i="6"/>
  <c r="G199" i="6"/>
  <c r="J198" i="6"/>
  <c r="L198" i="6" s="1"/>
  <c r="G198" i="6"/>
  <c r="L197" i="6"/>
  <c r="J197" i="6"/>
  <c r="G197" i="6"/>
  <c r="J196" i="6"/>
  <c r="L196" i="6" s="1"/>
  <c r="G196" i="6"/>
  <c r="J195" i="6"/>
  <c r="L195" i="6" s="1"/>
  <c r="G195" i="6"/>
  <c r="L194" i="6"/>
  <c r="J194" i="6"/>
  <c r="G194" i="6"/>
  <c r="J193" i="6"/>
  <c r="L193" i="6" s="1"/>
  <c r="G193" i="6"/>
  <c r="J192" i="6"/>
  <c r="L192" i="6" s="1"/>
  <c r="G192" i="6"/>
  <c r="L191" i="6"/>
  <c r="J191" i="6"/>
  <c r="G191" i="6"/>
  <c r="J190" i="6"/>
  <c r="L190" i="6" s="1"/>
  <c r="G190" i="6"/>
  <c r="J189" i="6"/>
  <c r="L189" i="6" s="1"/>
  <c r="G189" i="6"/>
  <c r="J188" i="6"/>
  <c r="L188" i="6" s="1"/>
  <c r="G188" i="6"/>
  <c r="J187" i="6"/>
  <c r="L187" i="6" s="1"/>
  <c r="G187" i="6"/>
  <c r="L186" i="6"/>
  <c r="J186" i="6"/>
  <c r="G186" i="6"/>
  <c r="L185" i="6"/>
  <c r="J185" i="6"/>
  <c r="G185" i="6"/>
  <c r="J184" i="6"/>
  <c r="L184" i="6" s="1"/>
  <c r="G184" i="6"/>
  <c r="L183" i="6"/>
  <c r="J183" i="6"/>
  <c r="G183" i="6"/>
  <c r="L182" i="6"/>
  <c r="J182" i="6"/>
  <c r="G182" i="6"/>
  <c r="L181" i="6"/>
  <c r="J181" i="6"/>
  <c r="G181" i="6"/>
  <c r="J180" i="6"/>
  <c r="L180" i="6" s="1"/>
  <c r="G180" i="6"/>
  <c r="L179" i="6"/>
  <c r="J179" i="6"/>
  <c r="G179" i="6"/>
  <c r="J178" i="6"/>
  <c r="L178" i="6" s="1"/>
  <c r="G178" i="6"/>
  <c r="H177" i="6"/>
  <c r="J177" i="6" s="1"/>
  <c r="L177" i="6" s="1"/>
  <c r="G177" i="6"/>
  <c r="K171" i="6"/>
  <c r="E171" i="6"/>
  <c r="C171" i="6"/>
  <c r="G149" i="6"/>
  <c r="H149" i="6" s="1"/>
  <c r="J149" i="6" s="1"/>
  <c r="L149" i="6" s="1"/>
  <c r="H148" i="6"/>
  <c r="J148" i="6" s="1"/>
  <c r="L148" i="6" s="1"/>
  <c r="G148" i="6"/>
  <c r="H147" i="6"/>
  <c r="J147" i="6" s="1"/>
  <c r="L147" i="6" s="1"/>
  <c r="G147" i="6"/>
  <c r="G146" i="6"/>
  <c r="H146" i="6" s="1"/>
  <c r="J146" i="6" s="1"/>
  <c r="L146" i="6" s="1"/>
  <c r="J145" i="6"/>
  <c r="L145" i="6" s="1"/>
  <c r="L144" i="6"/>
  <c r="J144" i="6"/>
  <c r="G144" i="6"/>
  <c r="L143" i="6"/>
  <c r="J143" i="6"/>
  <c r="G143" i="6"/>
  <c r="J142" i="6"/>
  <c r="L142" i="6" s="1"/>
  <c r="G142" i="6"/>
  <c r="L141" i="6"/>
  <c r="J141" i="6"/>
  <c r="G141" i="6"/>
  <c r="L140" i="6"/>
  <c r="J140" i="6"/>
  <c r="G140" i="6"/>
  <c r="L139" i="6"/>
  <c r="J139" i="6"/>
  <c r="G139" i="6"/>
  <c r="J138" i="6"/>
  <c r="L138" i="6" s="1"/>
  <c r="G138" i="6"/>
  <c r="L137" i="6"/>
  <c r="J137" i="6"/>
  <c r="G137" i="6"/>
  <c r="L136" i="6"/>
  <c r="J136" i="6"/>
  <c r="G136" i="6"/>
  <c r="L135" i="6"/>
  <c r="J135" i="6"/>
  <c r="G135" i="6"/>
  <c r="J134" i="6"/>
  <c r="L134" i="6" s="1"/>
  <c r="G134" i="6"/>
  <c r="L133" i="6"/>
  <c r="J133" i="6"/>
  <c r="G133" i="6"/>
  <c r="L132" i="6"/>
  <c r="J132" i="6"/>
  <c r="G132" i="6"/>
  <c r="L131" i="6"/>
  <c r="J131" i="6"/>
  <c r="G131" i="6"/>
  <c r="J130" i="6"/>
  <c r="L130" i="6" s="1"/>
  <c r="G130" i="6"/>
  <c r="L129" i="6"/>
  <c r="J129" i="6"/>
  <c r="G129" i="6"/>
  <c r="L128" i="6"/>
  <c r="J128" i="6"/>
  <c r="G128" i="6"/>
  <c r="L127" i="6"/>
  <c r="J127" i="6"/>
  <c r="G127" i="6"/>
  <c r="J126" i="6"/>
  <c r="L126" i="6" s="1"/>
  <c r="G126" i="6"/>
  <c r="L125" i="6"/>
  <c r="J125" i="6"/>
  <c r="G125" i="6"/>
  <c r="L124" i="6"/>
  <c r="J124" i="6"/>
  <c r="G124" i="6"/>
  <c r="L123" i="6"/>
  <c r="J123" i="6"/>
  <c r="G123" i="6"/>
  <c r="J122" i="6"/>
  <c r="L122" i="6" s="1"/>
  <c r="G122" i="6"/>
  <c r="L121" i="6"/>
  <c r="J121" i="6"/>
  <c r="G121" i="6"/>
  <c r="L120" i="6"/>
  <c r="J120" i="6"/>
  <c r="G120" i="6"/>
  <c r="L119" i="6"/>
  <c r="J119" i="6"/>
  <c r="G119" i="6"/>
  <c r="J118" i="6"/>
  <c r="L118" i="6" s="1"/>
  <c r="G118" i="6"/>
  <c r="L117" i="6"/>
  <c r="J117" i="6"/>
  <c r="G117" i="6"/>
  <c r="L116" i="6"/>
  <c r="J116" i="6"/>
  <c r="G116" i="6"/>
  <c r="L115" i="6"/>
  <c r="J115" i="6"/>
  <c r="G115" i="6"/>
  <c r="J114" i="6"/>
  <c r="L114" i="6" s="1"/>
  <c r="G114" i="6"/>
  <c r="L113" i="6"/>
  <c r="J113" i="6"/>
  <c r="G113" i="6"/>
  <c r="L112" i="6"/>
  <c r="J112" i="6"/>
  <c r="G112" i="6"/>
  <c r="K107" i="6"/>
  <c r="E107" i="6"/>
  <c r="C107" i="6"/>
  <c r="L97" i="6"/>
  <c r="L107" i="6" s="1"/>
  <c r="O17" i="4" s="1"/>
  <c r="J97" i="6"/>
  <c r="G97" i="6"/>
  <c r="J96" i="6"/>
  <c r="L96" i="6" s="1"/>
  <c r="G96" i="6"/>
  <c r="J95" i="6"/>
  <c r="L95" i="6" s="1"/>
  <c r="G95" i="6"/>
  <c r="J94" i="6"/>
  <c r="L94" i="6" s="1"/>
  <c r="G94" i="6"/>
  <c r="L93" i="6"/>
  <c r="J93" i="6"/>
  <c r="G93" i="6"/>
  <c r="L92" i="6"/>
  <c r="J92" i="6"/>
  <c r="G92" i="6"/>
  <c r="J91" i="6"/>
  <c r="L91" i="6" s="1"/>
  <c r="G91" i="6"/>
  <c r="J90" i="6"/>
  <c r="L90" i="6" s="1"/>
  <c r="G90" i="6"/>
  <c r="J89" i="6"/>
  <c r="L89" i="6" s="1"/>
  <c r="G89" i="6"/>
  <c r="L88" i="6"/>
  <c r="J88" i="6"/>
  <c r="G88" i="6"/>
  <c r="J87" i="6"/>
  <c r="L87" i="6" s="1"/>
  <c r="G87" i="6"/>
  <c r="J86" i="6"/>
  <c r="L86" i="6" s="1"/>
  <c r="G86" i="6"/>
  <c r="L79" i="6"/>
  <c r="K79" i="6"/>
  <c r="E79" i="6"/>
  <c r="C79" i="6"/>
  <c r="G78" i="6"/>
  <c r="G77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G23" i="6"/>
  <c r="J22" i="6"/>
  <c r="G22" i="6"/>
  <c r="J21" i="6"/>
  <c r="G21" i="6"/>
  <c r="J20" i="6"/>
  <c r="G20" i="6"/>
  <c r="J19" i="6"/>
  <c r="G19" i="6"/>
  <c r="J18" i="6"/>
  <c r="G18" i="6"/>
  <c r="J17" i="6"/>
  <c r="G17" i="6"/>
  <c r="J16" i="6"/>
  <c r="G16" i="6"/>
  <c r="J15" i="6"/>
  <c r="G15" i="6"/>
  <c r="J14" i="6"/>
  <c r="G14" i="6"/>
  <c r="D5" i="6"/>
  <c r="E746" i="5"/>
  <c r="D746" i="5"/>
  <c r="E114" i="4" s="1"/>
  <c r="L745" i="5"/>
  <c r="K745" i="5"/>
  <c r="J745" i="5"/>
  <c r="H745" i="5"/>
  <c r="G745" i="5"/>
  <c r="J744" i="5"/>
  <c r="G744" i="5"/>
  <c r="K744" i="5" s="1"/>
  <c r="L744" i="5" s="1"/>
  <c r="K743" i="5"/>
  <c r="L743" i="5" s="1"/>
  <c r="J743" i="5"/>
  <c r="H743" i="5"/>
  <c r="G743" i="5"/>
  <c r="L742" i="5"/>
  <c r="J742" i="5"/>
  <c r="H742" i="5"/>
  <c r="G742" i="5"/>
  <c r="K742" i="5" s="1"/>
  <c r="J741" i="5"/>
  <c r="G741" i="5"/>
  <c r="L740" i="5"/>
  <c r="K740" i="5"/>
  <c r="J740" i="5"/>
  <c r="G740" i="5"/>
  <c r="H740" i="5" s="1"/>
  <c r="K739" i="5"/>
  <c r="L739" i="5" s="1"/>
  <c r="J739" i="5"/>
  <c r="G739" i="5"/>
  <c r="H739" i="5" s="1"/>
  <c r="J738" i="5"/>
  <c r="H738" i="5"/>
  <c r="G738" i="5"/>
  <c r="K738" i="5" s="1"/>
  <c r="L738" i="5" s="1"/>
  <c r="J737" i="5"/>
  <c r="G737" i="5"/>
  <c r="J736" i="5"/>
  <c r="H736" i="5"/>
  <c r="G736" i="5"/>
  <c r="K736" i="5" s="1"/>
  <c r="L736" i="5" s="1"/>
  <c r="K735" i="5"/>
  <c r="L735" i="5" s="1"/>
  <c r="J735" i="5"/>
  <c r="G735" i="5"/>
  <c r="H735" i="5" s="1"/>
  <c r="K734" i="5"/>
  <c r="L734" i="5" s="1"/>
  <c r="J734" i="5"/>
  <c r="G734" i="5"/>
  <c r="H734" i="5" s="1"/>
  <c r="L733" i="5"/>
  <c r="K733" i="5"/>
  <c r="J733" i="5"/>
  <c r="H733" i="5"/>
  <c r="G733" i="5"/>
  <c r="K732" i="5"/>
  <c r="L732" i="5" s="1"/>
  <c r="J732" i="5"/>
  <c r="H732" i="5"/>
  <c r="G732" i="5"/>
  <c r="J731" i="5"/>
  <c r="G731" i="5"/>
  <c r="L730" i="5"/>
  <c r="J730" i="5"/>
  <c r="G730" i="5"/>
  <c r="K730" i="5" s="1"/>
  <c r="K729" i="5"/>
  <c r="L729" i="5" s="1"/>
  <c r="J729" i="5"/>
  <c r="G729" i="5"/>
  <c r="H729" i="5" s="1"/>
  <c r="J728" i="5"/>
  <c r="G728" i="5"/>
  <c r="J727" i="5"/>
  <c r="G727" i="5"/>
  <c r="J726" i="5"/>
  <c r="H726" i="5"/>
  <c r="G726" i="5"/>
  <c r="K726" i="5" s="1"/>
  <c r="L726" i="5" s="1"/>
  <c r="K725" i="5"/>
  <c r="L725" i="5" s="1"/>
  <c r="J725" i="5"/>
  <c r="H725" i="5"/>
  <c r="G725" i="5"/>
  <c r="L724" i="5"/>
  <c r="K724" i="5"/>
  <c r="J724" i="5"/>
  <c r="H724" i="5"/>
  <c r="G724" i="5"/>
  <c r="J723" i="5"/>
  <c r="H723" i="5"/>
  <c r="G723" i="5"/>
  <c r="K723" i="5" s="1"/>
  <c r="L723" i="5" s="1"/>
  <c r="E718" i="5"/>
  <c r="D718" i="5"/>
  <c r="K717" i="5"/>
  <c r="L717" i="5" s="1"/>
  <c r="J717" i="5"/>
  <c r="G717" i="5"/>
  <c r="H717" i="5" s="1"/>
  <c r="L716" i="5"/>
  <c r="K716" i="5"/>
  <c r="J716" i="5"/>
  <c r="H716" i="5"/>
  <c r="G716" i="5"/>
  <c r="K715" i="5"/>
  <c r="L715" i="5" s="1"/>
  <c r="J715" i="5"/>
  <c r="H715" i="5"/>
  <c r="M109" i="4" s="1"/>
  <c r="G715" i="5"/>
  <c r="K714" i="5"/>
  <c r="L714" i="5" s="1"/>
  <c r="J714" i="5"/>
  <c r="G714" i="5"/>
  <c r="H714" i="5" s="1"/>
  <c r="L713" i="5"/>
  <c r="K713" i="5"/>
  <c r="J713" i="5"/>
  <c r="G713" i="5"/>
  <c r="H713" i="5" s="1"/>
  <c r="K712" i="5"/>
  <c r="L712" i="5" s="1"/>
  <c r="J712" i="5"/>
  <c r="G712" i="5"/>
  <c r="H712" i="5" s="1"/>
  <c r="E707" i="5"/>
  <c r="D707" i="5"/>
  <c r="K706" i="5"/>
  <c r="L706" i="5" s="1"/>
  <c r="J706" i="5"/>
  <c r="G706" i="5"/>
  <c r="H706" i="5" s="1"/>
  <c r="K705" i="5"/>
  <c r="L705" i="5" s="1"/>
  <c r="J705" i="5"/>
  <c r="H705" i="5"/>
  <c r="G705" i="5"/>
  <c r="L704" i="5"/>
  <c r="K704" i="5"/>
  <c r="J704" i="5"/>
  <c r="G704" i="5"/>
  <c r="H704" i="5" s="1"/>
  <c r="K703" i="5"/>
  <c r="L703" i="5" s="1"/>
  <c r="J703" i="5"/>
  <c r="H703" i="5"/>
  <c r="G703" i="5"/>
  <c r="L702" i="5"/>
  <c r="K702" i="5"/>
  <c r="J702" i="5"/>
  <c r="G702" i="5"/>
  <c r="H702" i="5" s="1"/>
  <c r="K701" i="5"/>
  <c r="L701" i="5" s="1"/>
  <c r="J701" i="5"/>
  <c r="H701" i="5"/>
  <c r="G701" i="5"/>
  <c r="L700" i="5"/>
  <c r="K700" i="5"/>
  <c r="J700" i="5"/>
  <c r="G700" i="5"/>
  <c r="H700" i="5" s="1"/>
  <c r="L699" i="5"/>
  <c r="K699" i="5"/>
  <c r="J699" i="5"/>
  <c r="G699" i="5"/>
  <c r="H699" i="5" s="1"/>
  <c r="K698" i="5"/>
  <c r="L698" i="5" s="1"/>
  <c r="J698" i="5"/>
  <c r="H698" i="5"/>
  <c r="G698" i="5"/>
  <c r="K697" i="5"/>
  <c r="L697" i="5" s="1"/>
  <c r="J697" i="5"/>
  <c r="H697" i="5"/>
  <c r="G697" i="5"/>
  <c r="L696" i="5"/>
  <c r="K696" i="5"/>
  <c r="J696" i="5"/>
  <c r="G696" i="5"/>
  <c r="H696" i="5" s="1"/>
  <c r="M98" i="4" s="1"/>
  <c r="K695" i="5"/>
  <c r="L695" i="5" s="1"/>
  <c r="J695" i="5"/>
  <c r="G695" i="5"/>
  <c r="H695" i="5" s="1"/>
  <c r="L694" i="5"/>
  <c r="K694" i="5"/>
  <c r="J694" i="5"/>
  <c r="H694" i="5"/>
  <c r="G694" i="5"/>
  <c r="K693" i="5"/>
  <c r="L693" i="5" s="1"/>
  <c r="J693" i="5"/>
  <c r="H693" i="5"/>
  <c r="G693" i="5"/>
  <c r="K692" i="5"/>
  <c r="L692" i="5" s="1"/>
  <c r="J692" i="5"/>
  <c r="G692" i="5"/>
  <c r="H692" i="5" s="1"/>
  <c r="L691" i="5"/>
  <c r="K691" i="5"/>
  <c r="J691" i="5"/>
  <c r="H691" i="5"/>
  <c r="G691" i="5"/>
  <c r="L690" i="5"/>
  <c r="K690" i="5"/>
  <c r="J690" i="5"/>
  <c r="G690" i="5"/>
  <c r="H690" i="5" s="1"/>
  <c r="M102" i="4" s="1"/>
  <c r="K102" i="4" s="1"/>
  <c r="K689" i="5"/>
  <c r="L689" i="5" s="1"/>
  <c r="J689" i="5"/>
  <c r="H689" i="5"/>
  <c r="G689" i="5"/>
  <c r="L688" i="5"/>
  <c r="K688" i="5"/>
  <c r="J688" i="5"/>
  <c r="G688" i="5"/>
  <c r="H688" i="5" s="1"/>
  <c r="K687" i="5"/>
  <c r="L687" i="5" s="1"/>
  <c r="J687" i="5"/>
  <c r="G687" i="5"/>
  <c r="H687" i="5" s="1"/>
  <c r="E682" i="5"/>
  <c r="D682" i="5"/>
  <c r="L681" i="5"/>
  <c r="K681" i="5"/>
  <c r="J681" i="5"/>
  <c r="H681" i="5"/>
  <c r="G681" i="5"/>
  <c r="K680" i="5"/>
  <c r="L680" i="5" s="1"/>
  <c r="J680" i="5"/>
  <c r="H680" i="5"/>
  <c r="G680" i="5"/>
  <c r="L679" i="5"/>
  <c r="K679" i="5"/>
  <c r="J679" i="5"/>
  <c r="G679" i="5"/>
  <c r="H679" i="5" s="1"/>
  <c r="L678" i="5"/>
  <c r="K678" i="5"/>
  <c r="J678" i="5"/>
  <c r="H678" i="5"/>
  <c r="G678" i="5"/>
  <c r="L677" i="5"/>
  <c r="K677" i="5"/>
  <c r="J677" i="5"/>
  <c r="G677" i="5"/>
  <c r="H677" i="5" s="1"/>
  <c r="K676" i="5"/>
  <c r="L676" i="5" s="1"/>
  <c r="J676" i="5"/>
  <c r="G676" i="5"/>
  <c r="H676" i="5" s="1"/>
  <c r="L675" i="5"/>
  <c r="K675" i="5"/>
  <c r="J675" i="5"/>
  <c r="H675" i="5"/>
  <c r="G675" i="5"/>
  <c r="K674" i="5"/>
  <c r="L674" i="5" s="1"/>
  <c r="J674" i="5"/>
  <c r="H674" i="5"/>
  <c r="G674" i="5"/>
  <c r="K673" i="5"/>
  <c r="L673" i="5" s="1"/>
  <c r="J673" i="5"/>
  <c r="G673" i="5"/>
  <c r="H673" i="5" s="1"/>
  <c r="L672" i="5"/>
  <c r="K672" i="5"/>
  <c r="J672" i="5"/>
  <c r="H672" i="5"/>
  <c r="G672" i="5"/>
  <c r="L671" i="5"/>
  <c r="K671" i="5"/>
  <c r="J671" i="5"/>
  <c r="G671" i="5"/>
  <c r="H671" i="5" s="1"/>
  <c r="M93" i="4" s="1"/>
  <c r="K93" i="4" s="1"/>
  <c r="K670" i="5"/>
  <c r="L670" i="5" s="1"/>
  <c r="J670" i="5"/>
  <c r="H670" i="5"/>
  <c r="G670" i="5"/>
  <c r="L669" i="5"/>
  <c r="K669" i="5"/>
  <c r="J669" i="5"/>
  <c r="H669" i="5"/>
  <c r="G669" i="5"/>
  <c r="K668" i="5"/>
  <c r="L668" i="5" s="1"/>
  <c r="J668" i="5"/>
  <c r="H668" i="5"/>
  <c r="H682" i="5" s="1"/>
  <c r="I17" i="3" s="1"/>
  <c r="G668" i="5"/>
  <c r="L667" i="5"/>
  <c r="K667" i="5"/>
  <c r="J667" i="5"/>
  <c r="G667" i="5"/>
  <c r="H667" i="5" s="1"/>
  <c r="L666" i="5"/>
  <c r="K666" i="5"/>
  <c r="J666" i="5"/>
  <c r="H666" i="5"/>
  <c r="G666" i="5"/>
  <c r="K665" i="5"/>
  <c r="L665" i="5" s="1"/>
  <c r="J665" i="5"/>
  <c r="G665" i="5"/>
  <c r="H665" i="5" s="1"/>
  <c r="K664" i="5"/>
  <c r="L664" i="5" s="1"/>
  <c r="J664" i="5"/>
  <c r="G664" i="5"/>
  <c r="H664" i="5" s="1"/>
  <c r="L663" i="5"/>
  <c r="K663" i="5"/>
  <c r="J663" i="5"/>
  <c r="H663" i="5"/>
  <c r="G663" i="5"/>
  <c r="K662" i="5"/>
  <c r="L662" i="5" s="1"/>
  <c r="J662" i="5"/>
  <c r="H662" i="5"/>
  <c r="G662" i="5"/>
  <c r="K661" i="5"/>
  <c r="L661" i="5" s="1"/>
  <c r="J661" i="5"/>
  <c r="G661" i="5"/>
  <c r="H661" i="5" s="1"/>
  <c r="L660" i="5"/>
  <c r="K660" i="5"/>
  <c r="J660" i="5"/>
  <c r="H660" i="5"/>
  <c r="G660" i="5"/>
  <c r="E655" i="5"/>
  <c r="D655" i="5"/>
  <c r="K654" i="5"/>
  <c r="L654" i="5" s="1"/>
  <c r="J654" i="5"/>
  <c r="H654" i="5"/>
  <c r="G654" i="5"/>
  <c r="L653" i="5"/>
  <c r="K653" i="5"/>
  <c r="J653" i="5"/>
  <c r="G653" i="5"/>
  <c r="H653" i="5" s="1"/>
  <c r="L652" i="5"/>
  <c r="K652" i="5"/>
  <c r="J652" i="5"/>
  <c r="H652" i="5"/>
  <c r="G652" i="5"/>
  <c r="K651" i="5"/>
  <c r="L651" i="5" s="1"/>
  <c r="J651" i="5"/>
  <c r="H651" i="5"/>
  <c r="G651" i="5"/>
  <c r="K650" i="5"/>
  <c r="L650" i="5" s="1"/>
  <c r="J650" i="5"/>
  <c r="G650" i="5"/>
  <c r="H650" i="5" s="1"/>
  <c r="L649" i="5"/>
  <c r="K649" i="5"/>
  <c r="J649" i="5"/>
  <c r="G649" i="5"/>
  <c r="H649" i="5" s="1"/>
  <c r="L648" i="5"/>
  <c r="K648" i="5"/>
  <c r="J648" i="5"/>
  <c r="H648" i="5"/>
  <c r="G648" i="5"/>
  <c r="K647" i="5"/>
  <c r="L647" i="5" s="1"/>
  <c r="J647" i="5"/>
  <c r="G647" i="5"/>
  <c r="H647" i="5" s="1"/>
  <c r="L646" i="5"/>
  <c r="K646" i="5"/>
  <c r="J646" i="5"/>
  <c r="G646" i="5"/>
  <c r="H646" i="5" s="1"/>
  <c r="L645" i="5"/>
  <c r="K645" i="5"/>
  <c r="J645" i="5"/>
  <c r="G645" i="5"/>
  <c r="H645" i="5" s="1"/>
  <c r="K644" i="5"/>
  <c r="L644" i="5" s="1"/>
  <c r="J644" i="5"/>
  <c r="G644" i="5"/>
  <c r="H644" i="5" s="1"/>
  <c r="K643" i="5"/>
  <c r="L643" i="5" s="1"/>
  <c r="J643" i="5"/>
  <c r="H643" i="5"/>
  <c r="G643" i="5"/>
  <c r="K642" i="5"/>
  <c r="L642" i="5" s="1"/>
  <c r="J642" i="5"/>
  <c r="H642" i="5"/>
  <c r="G642" i="5"/>
  <c r="L641" i="5"/>
  <c r="K641" i="5"/>
  <c r="J641" i="5"/>
  <c r="G641" i="5"/>
  <c r="H641" i="5" s="1"/>
  <c r="L640" i="5"/>
  <c r="K640" i="5"/>
  <c r="J640" i="5"/>
  <c r="H640" i="5"/>
  <c r="G640" i="5"/>
  <c r="L639" i="5"/>
  <c r="K639" i="5"/>
  <c r="J639" i="5"/>
  <c r="G639" i="5"/>
  <c r="H639" i="5" s="1"/>
  <c r="K638" i="5"/>
  <c r="L638" i="5" s="1"/>
  <c r="J638" i="5"/>
  <c r="G638" i="5"/>
  <c r="H638" i="5" s="1"/>
  <c r="L637" i="5"/>
  <c r="K637" i="5"/>
  <c r="J637" i="5"/>
  <c r="H637" i="5"/>
  <c r="G637" i="5"/>
  <c r="L636" i="5"/>
  <c r="K636" i="5"/>
  <c r="J636" i="5"/>
  <c r="H636" i="5"/>
  <c r="G636" i="5"/>
  <c r="K635" i="5"/>
  <c r="L635" i="5" s="1"/>
  <c r="J635" i="5"/>
  <c r="G635" i="5"/>
  <c r="H635" i="5" s="1"/>
  <c r="L634" i="5"/>
  <c r="K634" i="5"/>
  <c r="J634" i="5"/>
  <c r="H634" i="5"/>
  <c r="G634" i="5"/>
  <c r="L633" i="5"/>
  <c r="K633" i="5"/>
  <c r="J633" i="5"/>
  <c r="G633" i="5"/>
  <c r="H633" i="5" s="1"/>
  <c r="K632" i="5"/>
  <c r="L632" i="5" s="1"/>
  <c r="J632" i="5"/>
  <c r="H632" i="5"/>
  <c r="G632" i="5"/>
  <c r="L631" i="5"/>
  <c r="K631" i="5"/>
  <c r="J631" i="5"/>
  <c r="H631" i="5"/>
  <c r="G631" i="5"/>
  <c r="K630" i="5"/>
  <c r="L630" i="5" s="1"/>
  <c r="J630" i="5"/>
  <c r="G630" i="5"/>
  <c r="H630" i="5" s="1"/>
  <c r="L629" i="5"/>
  <c r="K629" i="5"/>
  <c r="J629" i="5"/>
  <c r="H629" i="5"/>
  <c r="G629" i="5"/>
  <c r="L628" i="5"/>
  <c r="K628" i="5"/>
  <c r="J628" i="5"/>
  <c r="H628" i="5"/>
  <c r="G628" i="5"/>
  <c r="K627" i="5"/>
  <c r="L627" i="5" s="1"/>
  <c r="J627" i="5"/>
  <c r="H627" i="5"/>
  <c r="G627" i="5"/>
  <c r="L626" i="5"/>
  <c r="K626" i="5"/>
  <c r="J626" i="5"/>
  <c r="G626" i="5"/>
  <c r="H626" i="5" s="1"/>
  <c r="L625" i="5"/>
  <c r="K625" i="5"/>
  <c r="J625" i="5"/>
  <c r="G625" i="5"/>
  <c r="H625" i="5" s="1"/>
  <c r="L624" i="5"/>
  <c r="K624" i="5"/>
  <c r="J624" i="5"/>
  <c r="H624" i="5"/>
  <c r="G624" i="5"/>
  <c r="K623" i="5"/>
  <c r="L623" i="5" s="1"/>
  <c r="J623" i="5"/>
  <c r="G623" i="5"/>
  <c r="H623" i="5" s="1"/>
  <c r="L622" i="5"/>
  <c r="K622" i="5"/>
  <c r="J622" i="5"/>
  <c r="G622" i="5"/>
  <c r="H622" i="5" s="1"/>
  <c r="E617" i="5"/>
  <c r="D617" i="5"/>
  <c r="K616" i="5"/>
  <c r="L616" i="5" s="1"/>
  <c r="I616" i="5"/>
  <c r="J616" i="5" s="1"/>
  <c r="G616" i="5"/>
  <c r="H616" i="5" s="1"/>
  <c r="I615" i="5"/>
  <c r="K615" i="5" s="1"/>
  <c r="L615" i="5" s="1"/>
  <c r="H615" i="5"/>
  <c r="G615" i="5"/>
  <c r="K614" i="5"/>
  <c r="L614" i="5" s="1"/>
  <c r="I614" i="5"/>
  <c r="J614" i="5" s="1"/>
  <c r="H614" i="5"/>
  <c r="G614" i="5"/>
  <c r="J613" i="5"/>
  <c r="I613" i="5"/>
  <c r="K613" i="5" s="1"/>
  <c r="L613" i="5" s="1"/>
  <c r="H613" i="5"/>
  <c r="G613" i="5"/>
  <c r="K612" i="5"/>
  <c r="L612" i="5" s="1"/>
  <c r="I612" i="5"/>
  <c r="J612" i="5" s="1"/>
  <c r="H612" i="5"/>
  <c r="G612" i="5"/>
  <c r="L611" i="5"/>
  <c r="K611" i="5"/>
  <c r="I611" i="5"/>
  <c r="J611" i="5" s="1"/>
  <c r="H611" i="5"/>
  <c r="G611" i="5"/>
  <c r="H610" i="5"/>
  <c r="G610" i="5"/>
  <c r="I610" i="5" s="1"/>
  <c r="L609" i="5"/>
  <c r="K609" i="5"/>
  <c r="J609" i="5"/>
  <c r="I609" i="5"/>
  <c r="H609" i="5"/>
  <c r="G609" i="5"/>
  <c r="K608" i="5"/>
  <c r="L608" i="5" s="1"/>
  <c r="G608" i="5"/>
  <c r="I608" i="5" s="1"/>
  <c r="J608" i="5" s="1"/>
  <c r="L607" i="5"/>
  <c r="K607" i="5"/>
  <c r="J607" i="5"/>
  <c r="I607" i="5"/>
  <c r="H607" i="5"/>
  <c r="G607" i="5"/>
  <c r="H606" i="5"/>
  <c r="G606" i="5"/>
  <c r="I606" i="5" s="1"/>
  <c r="J605" i="5"/>
  <c r="I605" i="5"/>
  <c r="K605" i="5" s="1"/>
  <c r="L605" i="5" s="1"/>
  <c r="H605" i="5"/>
  <c r="G605" i="5"/>
  <c r="K604" i="5"/>
  <c r="L604" i="5" s="1"/>
  <c r="I604" i="5"/>
  <c r="J604" i="5" s="1"/>
  <c r="H604" i="5"/>
  <c r="G604" i="5"/>
  <c r="L603" i="5"/>
  <c r="I603" i="5"/>
  <c r="K603" i="5" s="1"/>
  <c r="H603" i="5"/>
  <c r="G603" i="5"/>
  <c r="K602" i="5"/>
  <c r="L602" i="5" s="1"/>
  <c r="I602" i="5"/>
  <c r="J602" i="5" s="1"/>
  <c r="H602" i="5"/>
  <c r="G602" i="5"/>
  <c r="J601" i="5"/>
  <c r="I601" i="5"/>
  <c r="K601" i="5" s="1"/>
  <c r="L601" i="5" s="1"/>
  <c r="H601" i="5"/>
  <c r="G601" i="5"/>
  <c r="K600" i="5"/>
  <c r="L600" i="5" s="1"/>
  <c r="I600" i="5"/>
  <c r="J600" i="5" s="1"/>
  <c r="H600" i="5"/>
  <c r="G600" i="5"/>
  <c r="L599" i="5"/>
  <c r="K599" i="5"/>
  <c r="J599" i="5"/>
  <c r="I599" i="5"/>
  <c r="H599" i="5"/>
  <c r="G599" i="5"/>
  <c r="I598" i="5"/>
  <c r="H598" i="5"/>
  <c r="G598" i="5"/>
  <c r="L597" i="5"/>
  <c r="K597" i="5"/>
  <c r="J597" i="5"/>
  <c r="I597" i="5"/>
  <c r="H597" i="5"/>
  <c r="G597" i="5"/>
  <c r="H596" i="5"/>
  <c r="G596" i="5"/>
  <c r="I596" i="5" s="1"/>
  <c r="L595" i="5"/>
  <c r="K595" i="5"/>
  <c r="J595" i="5"/>
  <c r="I595" i="5"/>
  <c r="H595" i="5"/>
  <c r="G595" i="5"/>
  <c r="G594" i="5"/>
  <c r="L593" i="5"/>
  <c r="K593" i="5"/>
  <c r="J593" i="5"/>
  <c r="I593" i="5"/>
  <c r="H593" i="5"/>
  <c r="G593" i="5"/>
  <c r="G592" i="5"/>
  <c r="I592" i="5" s="1"/>
  <c r="K592" i="5" s="1"/>
  <c r="L592" i="5" s="1"/>
  <c r="L591" i="5"/>
  <c r="K591" i="5"/>
  <c r="J591" i="5"/>
  <c r="I591" i="5"/>
  <c r="H591" i="5"/>
  <c r="G591" i="5"/>
  <c r="E586" i="5"/>
  <c r="D586" i="5"/>
  <c r="L585" i="5"/>
  <c r="K585" i="5"/>
  <c r="J585" i="5"/>
  <c r="G585" i="5"/>
  <c r="H585" i="5" s="1"/>
  <c r="L584" i="5"/>
  <c r="K584" i="5"/>
  <c r="J584" i="5"/>
  <c r="G584" i="5"/>
  <c r="H584" i="5" s="1"/>
  <c r="L583" i="5"/>
  <c r="K583" i="5"/>
  <c r="J583" i="5"/>
  <c r="H583" i="5"/>
  <c r="G583" i="5"/>
  <c r="J582" i="5"/>
  <c r="I582" i="5"/>
  <c r="K582" i="5" s="1"/>
  <c r="L582" i="5" s="1"/>
  <c r="H582" i="5"/>
  <c r="G582" i="5"/>
  <c r="G581" i="5"/>
  <c r="E575" i="5"/>
  <c r="D575" i="5"/>
  <c r="H574" i="5"/>
  <c r="G574" i="5"/>
  <c r="I574" i="5" s="1"/>
  <c r="G573" i="5"/>
  <c r="G572" i="5"/>
  <c r="I572" i="5" s="1"/>
  <c r="L571" i="5"/>
  <c r="K571" i="5"/>
  <c r="J571" i="5"/>
  <c r="I571" i="5"/>
  <c r="H571" i="5"/>
  <c r="G571" i="5"/>
  <c r="G570" i="5"/>
  <c r="I569" i="5"/>
  <c r="H569" i="5"/>
  <c r="G569" i="5"/>
  <c r="H568" i="5"/>
  <c r="G568" i="5"/>
  <c r="I568" i="5" s="1"/>
  <c r="J567" i="5"/>
  <c r="G567" i="5"/>
  <c r="I567" i="5" s="1"/>
  <c r="K567" i="5" s="1"/>
  <c r="L567" i="5" s="1"/>
  <c r="H566" i="5"/>
  <c r="G566" i="5"/>
  <c r="I566" i="5" s="1"/>
  <c r="G565" i="5"/>
  <c r="G564" i="5"/>
  <c r="I564" i="5" s="1"/>
  <c r="L563" i="5"/>
  <c r="K563" i="5"/>
  <c r="J563" i="5"/>
  <c r="I563" i="5"/>
  <c r="H563" i="5"/>
  <c r="G563" i="5"/>
  <c r="G562" i="5"/>
  <c r="I561" i="5"/>
  <c r="H561" i="5"/>
  <c r="G561" i="5"/>
  <c r="H560" i="5"/>
  <c r="G560" i="5"/>
  <c r="I560" i="5" s="1"/>
  <c r="G559" i="5"/>
  <c r="I559" i="5" s="1"/>
  <c r="K559" i="5" s="1"/>
  <c r="L559" i="5" s="1"/>
  <c r="H558" i="5"/>
  <c r="G558" i="5"/>
  <c r="I558" i="5" s="1"/>
  <c r="G557" i="5"/>
  <c r="G556" i="5"/>
  <c r="I556" i="5" s="1"/>
  <c r="L555" i="5"/>
  <c r="K555" i="5"/>
  <c r="J555" i="5"/>
  <c r="I555" i="5"/>
  <c r="H555" i="5"/>
  <c r="G555" i="5"/>
  <c r="G554" i="5"/>
  <c r="I553" i="5"/>
  <c r="H553" i="5"/>
  <c r="G553" i="5"/>
  <c r="H552" i="5"/>
  <c r="G552" i="5"/>
  <c r="I552" i="5" s="1"/>
  <c r="E547" i="5"/>
  <c r="D547" i="5"/>
  <c r="E65" i="4" s="1"/>
  <c r="K546" i="5"/>
  <c r="L546" i="5" s="1"/>
  <c r="J546" i="5"/>
  <c r="H546" i="5"/>
  <c r="G546" i="5"/>
  <c r="K545" i="5"/>
  <c r="L545" i="5" s="1"/>
  <c r="J545" i="5"/>
  <c r="H545" i="5"/>
  <c r="G545" i="5"/>
  <c r="K544" i="5"/>
  <c r="L544" i="5" s="1"/>
  <c r="J544" i="5"/>
  <c r="G544" i="5"/>
  <c r="H544" i="5" s="1"/>
  <c r="L543" i="5"/>
  <c r="K543" i="5"/>
  <c r="J543" i="5"/>
  <c r="G543" i="5"/>
  <c r="H543" i="5" s="1"/>
  <c r="L542" i="5"/>
  <c r="K542" i="5"/>
  <c r="J542" i="5"/>
  <c r="G542" i="5"/>
  <c r="H542" i="5" s="1"/>
  <c r="L541" i="5"/>
  <c r="K541" i="5"/>
  <c r="J541" i="5"/>
  <c r="H541" i="5"/>
  <c r="G541" i="5"/>
  <c r="K540" i="5"/>
  <c r="L540" i="5" s="1"/>
  <c r="J540" i="5"/>
  <c r="H540" i="5"/>
  <c r="H547" i="5" s="1"/>
  <c r="I12" i="3" s="1"/>
  <c r="G540" i="5"/>
  <c r="E535" i="5"/>
  <c r="D535" i="5"/>
  <c r="L534" i="5"/>
  <c r="K534" i="5"/>
  <c r="J534" i="5"/>
  <c r="G534" i="5"/>
  <c r="H534" i="5" s="1"/>
  <c r="L533" i="5"/>
  <c r="K533" i="5"/>
  <c r="J533" i="5"/>
  <c r="H533" i="5"/>
  <c r="G533" i="5"/>
  <c r="L532" i="5"/>
  <c r="K532" i="5"/>
  <c r="J532" i="5"/>
  <c r="H532" i="5"/>
  <c r="G532" i="5"/>
  <c r="K531" i="5"/>
  <c r="L531" i="5" s="1"/>
  <c r="J531" i="5"/>
  <c r="H531" i="5"/>
  <c r="G531" i="5"/>
  <c r="L530" i="5"/>
  <c r="K530" i="5"/>
  <c r="J530" i="5"/>
  <c r="H530" i="5"/>
  <c r="G530" i="5"/>
  <c r="L529" i="5"/>
  <c r="K529" i="5"/>
  <c r="J529" i="5"/>
  <c r="G529" i="5"/>
  <c r="H529" i="5" s="1"/>
  <c r="K528" i="5"/>
  <c r="L528" i="5" s="1"/>
  <c r="J528" i="5"/>
  <c r="H528" i="5"/>
  <c r="G528" i="5"/>
  <c r="L527" i="5"/>
  <c r="K527" i="5"/>
  <c r="J527" i="5"/>
  <c r="H527" i="5"/>
  <c r="G527" i="5"/>
  <c r="K526" i="5"/>
  <c r="L526" i="5" s="1"/>
  <c r="J526" i="5"/>
  <c r="G526" i="5"/>
  <c r="H526" i="5" s="1"/>
  <c r="L525" i="5"/>
  <c r="K525" i="5"/>
  <c r="J525" i="5"/>
  <c r="H525" i="5"/>
  <c r="G525" i="5"/>
  <c r="L523" i="5"/>
  <c r="K523" i="5"/>
  <c r="J523" i="5"/>
  <c r="G523" i="5"/>
  <c r="H523" i="5" s="1"/>
  <c r="K522" i="5"/>
  <c r="L522" i="5" s="1"/>
  <c r="J522" i="5"/>
  <c r="H522" i="5"/>
  <c r="G522" i="5"/>
  <c r="L521" i="5"/>
  <c r="K521" i="5"/>
  <c r="J521" i="5"/>
  <c r="G521" i="5"/>
  <c r="H521" i="5" s="1"/>
  <c r="L520" i="5"/>
  <c r="K520" i="5"/>
  <c r="J520" i="5"/>
  <c r="G520" i="5"/>
  <c r="H520" i="5" s="1"/>
  <c r="L519" i="5"/>
  <c r="K519" i="5"/>
  <c r="J519" i="5"/>
  <c r="H519" i="5"/>
  <c r="G519" i="5"/>
  <c r="K517" i="5"/>
  <c r="L517" i="5" s="1"/>
  <c r="J517" i="5"/>
  <c r="H517" i="5"/>
  <c r="G517" i="5"/>
  <c r="K516" i="5"/>
  <c r="L516" i="5" s="1"/>
  <c r="J516" i="5"/>
  <c r="H516" i="5"/>
  <c r="G516" i="5"/>
  <c r="L515" i="5"/>
  <c r="K515" i="5"/>
  <c r="J515" i="5"/>
  <c r="G515" i="5"/>
  <c r="H515" i="5" s="1"/>
  <c r="K514" i="5"/>
  <c r="L514" i="5" s="1"/>
  <c r="J514" i="5"/>
  <c r="G514" i="5"/>
  <c r="H514" i="5" s="1"/>
  <c r="L513" i="5"/>
  <c r="K513" i="5"/>
  <c r="J513" i="5"/>
  <c r="H513" i="5"/>
  <c r="G513" i="5"/>
  <c r="K512" i="5"/>
  <c r="L512" i="5" s="1"/>
  <c r="J512" i="5"/>
  <c r="G512" i="5"/>
  <c r="H512" i="5" s="1"/>
  <c r="K511" i="5"/>
  <c r="L511" i="5" s="1"/>
  <c r="J511" i="5"/>
  <c r="H511" i="5"/>
  <c r="G511" i="5"/>
  <c r="L510" i="5"/>
  <c r="K510" i="5"/>
  <c r="J510" i="5"/>
  <c r="H510" i="5"/>
  <c r="G510" i="5"/>
  <c r="K509" i="5"/>
  <c r="L509" i="5" s="1"/>
  <c r="J509" i="5"/>
  <c r="G509" i="5"/>
  <c r="H509" i="5" s="1"/>
  <c r="L508" i="5"/>
  <c r="K508" i="5"/>
  <c r="J508" i="5"/>
  <c r="G508" i="5"/>
  <c r="H508" i="5" s="1"/>
  <c r="L507" i="5"/>
  <c r="K507" i="5"/>
  <c r="J507" i="5"/>
  <c r="G507" i="5"/>
  <c r="H507" i="5" s="1"/>
  <c r="K506" i="5"/>
  <c r="L506" i="5" s="1"/>
  <c r="J506" i="5"/>
  <c r="H506" i="5"/>
  <c r="G506" i="5"/>
  <c r="K505" i="5"/>
  <c r="L505" i="5" s="1"/>
  <c r="J505" i="5"/>
  <c r="H505" i="5"/>
  <c r="G505" i="5"/>
  <c r="K504" i="5"/>
  <c r="L504" i="5" s="1"/>
  <c r="J504" i="5"/>
  <c r="G504" i="5"/>
  <c r="H504" i="5" s="1"/>
  <c r="M60" i="4" s="1"/>
  <c r="L503" i="5"/>
  <c r="K503" i="5"/>
  <c r="J503" i="5"/>
  <c r="G503" i="5"/>
  <c r="H503" i="5" s="1"/>
  <c r="L502" i="5"/>
  <c r="K502" i="5"/>
  <c r="J502" i="5"/>
  <c r="G502" i="5"/>
  <c r="H502" i="5" s="1"/>
  <c r="E497" i="5"/>
  <c r="D497" i="5"/>
  <c r="L496" i="5"/>
  <c r="K496" i="5"/>
  <c r="J496" i="5"/>
  <c r="H496" i="5"/>
  <c r="G496" i="5"/>
  <c r="L495" i="5"/>
  <c r="K495" i="5"/>
  <c r="J495" i="5"/>
  <c r="G495" i="5"/>
  <c r="H495" i="5" s="1"/>
  <c r="K494" i="5"/>
  <c r="L494" i="5" s="1"/>
  <c r="J494" i="5"/>
  <c r="G494" i="5"/>
  <c r="H494" i="5" s="1"/>
  <c r="M54" i="4" s="1"/>
  <c r="L493" i="5"/>
  <c r="K493" i="5"/>
  <c r="J493" i="5"/>
  <c r="H493" i="5"/>
  <c r="G493" i="5"/>
  <c r="K492" i="5"/>
  <c r="L492" i="5" s="1"/>
  <c r="J492" i="5"/>
  <c r="H492" i="5"/>
  <c r="G492" i="5"/>
  <c r="K491" i="5"/>
  <c r="L491" i="5" s="1"/>
  <c r="J491" i="5"/>
  <c r="H491" i="5"/>
  <c r="G491" i="5"/>
  <c r="L490" i="5"/>
  <c r="K490" i="5"/>
  <c r="J490" i="5"/>
  <c r="G490" i="5"/>
  <c r="H490" i="5" s="1"/>
  <c r="L489" i="5"/>
  <c r="K489" i="5"/>
  <c r="J489" i="5"/>
  <c r="G489" i="5"/>
  <c r="H489" i="5" s="1"/>
  <c r="L488" i="5"/>
  <c r="K488" i="5"/>
  <c r="J488" i="5"/>
  <c r="H488" i="5"/>
  <c r="G488" i="5"/>
  <c r="L487" i="5"/>
  <c r="K487" i="5"/>
  <c r="J487" i="5"/>
  <c r="H487" i="5"/>
  <c r="G487" i="5"/>
  <c r="E481" i="5"/>
  <c r="D481" i="5"/>
  <c r="E50" i="4" s="1"/>
  <c r="L480" i="5"/>
  <c r="K480" i="5"/>
  <c r="J480" i="5"/>
  <c r="H480" i="5"/>
  <c r="G480" i="5"/>
  <c r="L479" i="5"/>
  <c r="K479" i="5"/>
  <c r="J479" i="5"/>
  <c r="G479" i="5"/>
  <c r="H479" i="5" s="1"/>
  <c r="K478" i="5"/>
  <c r="L478" i="5" s="1"/>
  <c r="J478" i="5"/>
  <c r="H478" i="5"/>
  <c r="G478" i="5"/>
  <c r="L477" i="5"/>
  <c r="K477" i="5"/>
  <c r="J477" i="5"/>
  <c r="H477" i="5"/>
  <c r="G477" i="5"/>
  <c r="K476" i="5"/>
  <c r="L476" i="5" s="1"/>
  <c r="J476" i="5"/>
  <c r="G476" i="5"/>
  <c r="H476" i="5" s="1"/>
  <c r="K474" i="5"/>
  <c r="L474" i="5" s="1"/>
  <c r="J474" i="5"/>
  <c r="H474" i="5"/>
  <c r="G474" i="5"/>
  <c r="L473" i="5"/>
  <c r="K473" i="5"/>
  <c r="J473" i="5"/>
  <c r="G473" i="5"/>
  <c r="H473" i="5" s="1"/>
  <c r="L472" i="5"/>
  <c r="K472" i="5"/>
  <c r="J472" i="5"/>
  <c r="G472" i="5"/>
  <c r="H472" i="5" s="1"/>
  <c r="L471" i="5"/>
  <c r="K471" i="5"/>
  <c r="J471" i="5"/>
  <c r="H471" i="5"/>
  <c r="G471" i="5"/>
  <c r="K470" i="5"/>
  <c r="L470" i="5" s="1"/>
  <c r="J470" i="5"/>
  <c r="H470" i="5"/>
  <c r="G470" i="5"/>
  <c r="K469" i="5"/>
  <c r="L469" i="5" s="1"/>
  <c r="J469" i="5"/>
  <c r="H469" i="5"/>
  <c r="G469" i="5"/>
  <c r="L468" i="5"/>
  <c r="K468" i="5"/>
  <c r="J468" i="5"/>
  <c r="G468" i="5"/>
  <c r="H468" i="5" s="1"/>
  <c r="L467" i="5"/>
  <c r="K467" i="5"/>
  <c r="J467" i="5"/>
  <c r="G467" i="5"/>
  <c r="H467" i="5" s="1"/>
  <c r="L466" i="5"/>
  <c r="K466" i="5"/>
  <c r="J466" i="5"/>
  <c r="G466" i="5"/>
  <c r="H466" i="5" s="1"/>
  <c r="L465" i="5"/>
  <c r="K465" i="5"/>
  <c r="J465" i="5"/>
  <c r="H465" i="5"/>
  <c r="M49" i="4" s="1"/>
  <c r="G465" i="5"/>
  <c r="K464" i="5"/>
  <c r="L464" i="5" s="1"/>
  <c r="J464" i="5"/>
  <c r="H464" i="5"/>
  <c r="G464" i="5"/>
  <c r="K463" i="5"/>
  <c r="L463" i="5" s="1"/>
  <c r="J463" i="5"/>
  <c r="H463" i="5"/>
  <c r="G463" i="5"/>
  <c r="K462" i="5"/>
  <c r="L462" i="5" s="1"/>
  <c r="J462" i="5"/>
  <c r="G462" i="5"/>
  <c r="H462" i="5" s="1"/>
  <c r="M50" i="4" s="1"/>
  <c r="K50" i="4" s="1"/>
  <c r="L461" i="5"/>
  <c r="K461" i="5"/>
  <c r="J461" i="5"/>
  <c r="G461" i="5"/>
  <c r="H461" i="5" s="1"/>
  <c r="L460" i="5"/>
  <c r="K460" i="5"/>
  <c r="J460" i="5"/>
  <c r="G460" i="5"/>
  <c r="H460" i="5" s="1"/>
  <c r="K459" i="5"/>
  <c r="L459" i="5" s="1"/>
  <c r="J459" i="5"/>
  <c r="H459" i="5"/>
  <c r="G459" i="5"/>
  <c r="K458" i="5"/>
  <c r="L458" i="5" s="1"/>
  <c r="J458" i="5"/>
  <c r="H458" i="5"/>
  <c r="G458" i="5"/>
  <c r="K457" i="5"/>
  <c r="L457" i="5" s="1"/>
  <c r="J457" i="5"/>
  <c r="G457" i="5"/>
  <c r="H457" i="5" s="1"/>
  <c r="L456" i="5"/>
  <c r="K456" i="5"/>
  <c r="J456" i="5"/>
  <c r="H456" i="5"/>
  <c r="G456" i="5"/>
  <c r="K455" i="5"/>
  <c r="L455" i="5" s="1"/>
  <c r="J455" i="5"/>
  <c r="G455" i="5"/>
  <c r="H455" i="5" s="1"/>
  <c r="K454" i="5"/>
  <c r="L454" i="5" s="1"/>
  <c r="J454" i="5"/>
  <c r="G454" i="5"/>
  <c r="H454" i="5" s="1"/>
  <c r="L453" i="5"/>
  <c r="K453" i="5"/>
  <c r="J453" i="5"/>
  <c r="H453" i="5"/>
  <c r="G453" i="5"/>
  <c r="E448" i="5"/>
  <c r="D448" i="5"/>
  <c r="E44" i="4" s="1"/>
  <c r="L447" i="5"/>
  <c r="K447" i="5"/>
  <c r="J447" i="5"/>
  <c r="G447" i="5"/>
  <c r="H447" i="5" s="1"/>
  <c r="L446" i="5"/>
  <c r="K446" i="5"/>
  <c r="J446" i="5"/>
  <c r="H446" i="5"/>
  <c r="G446" i="5"/>
  <c r="K445" i="5"/>
  <c r="L445" i="5" s="1"/>
  <c r="J445" i="5"/>
  <c r="H445" i="5"/>
  <c r="G445" i="5"/>
  <c r="K444" i="5"/>
  <c r="L444" i="5" s="1"/>
  <c r="J444" i="5"/>
  <c r="H444" i="5"/>
  <c r="G444" i="5"/>
  <c r="L443" i="5"/>
  <c r="K443" i="5"/>
  <c r="J443" i="5"/>
  <c r="G443" i="5"/>
  <c r="H443" i="5" s="1"/>
  <c r="L442" i="5"/>
  <c r="K442" i="5"/>
  <c r="J442" i="5"/>
  <c r="G442" i="5"/>
  <c r="H442" i="5" s="1"/>
  <c r="L440" i="5"/>
  <c r="K440" i="5"/>
  <c r="J440" i="5"/>
  <c r="H440" i="5"/>
  <c r="G440" i="5"/>
  <c r="K439" i="5"/>
  <c r="L439" i="5" s="1"/>
  <c r="J439" i="5"/>
  <c r="G439" i="5"/>
  <c r="H439" i="5" s="1"/>
  <c r="K438" i="5"/>
  <c r="L438" i="5" s="1"/>
  <c r="J438" i="5"/>
  <c r="H438" i="5"/>
  <c r="M45" i="4" s="1"/>
  <c r="K45" i="4" s="1"/>
  <c r="G438" i="5"/>
  <c r="L437" i="5"/>
  <c r="K437" i="5"/>
  <c r="J437" i="5"/>
  <c r="H437" i="5"/>
  <c r="G437" i="5"/>
  <c r="K436" i="5"/>
  <c r="L436" i="5" s="1"/>
  <c r="J436" i="5"/>
  <c r="G436" i="5"/>
  <c r="H436" i="5" s="1"/>
  <c r="K434" i="5"/>
  <c r="L434" i="5" s="1"/>
  <c r="J434" i="5"/>
  <c r="H434" i="5"/>
  <c r="G434" i="5"/>
  <c r="L432" i="5"/>
  <c r="K432" i="5"/>
  <c r="J432" i="5"/>
  <c r="G432" i="5"/>
  <c r="H432" i="5" s="1"/>
  <c r="K431" i="5"/>
  <c r="L431" i="5" s="1"/>
  <c r="J431" i="5"/>
  <c r="G431" i="5"/>
  <c r="H431" i="5" s="1"/>
  <c r="M44" i="4" s="1"/>
  <c r="K44" i="4" s="1"/>
  <c r="L430" i="5"/>
  <c r="K430" i="5"/>
  <c r="J430" i="5"/>
  <c r="H430" i="5"/>
  <c r="G430" i="5"/>
  <c r="K429" i="5"/>
  <c r="L429" i="5" s="1"/>
  <c r="J429" i="5"/>
  <c r="G429" i="5"/>
  <c r="H429" i="5" s="1"/>
  <c r="K428" i="5"/>
  <c r="L428" i="5" s="1"/>
  <c r="J428" i="5"/>
  <c r="H428" i="5"/>
  <c r="G428" i="5"/>
  <c r="L427" i="5"/>
  <c r="K427" i="5"/>
  <c r="J427" i="5"/>
  <c r="G427" i="5"/>
  <c r="H427" i="5" s="1"/>
  <c r="K426" i="5"/>
  <c r="L426" i="5" s="1"/>
  <c r="J426" i="5"/>
  <c r="H426" i="5"/>
  <c r="G426" i="5"/>
  <c r="L425" i="5"/>
  <c r="K425" i="5"/>
  <c r="J425" i="5"/>
  <c r="G425" i="5"/>
  <c r="H425" i="5" s="1"/>
  <c r="K424" i="5"/>
  <c r="L424" i="5" s="1"/>
  <c r="J424" i="5"/>
  <c r="G424" i="5"/>
  <c r="H424" i="5" s="1"/>
  <c r="M39" i="4" s="1"/>
  <c r="K423" i="5"/>
  <c r="L423" i="5" s="1"/>
  <c r="J423" i="5"/>
  <c r="H423" i="5"/>
  <c r="G423" i="5"/>
  <c r="K422" i="5"/>
  <c r="L422" i="5" s="1"/>
  <c r="J422" i="5"/>
  <c r="G422" i="5"/>
  <c r="H422" i="5" s="1"/>
  <c r="L421" i="5"/>
  <c r="K421" i="5"/>
  <c r="J421" i="5"/>
  <c r="G421" i="5"/>
  <c r="H421" i="5" s="1"/>
  <c r="L420" i="5"/>
  <c r="K420" i="5"/>
  <c r="J420" i="5"/>
  <c r="G420" i="5"/>
  <c r="H420" i="5" s="1"/>
  <c r="L419" i="5"/>
  <c r="K419" i="5"/>
  <c r="J419" i="5"/>
  <c r="H419" i="5"/>
  <c r="G419" i="5"/>
  <c r="K418" i="5"/>
  <c r="L418" i="5" s="1"/>
  <c r="J418" i="5"/>
  <c r="H418" i="5"/>
  <c r="G418" i="5"/>
  <c r="K417" i="5"/>
  <c r="L417" i="5" s="1"/>
  <c r="J417" i="5"/>
  <c r="H417" i="5"/>
  <c r="G417" i="5"/>
  <c r="K416" i="5"/>
  <c r="L416" i="5" s="1"/>
  <c r="J416" i="5"/>
  <c r="G416" i="5"/>
  <c r="H416" i="5" s="1"/>
  <c r="L415" i="5"/>
  <c r="K415" i="5"/>
  <c r="J415" i="5"/>
  <c r="H415" i="5"/>
  <c r="G415" i="5"/>
  <c r="L414" i="5"/>
  <c r="K414" i="5"/>
  <c r="J414" i="5"/>
  <c r="H414" i="5"/>
  <c r="G414" i="5"/>
  <c r="K413" i="5"/>
  <c r="L413" i="5" s="1"/>
  <c r="J413" i="5"/>
  <c r="G413" i="5"/>
  <c r="H413" i="5" s="1"/>
  <c r="L412" i="5"/>
  <c r="K412" i="5"/>
  <c r="J412" i="5"/>
  <c r="H412" i="5"/>
  <c r="G412" i="5"/>
  <c r="K411" i="5"/>
  <c r="L411" i="5" s="1"/>
  <c r="J411" i="5"/>
  <c r="H411" i="5"/>
  <c r="G411" i="5"/>
  <c r="K410" i="5"/>
  <c r="L410" i="5" s="1"/>
  <c r="J410" i="5"/>
  <c r="H410" i="5"/>
  <c r="G410" i="5"/>
  <c r="H409" i="5"/>
  <c r="G409" i="5"/>
  <c r="I409" i="5" s="1"/>
  <c r="L408" i="5"/>
  <c r="K408" i="5"/>
  <c r="J408" i="5"/>
  <c r="H408" i="5"/>
  <c r="G408" i="5"/>
  <c r="L407" i="5"/>
  <c r="K407" i="5"/>
  <c r="J407" i="5"/>
  <c r="G407" i="5"/>
  <c r="H407" i="5" s="1"/>
  <c r="E402" i="5"/>
  <c r="D402" i="5"/>
  <c r="K401" i="5"/>
  <c r="L401" i="5" s="1"/>
  <c r="J401" i="5"/>
  <c r="H401" i="5"/>
  <c r="G401" i="5"/>
  <c r="L399" i="5"/>
  <c r="K399" i="5"/>
  <c r="J399" i="5"/>
  <c r="G399" i="5"/>
  <c r="H399" i="5" s="1"/>
  <c r="L398" i="5"/>
  <c r="K398" i="5"/>
  <c r="J398" i="5"/>
  <c r="G398" i="5"/>
  <c r="H398" i="5" s="1"/>
  <c r="L397" i="5"/>
  <c r="K397" i="5"/>
  <c r="J397" i="5"/>
  <c r="H397" i="5"/>
  <c r="G397" i="5"/>
  <c r="L396" i="5"/>
  <c r="K396" i="5"/>
  <c r="J396" i="5"/>
  <c r="H396" i="5"/>
  <c r="G396" i="5"/>
  <c r="K395" i="5"/>
  <c r="L395" i="5" s="1"/>
  <c r="J395" i="5"/>
  <c r="H395" i="5"/>
  <c r="G395" i="5"/>
  <c r="L394" i="5"/>
  <c r="K394" i="5"/>
  <c r="J394" i="5"/>
  <c r="H394" i="5"/>
  <c r="G394" i="5"/>
  <c r="L393" i="5"/>
  <c r="K393" i="5"/>
  <c r="J393" i="5"/>
  <c r="G393" i="5"/>
  <c r="H393" i="5" s="1"/>
  <c r="K392" i="5"/>
  <c r="L392" i="5" s="1"/>
  <c r="J392" i="5"/>
  <c r="H392" i="5"/>
  <c r="G392" i="5"/>
  <c r="L391" i="5"/>
  <c r="K391" i="5"/>
  <c r="J391" i="5"/>
  <c r="G391" i="5"/>
  <c r="H391" i="5" s="1"/>
  <c r="K390" i="5"/>
  <c r="L390" i="5" s="1"/>
  <c r="J390" i="5"/>
  <c r="G390" i="5"/>
  <c r="H390" i="5" s="1"/>
  <c r="L389" i="5"/>
  <c r="K389" i="5"/>
  <c r="J389" i="5"/>
  <c r="H389" i="5"/>
  <c r="G389" i="5"/>
  <c r="K388" i="5"/>
  <c r="L388" i="5" s="1"/>
  <c r="J388" i="5"/>
  <c r="G388" i="5"/>
  <c r="H388" i="5" s="1"/>
  <c r="K387" i="5"/>
  <c r="L387" i="5" s="1"/>
  <c r="J387" i="5"/>
  <c r="H387" i="5"/>
  <c r="G387" i="5"/>
  <c r="L386" i="5"/>
  <c r="K386" i="5"/>
  <c r="J386" i="5"/>
  <c r="G386" i="5"/>
  <c r="H386" i="5" s="1"/>
  <c r="L385" i="5"/>
  <c r="K385" i="5"/>
  <c r="J385" i="5"/>
  <c r="G385" i="5"/>
  <c r="H385" i="5" s="1"/>
  <c r="L384" i="5"/>
  <c r="K384" i="5"/>
  <c r="J384" i="5"/>
  <c r="H384" i="5"/>
  <c r="G384" i="5"/>
  <c r="K383" i="5"/>
  <c r="L383" i="5" s="1"/>
  <c r="J383" i="5"/>
  <c r="H383" i="5"/>
  <c r="G383" i="5"/>
  <c r="K382" i="5"/>
  <c r="L382" i="5" s="1"/>
  <c r="J382" i="5"/>
  <c r="H382" i="5"/>
  <c r="G382" i="5"/>
  <c r="L381" i="5"/>
  <c r="K381" i="5"/>
  <c r="J381" i="5"/>
  <c r="G381" i="5"/>
  <c r="H381" i="5" s="1"/>
  <c r="L380" i="5"/>
  <c r="K380" i="5"/>
  <c r="J380" i="5"/>
  <c r="G380" i="5"/>
  <c r="H380" i="5" s="1"/>
  <c r="L379" i="5"/>
  <c r="K379" i="5"/>
  <c r="J379" i="5"/>
  <c r="G379" i="5"/>
  <c r="H379" i="5" s="1"/>
  <c r="L378" i="5"/>
  <c r="K378" i="5"/>
  <c r="J378" i="5"/>
  <c r="H378" i="5"/>
  <c r="G378" i="5"/>
  <c r="K377" i="5"/>
  <c r="L377" i="5" s="1"/>
  <c r="J377" i="5"/>
  <c r="H377" i="5"/>
  <c r="G377" i="5"/>
  <c r="K376" i="5"/>
  <c r="L376" i="5" s="1"/>
  <c r="J376" i="5"/>
  <c r="H376" i="5"/>
  <c r="G376" i="5"/>
  <c r="K375" i="5"/>
  <c r="L375" i="5" s="1"/>
  <c r="J375" i="5"/>
  <c r="G375" i="5"/>
  <c r="H375" i="5" s="1"/>
  <c r="L374" i="5"/>
  <c r="K374" i="5"/>
  <c r="J374" i="5"/>
  <c r="G374" i="5"/>
  <c r="H374" i="5" s="1"/>
  <c r="L373" i="5"/>
  <c r="K373" i="5"/>
  <c r="J373" i="5"/>
  <c r="G373" i="5"/>
  <c r="H373" i="5" s="1"/>
  <c r="K372" i="5"/>
  <c r="L372" i="5" s="1"/>
  <c r="J372" i="5"/>
  <c r="H372" i="5"/>
  <c r="G372" i="5"/>
  <c r="K371" i="5"/>
  <c r="L371" i="5" s="1"/>
  <c r="J371" i="5"/>
  <c r="H371" i="5"/>
  <c r="G371" i="5"/>
  <c r="K370" i="5"/>
  <c r="L370" i="5" s="1"/>
  <c r="J370" i="5"/>
  <c r="G370" i="5"/>
  <c r="H370" i="5" s="1"/>
  <c r="L369" i="5"/>
  <c r="K369" i="5"/>
  <c r="J369" i="5"/>
  <c r="H369" i="5"/>
  <c r="G369" i="5"/>
  <c r="L368" i="5"/>
  <c r="K368" i="5"/>
  <c r="J368" i="5"/>
  <c r="G368" i="5"/>
  <c r="H368" i="5" s="1"/>
  <c r="K367" i="5"/>
  <c r="L367" i="5" s="1"/>
  <c r="J367" i="5"/>
  <c r="G367" i="5"/>
  <c r="H367" i="5" s="1"/>
  <c r="L366" i="5"/>
  <c r="K366" i="5"/>
  <c r="J366" i="5"/>
  <c r="H366" i="5"/>
  <c r="G366" i="5"/>
  <c r="K365" i="5"/>
  <c r="L365" i="5" s="1"/>
  <c r="J365" i="5"/>
  <c r="H365" i="5"/>
  <c r="G365" i="5"/>
  <c r="K364" i="5"/>
  <c r="L364" i="5" s="1"/>
  <c r="J364" i="5"/>
  <c r="H364" i="5"/>
  <c r="G364" i="5"/>
  <c r="L363" i="5"/>
  <c r="K363" i="5"/>
  <c r="J363" i="5"/>
  <c r="G363" i="5"/>
  <c r="H363" i="5" s="1"/>
  <c r="L362" i="5"/>
  <c r="K362" i="5"/>
  <c r="J362" i="5"/>
  <c r="G362" i="5"/>
  <c r="H362" i="5" s="1"/>
  <c r="K361" i="5"/>
  <c r="L361" i="5" s="1"/>
  <c r="J361" i="5"/>
  <c r="H361" i="5"/>
  <c r="G361" i="5"/>
  <c r="L360" i="5"/>
  <c r="K360" i="5"/>
  <c r="J360" i="5"/>
  <c r="H360" i="5"/>
  <c r="G360" i="5"/>
  <c r="K359" i="5"/>
  <c r="L359" i="5" s="1"/>
  <c r="J359" i="5"/>
  <c r="G359" i="5"/>
  <c r="H359" i="5" s="1"/>
  <c r="L358" i="5"/>
  <c r="K358" i="5"/>
  <c r="J358" i="5"/>
  <c r="H358" i="5"/>
  <c r="G358" i="5"/>
  <c r="L357" i="5"/>
  <c r="K357" i="5"/>
  <c r="J357" i="5"/>
  <c r="G357" i="5"/>
  <c r="H357" i="5" s="1"/>
  <c r="L356" i="5"/>
  <c r="K356" i="5"/>
  <c r="J356" i="5"/>
  <c r="H356" i="5"/>
  <c r="G356" i="5"/>
  <c r="L355" i="5"/>
  <c r="K355" i="5"/>
  <c r="J355" i="5"/>
  <c r="G355" i="5"/>
  <c r="H355" i="5" s="1"/>
  <c r="K354" i="5"/>
  <c r="L354" i="5" s="1"/>
  <c r="J354" i="5"/>
  <c r="H354" i="5"/>
  <c r="G354" i="5"/>
  <c r="L353" i="5"/>
  <c r="K353" i="5"/>
  <c r="J353" i="5"/>
  <c r="H353" i="5"/>
  <c r="G353" i="5"/>
  <c r="K352" i="5"/>
  <c r="L352" i="5" s="1"/>
  <c r="J352" i="5"/>
  <c r="G352" i="5"/>
  <c r="H352" i="5" s="1"/>
  <c r="K351" i="5"/>
  <c r="L351" i="5" s="1"/>
  <c r="J351" i="5"/>
  <c r="I351" i="5"/>
  <c r="H351" i="5"/>
  <c r="G351" i="5"/>
  <c r="I350" i="5"/>
  <c r="G350" i="5"/>
  <c r="H350" i="5" s="1"/>
  <c r="L349" i="5"/>
  <c r="K349" i="5"/>
  <c r="J349" i="5"/>
  <c r="G349" i="5"/>
  <c r="H349" i="5" s="1"/>
  <c r="L348" i="5"/>
  <c r="K348" i="5"/>
  <c r="J348" i="5"/>
  <c r="G348" i="5"/>
  <c r="H348" i="5" s="1"/>
  <c r="I347" i="5"/>
  <c r="G347" i="5"/>
  <c r="H347" i="5" s="1"/>
  <c r="K346" i="5"/>
  <c r="L346" i="5" s="1"/>
  <c r="J346" i="5"/>
  <c r="G346" i="5"/>
  <c r="H346" i="5" s="1"/>
  <c r="G345" i="5"/>
  <c r="G344" i="5"/>
  <c r="I344" i="5" s="1"/>
  <c r="L343" i="5"/>
  <c r="K343" i="5"/>
  <c r="J343" i="5"/>
  <c r="H343" i="5"/>
  <c r="G343" i="5"/>
  <c r="J342" i="5"/>
  <c r="I342" i="5"/>
  <c r="K342" i="5" s="1"/>
  <c r="L342" i="5" s="1"/>
  <c r="H342" i="5"/>
  <c r="G342" i="5"/>
  <c r="K340" i="5"/>
  <c r="L340" i="5" s="1"/>
  <c r="J340" i="5"/>
  <c r="H340" i="5"/>
  <c r="G340" i="5"/>
  <c r="L339" i="5"/>
  <c r="K339" i="5"/>
  <c r="I339" i="5"/>
  <c r="J339" i="5" s="1"/>
  <c r="H339" i="5"/>
  <c r="G339" i="5"/>
  <c r="K338" i="5"/>
  <c r="L338" i="5" s="1"/>
  <c r="J338" i="5"/>
  <c r="G338" i="5"/>
  <c r="H338" i="5" s="1"/>
  <c r="L337" i="5"/>
  <c r="K337" i="5"/>
  <c r="J337" i="5"/>
  <c r="H337" i="5"/>
  <c r="G337" i="5"/>
  <c r="L336" i="5"/>
  <c r="K336" i="5"/>
  <c r="J336" i="5"/>
  <c r="G336" i="5"/>
  <c r="H336" i="5" s="1"/>
  <c r="L335" i="5"/>
  <c r="K335" i="5"/>
  <c r="J335" i="5"/>
  <c r="I335" i="5"/>
  <c r="H335" i="5"/>
  <c r="G335" i="5"/>
  <c r="L334" i="5"/>
  <c r="K334" i="5"/>
  <c r="J334" i="5"/>
  <c r="G334" i="5"/>
  <c r="H334" i="5" s="1"/>
  <c r="K333" i="5"/>
  <c r="L333" i="5" s="1"/>
  <c r="J333" i="5"/>
  <c r="H333" i="5"/>
  <c r="G333" i="5"/>
  <c r="L332" i="5"/>
  <c r="K332" i="5"/>
  <c r="J332" i="5"/>
  <c r="I332" i="5"/>
  <c r="H332" i="5"/>
  <c r="G332" i="5"/>
  <c r="H331" i="5"/>
  <c r="G331" i="5"/>
  <c r="I331" i="5" s="1"/>
  <c r="J331" i="5" s="1"/>
  <c r="L330" i="5"/>
  <c r="K330" i="5"/>
  <c r="J330" i="5"/>
  <c r="I330" i="5"/>
  <c r="H330" i="5"/>
  <c r="G330" i="5"/>
  <c r="K328" i="5"/>
  <c r="L328" i="5" s="1"/>
  <c r="J328" i="5"/>
  <c r="G328" i="5"/>
  <c r="H328" i="5" s="1"/>
  <c r="K327" i="5"/>
  <c r="L327" i="5" s="1"/>
  <c r="J327" i="5"/>
  <c r="H327" i="5"/>
  <c r="G327" i="5"/>
  <c r="L326" i="5"/>
  <c r="K326" i="5"/>
  <c r="J326" i="5"/>
  <c r="G326" i="5"/>
  <c r="H326" i="5" s="1"/>
  <c r="E321" i="5"/>
  <c r="D321" i="5"/>
  <c r="H22" i="4" s="1"/>
  <c r="G22" i="4" s="1"/>
  <c r="L320" i="5"/>
  <c r="K320" i="5"/>
  <c r="J320" i="5"/>
  <c r="H320" i="5"/>
  <c r="G320" i="5"/>
  <c r="K319" i="5"/>
  <c r="L319" i="5" s="1"/>
  <c r="J319" i="5"/>
  <c r="G319" i="5"/>
  <c r="H319" i="5" s="1"/>
  <c r="K318" i="5"/>
  <c r="L318" i="5" s="1"/>
  <c r="J318" i="5"/>
  <c r="G318" i="5"/>
  <c r="H318" i="5" s="1"/>
  <c r="L317" i="5"/>
  <c r="K317" i="5"/>
  <c r="J317" i="5"/>
  <c r="G317" i="5"/>
  <c r="H317" i="5" s="1"/>
  <c r="K316" i="5"/>
  <c r="L316" i="5" s="1"/>
  <c r="J316" i="5"/>
  <c r="G316" i="5"/>
  <c r="H316" i="5" s="1"/>
  <c r="K315" i="5"/>
  <c r="L315" i="5" s="1"/>
  <c r="J315" i="5"/>
  <c r="H315" i="5"/>
  <c r="G315" i="5"/>
  <c r="K314" i="5"/>
  <c r="L314" i="5" s="1"/>
  <c r="J314" i="5"/>
  <c r="G314" i="5"/>
  <c r="H314" i="5" s="1"/>
  <c r="L313" i="5"/>
  <c r="K313" i="5"/>
  <c r="J313" i="5"/>
  <c r="G313" i="5"/>
  <c r="H313" i="5" s="1"/>
  <c r="L312" i="5"/>
  <c r="K312" i="5"/>
  <c r="J312" i="5"/>
  <c r="H312" i="5"/>
  <c r="G312" i="5"/>
  <c r="K311" i="5"/>
  <c r="L311" i="5" s="1"/>
  <c r="J311" i="5"/>
  <c r="G311" i="5"/>
  <c r="H311" i="5" s="1"/>
  <c r="K310" i="5"/>
  <c r="L310" i="5" s="1"/>
  <c r="J310" i="5"/>
  <c r="G310" i="5"/>
  <c r="H310" i="5" s="1"/>
  <c r="K309" i="5"/>
  <c r="L309" i="5" s="1"/>
  <c r="J309" i="5"/>
  <c r="G309" i="5"/>
  <c r="H309" i="5" s="1"/>
  <c r="L308" i="5"/>
  <c r="K308" i="5"/>
  <c r="J308" i="5"/>
  <c r="H308" i="5"/>
  <c r="G308" i="5"/>
  <c r="K307" i="5"/>
  <c r="L307" i="5" s="1"/>
  <c r="J307" i="5"/>
  <c r="G307" i="5"/>
  <c r="H307" i="5" s="1"/>
  <c r="L306" i="5"/>
  <c r="K306" i="5"/>
  <c r="J306" i="5"/>
  <c r="H306" i="5"/>
  <c r="G306" i="5"/>
  <c r="L305" i="5"/>
  <c r="K305" i="5"/>
  <c r="J305" i="5"/>
  <c r="G305" i="5"/>
  <c r="H305" i="5" s="1"/>
  <c r="L304" i="5"/>
  <c r="K304" i="5"/>
  <c r="J304" i="5"/>
  <c r="H304" i="5"/>
  <c r="G304" i="5"/>
  <c r="K303" i="5"/>
  <c r="L303" i="5" s="1"/>
  <c r="J303" i="5"/>
  <c r="H303" i="5"/>
  <c r="G303" i="5"/>
  <c r="K302" i="5"/>
  <c r="L302" i="5" s="1"/>
  <c r="J302" i="5"/>
  <c r="H302" i="5"/>
  <c r="G302" i="5"/>
  <c r="L301" i="5"/>
  <c r="K301" i="5"/>
  <c r="J301" i="5"/>
  <c r="G301" i="5"/>
  <c r="H301" i="5" s="1"/>
  <c r="L300" i="5"/>
  <c r="K300" i="5"/>
  <c r="J300" i="5"/>
  <c r="G300" i="5"/>
  <c r="H300" i="5" s="1"/>
  <c r="L299" i="5"/>
  <c r="K299" i="5"/>
  <c r="J299" i="5"/>
  <c r="H299" i="5"/>
  <c r="G299" i="5"/>
  <c r="K298" i="5"/>
  <c r="L298" i="5" s="1"/>
  <c r="J298" i="5"/>
  <c r="G298" i="5"/>
  <c r="H298" i="5" s="1"/>
  <c r="K297" i="5"/>
  <c r="L297" i="5" s="1"/>
  <c r="J297" i="5"/>
  <c r="H297" i="5"/>
  <c r="G297" i="5"/>
  <c r="L296" i="5"/>
  <c r="K296" i="5"/>
  <c r="J296" i="5"/>
  <c r="H296" i="5"/>
  <c r="G296" i="5"/>
  <c r="K295" i="5"/>
  <c r="L295" i="5" s="1"/>
  <c r="J295" i="5"/>
  <c r="G295" i="5"/>
  <c r="H295" i="5" s="1"/>
  <c r="L294" i="5"/>
  <c r="K294" i="5"/>
  <c r="J294" i="5"/>
  <c r="H294" i="5"/>
  <c r="G294" i="5"/>
  <c r="L293" i="5"/>
  <c r="K293" i="5"/>
  <c r="J293" i="5"/>
  <c r="G293" i="5"/>
  <c r="H293" i="5" s="1"/>
  <c r="K292" i="5"/>
  <c r="L292" i="5" s="1"/>
  <c r="J292" i="5"/>
  <c r="H292" i="5"/>
  <c r="G292" i="5"/>
  <c r="K291" i="5"/>
  <c r="L291" i="5" s="1"/>
  <c r="J291" i="5"/>
  <c r="H291" i="5"/>
  <c r="G291" i="5"/>
  <c r="K290" i="5"/>
  <c r="L290" i="5" s="1"/>
  <c r="J290" i="5"/>
  <c r="G290" i="5"/>
  <c r="H290" i="5" s="1"/>
  <c r="K289" i="5"/>
  <c r="L289" i="5" s="1"/>
  <c r="J289" i="5"/>
  <c r="H289" i="5"/>
  <c r="G289" i="5"/>
  <c r="L288" i="5"/>
  <c r="K288" i="5"/>
  <c r="J288" i="5"/>
  <c r="H288" i="5"/>
  <c r="G288" i="5"/>
  <c r="K287" i="5"/>
  <c r="L287" i="5" s="1"/>
  <c r="J287" i="5"/>
  <c r="H287" i="5"/>
  <c r="G287" i="5"/>
  <c r="L286" i="5"/>
  <c r="K286" i="5"/>
  <c r="J286" i="5"/>
  <c r="G286" i="5"/>
  <c r="H286" i="5" s="1"/>
  <c r="K285" i="5"/>
  <c r="L285" i="5" s="1"/>
  <c r="J285" i="5"/>
  <c r="G285" i="5"/>
  <c r="H285" i="5" s="1"/>
  <c r="L284" i="5"/>
  <c r="K284" i="5"/>
  <c r="J284" i="5"/>
  <c r="H284" i="5"/>
  <c r="G284" i="5"/>
  <c r="K283" i="5"/>
  <c r="L283" i="5" s="1"/>
  <c r="J283" i="5"/>
  <c r="G283" i="5"/>
  <c r="H283" i="5" s="1"/>
  <c r="K282" i="5"/>
  <c r="L282" i="5" s="1"/>
  <c r="J282" i="5"/>
  <c r="H282" i="5"/>
  <c r="G282" i="5"/>
  <c r="L281" i="5"/>
  <c r="K281" i="5"/>
  <c r="J281" i="5"/>
  <c r="G281" i="5"/>
  <c r="H281" i="5" s="1"/>
  <c r="K280" i="5"/>
  <c r="L280" i="5" s="1"/>
  <c r="J280" i="5"/>
  <c r="G280" i="5"/>
  <c r="H280" i="5" s="1"/>
  <c r="L279" i="5"/>
  <c r="K279" i="5"/>
  <c r="J279" i="5"/>
  <c r="H279" i="5"/>
  <c r="G279" i="5"/>
  <c r="K278" i="5"/>
  <c r="L278" i="5" s="1"/>
  <c r="J278" i="5"/>
  <c r="G278" i="5"/>
  <c r="H278" i="5" s="1"/>
  <c r="L277" i="5"/>
  <c r="K277" i="5"/>
  <c r="J277" i="5"/>
  <c r="H277" i="5"/>
  <c r="G277" i="5"/>
  <c r="L276" i="5"/>
  <c r="K276" i="5"/>
  <c r="J276" i="5"/>
  <c r="H276" i="5"/>
  <c r="G276" i="5"/>
  <c r="K275" i="5"/>
  <c r="L275" i="5" s="1"/>
  <c r="J275" i="5"/>
  <c r="G275" i="5"/>
  <c r="H275" i="5" s="1"/>
  <c r="K274" i="5"/>
  <c r="L274" i="5" s="1"/>
  <c r="J274" i="5"/>
  <c r="G274" i="5"/>
  <c r="H274" i="5" s="1"/>
  <c r="K273" i="5"/>
  <c r="L273" i="5" s="1"/>
  <c r="J273" i="5"/>
  <c r="G273" i="5"/>
  <c r="H273" i="5" s="1"/>
  <c r="L272" i="5"/>
  <c r="K272" i="5"/>
  <c r="J272" i="5"/>
  <c r="H272" i="5"/>
  <c r="G272" i="5"/>
  <c r="K271" i="5"/>
  <c r="L271" i="5" s="1"/>
  <c r="J271" i="5"/>
  <c r="H271" i="5"/>
  <c r="G271" i="5"/>
  <c r="L270" i="5"/>
  <c r="K270" i="5"/>
  <c r="J270" i="5"/>
  <c r="H270" i="5"/>
  <c r="G270" i="5"/>
  <c r="L269" i="5"/>
  <c r="K269" i="5"/>
  <c r="J269" i="5"/>
  <c r="G269" i="5"/>
  <c r="H269" i="5" s="1"/>
  <c r="M25" i="4" s="1"/>
  <c r="K25" i="4" s="1"/>
  <c r="L268" i="5"/>
  <c r="K268" i="5"/>
  <c r="J268" i="5"/>
  <c r="H268" i="5"/>
  <c r="G268" i="5"/>
  <c r="K267" i="5"/>
  <c r="L267" i="5" s="1"/>
  <c r="J267" i="5"/>
  <c r="H267" i="5"/>
  <c r="G267" i="5"/>
  <c r="K266" i="5"/>
  <c r="L266" i="5" s="1"/>
  <c r="J266" i="5"/>
  <c r="H266" i="5"/>
  <c r="G266" i="5"/>
  <c r="L265" i="5"/>
  <c r="K265" i="5"/>
  <c r="J265" i="5"/>
  <c r="G265" i="5"/>
  <c r="H265" i="5" s="1"/>
  <c r="L264" i="5"/>
  <c r="K264" i="5"/>
  <c r="J264" i="5"/>
  <c r="G264" i="5"/>
  <c r="H264" i="5" s="1"/>
  <c r="M26" i="4" s="1"/>
  <c r="K26" i="4" s="1"/>
  <c r="L263" i="5"/>
  <c r="K263" i="5"/>
  <c r="J263" i="5"/>
  <c r="H263" i="5"/>
  <c r="G263" i="5"/>
  <c r="K262" i="5"/>
  <c r="L262" i="5" s="1"/>
  <c r="J262" i="5"/>
  <c r="G262" i="5"/>
  <c r="H262" i="5" s="1"/>
  <c r="K261" i="5"/>
  <c r="L261" i="5" s="1"/>
  <c r="J261" i="5"/>
  <c r="H261" i="5"/>
  <c r="G261" i="5"/>
  <c r="L260" i="5"/>
  <c r="K260" i="5"/>
  <c r="J260" i="5"/>
  <c r="H260" i="5"/>
  <c r="G260" i="5"/>
  <c r="K259" i="5"/>
  <c r="L259" i="5" s="1"/>
  <c r="J259" i="5"/>
  <c r="G259" i="5"/>
  <c r="H259" i="5" s="1"/>
  <c r="L258" i="5"/>
  <c r="K258" i="5"/>
  <c r="J258" i="5"/>
  <c r="H258" i="5"/>
  <c r="G258" i="5"/>
  <c r="L257" i="5"/>
  <c r="K257" i="5"/>
  <c r="J257" i="5"/>
  <c r="G257" i="5"/>
  <c r="H257" i="5" s="1"/>
  <c r="K256" i="5"/>
  <c r="L256" i="5" s="1"/>
  <c r="J256" i="5"/>
  <c r="H256" i="5"/>
  <c r="G256" i="5"/>
  <c r="L255" i="5"/>
  <c r="K255" i="5"/>
  <c r="J255" i="5"/>
  <c r="H255" i="5"/>
  <c r="G255" i="5"/>
  <c r="K254" i="5"/>
  <c r="L254" i="5" s="1"/>
  <c r="J254" i="5"/>
  <c r="G254" i="5"/>
  <c r="H254" i="5" s="1"/>
  <c r="L253" i="5"/>
  <c r="K253" i="5"/>
  <c r="J253" i="5"/>
  <c r="G253" i="5"/>
  <c r="H253" i="5" s="1"/>
  <c r="L252" i="5"/>
  <c r="K252" i="5"/>
  <c r="J252" i="5"/>
  <c r="H252" i="5"/>
  <c r="G252" i="5"/>
  <c r="K251" i="5"/>
  <c r="L251" i="5" s="1"/>
  <c r="J251" i="5"/>
  <c r="H251" i="5"/>
  <c r="G251" i="5"/>
  <c r="K250" i="5"/>
  <c r="L250" i="5" s="1"/>
  <c r="J250" i="5"/>
  <c r="G250" i="5"/>
  <c r="H250" i="5" s="1"/>
  <c r="K249" i="5"/>
  <c r="L249" i="5" s="1"/>
  <c r="J249" i="5"/>
  <c r="G249" i="5"/>
  <c r="H249" i="5" s="1"/>
  <c r="K248" i="5"/>
  <c r="L248" i="5" s="1"/>
  <c r="J248" i="5"/>
  <c r="H248" i="5"/>
  <c r="G248" i="5"/>
  <c r="K247" i="5"/>
  <c r="L247" i="5" s="1"/>
  <c r="J247" i="5"/>
  <c r="G247" i="5"/>
  <c r="H247" i="5" s="1"/>
  <c r="K246" i="5"/>
  <c r="L246" i="5" s="1"/>
  <c r="J246" i="5"/>
  <c r="G246" i="5"/>
  <c r="H246" i="5" s="1"/>
  <c r="L245" i="5"/>
  <c r="K245" i="5"/>
  <c r="J245" i="5"/>
  <c r="G245" i="5"/>
  <c r="H245" i="5" s="1"/>
  <c r="K244" i="5"/>
  <c r="L244" i="5" s="1"/>
  <c r="J244" i="5"/>
  <c r="G244" i="5"/>
  <c r="H244" i="5" s="1"/>
  <c r="L243" i="5"/>
  <c r="K243" i="5"/>
  <c r="J243" i="5"/>
  <c r="H243" i="5"/>
  <c r="G243" i="5"/>
  <c r="K242" i="5"/>
  <c r="L242" i="5" s="1"/>
  <c r="J242" i="5"/>
  <c r="G242" i="5"/>
  <c r="H242" i="5" s="1"/>
  <c r="L241" i="5"/>
  <c r="K241" i="5"/>
  <c r="J241" i="5"/>
  <c r="G241" i="5"/>
  <c r="H241" i="5" s="1"/>
  <c r="L240" i="5"/>
  <c r="K240" i="5"/>
  <c r="J240" i="5"/>
  <c r="H240" i="5"/>
  <c r="G240" i="5"/>
  <c r="K239" i="5"/>
  <c r="L239" i="5" s="1"/>
  <c r="J239" i="5"/>
  <c r="G239" i="5"/>
  <c r="H239" i="5" s="1"/>
  <c r="L238" i="5"/>
  <c r="K238" i="5"/>
  <c r="J238" i="5"/>
  <c r="G238" i="5"/>
  <c r="H238" i="5" s="1"/>
  <c r="K237" i="5"/>
  <c r="L237" i="5" s="1"/>
  <c r="J237" i="5"/>
  <c r="G237" i="5"/>
  <c r="H237" i="5" s="1"/>
  <c r="L236" i="5"/>
  <c r="K236" i="5"/>
  <c r="J236" i="5"/>
  <c r="H236" i="5"/>
  <c r="G236" i="5"/>
  <c r="K235" i="5"/>
  <c r="L235" i="5" s="1"/>
  <c r="J235" i="5"/>
  <c r="G235" i="5"/>
  <c r="H235" i="5" s="1"/>
  <c r="L234" i="5"/>
  <c r="K234" i="5"/>
  <c r="J234" i="5"/>
  <c r="H234" i="5"/>
  <c r="G234" i="5"/>
  <c r="L233" i="5"/>
  <c r="K233" i="5"/>
  <c r="J233" i="5"/>
  <c r="G233" i="5"/>
  <c r="H233" i="5" s="1"/>
  <c r="L232" i="5"/>
  <c r="K232" i="5"/>
  <c r="J232" i="5"/>
  <c r="H232" i="5"/>
  <c r="G232" i="5"/>
  <c r="K231" i="5"/>
  <c r="L231" i="5" s="1"/>
  <c r="J231" i="5"/>
  <c r="H231" i="5"/>
  <c r="G231" i="5"/>
  <c r="K230" i="5"/>
  <c r="L230" i="5" s="1"/>
  <c r="J230" i="5"/>
  <c r="H230" i="5"/>
  <c r="G230" i="5"/>
  <c r="L229" i="5"/>
  <c r="K229" i="5"/>
  <c r="J229" i="5"/>
  <c r="G229" i="5"/>
  <c r="H229" i="5" s="1"/>
  <c r="L228" i="5"/>
  <c r="K228" i="5"/>
  <c r="J228" i="5"/>
  <c r="G228" i="5"/>
  <c r="H228" i="5" s="1"/>
  <c r="M23" i="4" s="1"/>
  <c r="K23" i="4" s="1"/>
  <c r="L227" i="5"/>
  <c r="K227" i="5"/>
  <c r="J227" i="5"/>
  <c r="H227" i="5"/>
  <c r="G227" i="5"/>
  <c r="K226" i="5"/>
  <c r="L226" i="5" s="1"/>
  <c r="J226" i="5"/>
  <c r="G226" i="5"/>
  <c r="H226" i="5" s="1"/>
  <c r="K225" i="5"/>
  <c r="L225" i="5" s="1"/>
  <c r="J225" i="5"/>
  <c r="H225" i="5"/>
  <c r="G225" i="5"/>
  <c r="L224" i="5"/>
  <c r="K224" i="5"/>
  <c r="J224" i="5"/>
  <c r="H224" i="5"/>
  <c r="G224" i="5"/>
  <c r="K223" i="5"/>
  <c r="L223" i="5" s="1"/>
  <c r="J223" i="5"/>
  <c r="G223" i="5"/>
  <c r="H223" i="5" s="1"/>
  <c r="L222" i="5"/>
  <c r="K222" i="5"/>
  <c r="J222" i="5"/>
  <c r="H222" i="5"/>
  <c r="G222" i="5"/>
  <c r="L221" i="5"/>
  <c r="K221" i="5"/>
  <c r="J221" i="5"/>
  <c r="G221" i="5"/>
  <c r="H221" i="5" s="1"/>
  <c r="K220" i="5"/>
  <c r="L220" i="5" s="1"/>
  <c r="J220" i="5"/>
  <c r="H220" i="5"/>
  <c r="G220" i="5"/>
  <c r="K219" i="5"/>
  <c r="L219" i="5" s="1"/>
  <c r="J219" i="5"/>
  <c r="H219" i="5"/>
  <c r="G219" i="5"/>
  <c r="K218" i="5"/>
  <c r="L218" i="5" s="1"/>
  <c r="J218" i="5"/>
  <c r="G218" i="5"/>
  <c r="H218" i="5" s="1"/>
  <c r="K217" i="5"/>
  <c r="L217" i="5" s="1"/>
  <c r="J217" i="5"/>
  <c r="G217" i="5"/>
  <c r="H217" i="5" s="1"/>
  <c r="L216" i="5"/>
  <c r="K216" i="5"/>
  <c r="J216" i="5"/>
  <c r="H216" i="5"/>
  <c r="G216" i="5"/>
  <c r="K215" i="5"/>
  <c r="L215" i="5" s="1"/>
  <c r="J215" i="5"/>
  <c r="H215" i="5"/>
  <c r="G215" i="5"/>
  <c r="K214" i="5"/>
  <c r="L214" i="5" s="1"/>
  <c r="J214" i="5"/>
  <c r="G214" i="5"/>
  <c r="H214" i="5" s="1"/>
  <c r="K213" i="5"/>
  <c r="L213" i="5" s="1"/>
  <c r="J213" i="5"/>
  <c r="G213" i="5"/>
  <c r="H213" i="5" s="1"/>
  <c r="K212" i="5"/>
  <c r="L212" i="5" s="1"/>
  <c r="J212" i="5"/>
  <c r="H212" i="5"/>
  <c r="G212" i="5"/>
  <c r="K211" i="5"/>
  <c r="L211" i="5" s="1"/>
  <c r="J211" i="5"/>
  <c r="G211" i="5"/>
  <c r="H211" i="5" s="1"/>
  <c r="K210" i="5"/>
  <c r="H210" i="5"/>
  <c r="L209" i="5"/>
  <c r="K209" i="5"/>
  <c r="J209" i="5"/>
  <c r="H209" i="5"/>
  <c r="G209" i="5"/>
  <c r="K208" i="5"/>
  <c r="L208" i="5" s="1"/>
  <c r="J208" i="5"/>
  <c r="G208" i="5"/>
  <c r="H208" i="5" s="1"/>
  <c r="L207" i="5"/>
  <c r="K207" i="5"/>
  <c r="J207" i="5"/>
  <c r="G207" i="5"/>
  <c r="H207" i="5" s="1"/>
  <c r="L206" i="5"/>
  <c r="K206" i="5"/>
  <c r="J206" i="5"/>
  <c r="G206" i="5"/>
  <c r="H206" i="5" s="1"/>
  <c r="L205" i="5"/>
  <c r="K205" i="5"/>
  <c r="J205" i="5"/>
  <c r="H205" i="5"/>
  <c r="G205" i="5"/>
  <c r="K204" i="5"/>
  <c r="L204" i="5" s="1"/>
  <c r="J204" i="5"/>
  <c r="H204" i="5"/>
  <c r="G204" i="5"/>
  <c r="K203" i="5"/>
  <c r="L203" i="5" s="1"/>
  <c r="J203" i="5"/>
  <c r="H203" i="5"/>
  <c r="G203" i="5"/>
  <c r="K202" i="5"/>
  <c r="L202" i="5" s="1"/>
  <c r="J202" i="5"/>
  <c r="G202" i="5"/>
  <c r="H202" i="5" s="1"/>
  <c r="L201" i="5"/>
  <c r="K201" i="5"/>
  <c r="J201" i="5"/>
  <c r="G201" i="5"/>
  <c r="H201" i="5" s="1"/>
  <c r="L200" i="5"/>
  <c r="K200" i="5"/>
  <c r="J200" i="5"/>
  <c r="H200" i="5"/>
  <c r="G200" i="5"/>
  <c r="K199" i="5"/>
  <c r="L199" i="5" s="1"/>
  <c r="J199" i="5"/>
  <c r="G199" i="5"/>
  <c r="H199" i="5" s="1"/>
  <c r="L198" i="5"/>
  <c r="K198" i="5"/>
  <c r="J198" i="5"/>
  <c r="H198" i="5"/>
  <c r="G198" i="5"/>
  <c r="K197" i="5"/>
  <c r="L197" i="5" s="1"/>
  <c r="J197" i="5"/>
  <c r="H197" i="5"/>
  <c r="G197" i="5"/>
  <c r="K196" i="5"/>
  <c r="L196" i="5" s="1"/>
  <c r="J196" i="5"/>
  <c r="H196" i="5"/>
  <c r="G196" i="5"/>
  <c r="L195" i="5"/>
  <c r="K195" i="5"/>
  <c r="J195" i="5"/>
  <c r="G195" i="5"/>
  <c r="H195" i="5" s="1"/>
  <c r="E189" i="5"/>
  <c r="D189" i="5"/>
  <c r="K188" i="5"/>
  <c r="L188" i="5" s="1"/>
  <c r="J188" i="5"/>
  <c r="H188" i="5"/>
  <c r="G188" i="5"/>
  <c r="L187" i="5"/>
  <c r="K187" i="5"/>
  <c r="J187" i="5"/>
  <c r="G187" i="5"/>
  <c r="H187" i="5" s="1"/>
  <c r="L186" i="5"/>
  <c r="K186" i="5"/>
  <c r="J186" i="5"/>
  <c r="H186" i="5"/>
  <c r="G186" i="5"/>
  <c r="I185" i="5"/>
  <c r="K185" i="5" s="1"/>
  <c r="L185" i="5" s="1"/>
  <c r="G185" i="5"/>
  <c r="H185" i="5" s="1"/>
  <c r="L184" i="5"/>
  <c r="K184" i="5"/>
  <c r="J184" i="5"/>
  <c r="G184" i="5"/>
  <c r="H184" i="5" s="1"/>
  <c r="K183" i="5"/>
  <c r="L183" i="5" s="1"/>
  <c r="J183" i="5"/>
  <c r="G183" i="5"/>
  <c r="H183" i="5" s="1"/>
  <c r="L182" i="5"/>
  <c r="K182" i="5"/>
  <c r="J182" i="5"/>
  <c r="H182" i="5"/>
  <c r="G182" i="5"/>
  <c r="K181" i="5"/>
  <c r="L181" i="5" s="1"/>
  <c r="J181" i="5"/>
  <c r="G181" i="5"/>
  <c r="H181" i="5" s="1"/>
  <c r="L180" i="5"/>
  <c r="K180" i="5"/>
  <c r="J180" i="5"/>
  <c r="H180" i="5"/>
  <c r="G180" i="5"/>
  <c r="L179" i="5"/>
  <c r="K179" i="5"/>
  <c r="J179" i="5"/>
  <c r="G179" i="5"/>
  <c r="H179" i="5" s="1"/>
  <c r="K178" i="5"/>
  <c r="L178" i="5" s="1"/>
  <c r="J178" i="5"/>
  <c r="G178" i="5"/>
  <c r="H178" i="5" s="1"/>
  <c r="L177" i="5"/>
  <c r="K177" i="5"/>
  <c r="J177" i="5"/>
  <c r="G177" i="5"/>
  <c r="H177" i="5" s="1"/>
  <c r="K176" i="5"/>
  <c r="L176" i="5" s="1"/>
  <c r="J176" i="5"/>
  <c r="G176" i="5"/>
  <c r="H176" i="5" s="1"/>
  <c r="L175" i="5"/>
  <c r="K175" i="5"/>
  <c r="J175" i="5"/>
  <c r="H175" i="5"/>
  <c r="G175" i="5"/>
  <c r="K174" i="5"/>
  <c r="L174" i="5" s="1"/>
  <c r="J174" i="5"/>
  <c r="G174" i="5"/>
  <c r="H174" i="5" s="1"/>
  <c r="K173" i="5"/>
  <c r="L173" i="5" s="1"/>
  <c r="J173" i="5"/>
  <c r="H173" i="5"/>
  <c r="G173" i="5"/>
  <c r="L172" i="5"/>
  <c r="K172" i="5"/>
  <c r="J172" i="5"/>
  <c r="G172" i="5"/>
  <c r="H172" i="5" s="1"/>
  <c r="L170" i="5"/>
  <c r="K170" i="5"/>
  <c r="J170" i="5"/>
  <c r="G170" i="5"/>
  <c r="H170" i="5" s="1"/>
  <c r="L169" i="5"/>
  <c r="K169" i="5"/>
  <c r="J169" i="5"/>
  <c r="H169" i="5"/>
  <c r="G169" i="5"/>
  <c r="I167" i="5"/>
  <c r="G167" i="5"/>
  <c r="H167" i="5" s="1"/>
  <c r="K166" i="5"/>
  <c r="L166" i="5" s="1"/>
  <c r="J166" i="5"/>
  <c r="I166" i="5"/>
  <c r="H166" i="5"/>
  <c r="G166" i="5"/>
  <c r="H165" i="5"/>
  <c r="G165" i="5"/>
  <c r="I165" i="5" s="1"/>
  <c r="K164" i="5"/>
  <c r="L164" i="5" s="1"/>
  <c r="J164" i="5"/>
  <c r="H164" i="5"/>
  <c r="M14" i="4" s="1"/>
  <c r="K14" i="4" s="1"/>
  <c r="G164" i="5"/>
  <c r="K163" i="5"/>
  <c r="L163" i="5" s="1"/>
  <c r="J163" i="5"/>
  <c r="H163" i="5"/>
  <c r="G163" i="5"/>
  <c r="K162" i="5"/>
  <c r="L162" i="5" s="1"/>
  <c r="G162" i="5"/>
  <c r="I162" i="5" s="1"/>
  <c r="J162" i="5" s="1"/>
  <c r="I161" i="5"/>
  <c r="H161" i="5"/>
  <c r="G161" i="5"/>
  <c r="H160" i="5"/>
  <c r="G160" i="5"/>
  <c r="I160" i="5" s="1"/>
  <c r="G159" i="5"/>
  <c r="I159" i="5" s="1"/>
  <c r="L157" i="5"/>
  <c r="K157" i="5"/>
  <c r="I157" i="5"/>
  <c r="J157" i="5" s="1"/>
  <c r="H157" i="5"/>
  <c r="G157" i="5"/>
  <c r="H156" i="5"/>
  <c r="G156" i="5"/>
  <c r="I156" i="5" s="1"/>
  <c r="K155" i="5"/>
  <c r="L155" i="5" s="1"/>
  <c r="J155" i="5"/>
  <c r="I155" i="5"/>
  <c r="H155" i="5"/>
  <c r="G155" i="5"/>
  <c r="L154" i="5"/>
  <c r="K154" i="5"/>
  <c r="J154" i="5"/>
  <c r="G154" i="5"/>
  <c r="H154" i="5" s="1"/>
  <c r="K153" i="5"/>
  <c r="L153" i="5" s="1"/>
  <c r="J153" i="5"/>
  <c r="G153" i="5"/>
  <c r="H153" i="5" s="1"/>
  <c r="G152" i="5"/>
  <c r="I151" i="5"/>
  <c r="G151" i="5"/>
  <c r="H151" i="5" s="1"/>
  <c r="G150" i="5"/>
  <c r="I149" i="5"/>
  <c r="K149" i="5" s="1"/>
  <c r="L149" i="5" s="1"/>
  <c r="G149" i="5"/>
  <c r="H149" i="5" s="1"/>
  <c r="L148" i="5"/>
  <c r="K148" i="5"/>
  <c r="J148" i="5"/>
  <c r="G148" i="5"/>
  <c r="H148" i="5" s="1"/>
  <c r="L147" i="5"/>
  <c r="K147" i="5"/>
  <c r="J147" i="5"/>
  <c r="G147" i="5"/>
  <c r="H147" i="5" s="1"/>
  <c r="L146" i="5"/>
  <c r="K146" i="5"/>
  <c r="J146" i="5"/>
  <c r="H146" i="5"/>
  <c r="G146" i="5"/>
  <c r="K145" i="5"/>
  <c r="L145" i="5" s="1"/>
  <c r="J145" i="5"/>
  <c r="G145" i="5"/>
  <c r="H145" i="5" s="1"/>
  <c r="M15" i="4" s="1"/>
  <c r="K15" i="4" s="1"/>
  <c r="L144" i="5"/>
  <c r="K144" i="5"/>
  <c r="J144" i="5"/>
  <c r="H144" i="5"/>
  <c r="G144" i="5"/>
  <c r="L143" i="5"/>
  <c r="K143" i="5"/>
  <c r="J143" i="5"/>
  <c r="G143" i="5"/>
  <c r="H143" i="5" s="1"/>
  <c r="K142" i="5"/>
  <c r="L142" i="5" s="1"/>
  <c r="J142" i="5"/>
  <c r="H142" i="5"/>
  <c r="G142" i="5"/>
  <c r="K141" i="5"/>
  <c r="L141" i="5" s="1"/>
  <c r="J141" i="5"/>
  <c r="I141" i="5"/>
  <c r="G141" i="5"/>
  <c r="H141" i="5" s="1"/>
  <c r="K140" i="5"/>
  <c r="L140" i="5" s="1"/>
  <c r="J140" i="5"/>
  <c r="G140" i="5"/>
  <c r="H140" i="5" s="1"/>
  <c r="M11" i="4" s="1"/>
  <c r="K11" i="4" s="1"/>
  <c r="L139" i="5"/>
  <c r="K139" i="5"/>
  <c r="J139" i="5"/>
  <c r="H139" i="5"/>
  <c r="G139" i="5"/>
  <c r="I138" i="5"/>
  <c r="G138" i="5"/>
  <c r="H138" i="5" s="1"/>
  <c r="L137" i="5"/>
  <c r="K137" i="5"/>
  <c r="J137" i="5"/>
  <c r="H137" i="5"/>
  <c r="G137" i="5"/>
  <c r="L136" i="5"/>
  <c r="K136" i="5"/>
  <c r="J136" i="5"/>
  <c r="G136" i="5"/>
  <c r="H136" i="5" s="1"/>
  <c r="K135" i="5"/>
  <c r="L135" i="5" s="1"/>
  <c r="J135" i="5"/>
  <c r="G135" i="5"/>
  <c r="H135" i="5" s="1"/>
  <c r="L134" i="5"/>
  <c r="K134" i="5"/>
  <c r="J134" i="5"/>
  <c r="G134" i="5"/>
  <c r="H134" i="5" s="1"/>
  <c r="K133" i="5"/>
  <c r="L133" i="5" s="1"/>
  <c r="J133" i="5"/>
  <c r="G133" i="5"/>
  <c r="H133" i="5" s="1"/>
  <c r="K132" i="5"/>
  <c r="L132" i="5" s="1"/>
  <c r="J132" i="5"/>
  <c r="H132" i="5"/>
  <c r="G132" i="5"/>
  <c r="K131" i="5"/>
  <c r="L131" i="5" s="1"/>
  <c r="J131" i="5"/>
  <c r="G131" i="5"/>
  <c r="H131" i="5" s="1"/>
  <c r="L130" i="5"/>
  <c r="K130" i="5"/>
  <c r="J130" i="5"/>
  <c r="G130" i="5"/>
  <c r="H130" i="5" s="1"/>
  <c r="L129" i="5"/>
  <c r="K129" i="5"/>
  <c r="J129" i="5"/>
  <c r="G129" i="5"/>
  <c r="H129" i="5" s="1"/>
  <c r="L128" i="5"/>
  <c r="K128" i="5"/>
  <c r="J128" i="5"/>
  <c r="H128" i="5"/>
  <c r="G128" i="5"/>
  <c r="K127" i="5"/>
  <c r="L127" i="5" s="1"/>
  <c r="J127" i="5"/>
  <c r="H127" i="5"/>
  <c r="G127" i="5"/>
  <c r="K126" i="5"/>
  <c r="L126" i="5" s="1"/>
  <c r="J126" i="5"/>
  <c r="H126" i="5"/>
  <c r="G126" i="5"/>
  <c r="K125" i="5"/>
  <c r="L125" i="5" s="1"/>
  <c r="J125" i="5"/>
  <c r="G125" i="5"/>
  <c r="H125" i="5" s="1"/>
  <c r="L124" i="5"/>
  <c r="K124" i="5"/>
  <c r="J124" i="5"/>
  <c r="G124" i="5"/>
  <c r="H124" i="5" s="1"/>
  <c r="L123" i="5"/>
  <c r="K123" i="5"/>
  <c r="J123" i="5"/>
  <c r="H123" i="5"/>
  <c r="G123" i="5"/>
  <c r="K122" i="5"/>
  <c r="L122" i="5" s="1"/>
  <c r="J122" i="5"/>
  <c r="G122" i="5"/>
  <c r="H122" i="5" s="1"/>
  <c r="L121" i="5"/>
  <c r="K121" i="5"/>
  <c r="J121" i="5"/>
  <c r="H121" i="5"/>
  <c r="G121" i="5"/>
  <c r="K120" i="5"/>
  <c r="L120" i="5" s="1"/>
  <c r="J120" i="5"/>
  <c r="H120" i="5"/>
  <c r="G120" i="5"/>
  <c r="K119" i="5"/>
  <c r="L119" i="5" s="1"/>
  <c r="J119" i="5"/>
  <c r="H119" i="5"/>
  <c r="G119" i="5"/>
  <c r="H118" i="5"/>
  <c r="G118" i="5"/>
  <c r="I118" i="5" s="1"/>
  <c r="L117" i="5"/>
  <c r="K117" i="5"/>
  <c r="J117" i="5"/>
  <c r="H117" i="5"/>
  <c r="G117" i="5"/>
  <c r="K116" i="5"/>
  <c r="L116" i="5" s="1"/>
  <c r="J116" i="5"/>
  <c r="G116" i="5"/>
  <c r="H116" i="5" s="1"/>
  <c r="G115" i="5"/>
  <c r="L113" i="5"/>
  <c r="K113" i="5"/>
  <c r="J113" i="5"/>
  <c r="I113" i="5"/>
  <c r="G113" i="5"/>
  <c r="H113" i="5" s="1"/>
  <c r="L112" i="5"/>
  <c r="K112" i="5"/>
  <c r="J112" i="5"/>
  <c r="G112" i="5"/>
  <c r="H112" i="5" s="1"/>
  <c r="I111" i="5"/>
  <c r="K111" i="5" s="1"/>
  <c r="L111" i="5" s="1"/>
  <c r="H111" i="5"/>
  <c r="G111" i="5"/>
  <c r="K110" i="5"/>
  <c r="L110" i="5" s="1"/>
  <c r="J110" i="5"/>
  <c r="H110" i="5"/>
  <c r="G110" i="5"/>
  <c r="H109" i="5"/>
  <c r="G109" i="5"/>
  <c r="I109" i="5" s="1"/>
  <c r="J109" i="5" s="1"/>
  <c r="L108" i="5"/>
  <c r="K108" i="5"/>
  <c r="J108" i="5"/>
  <c r="H108" i="5"/>
  <c r="G108" i="5"/>
  <c r="H107" i="5"/>
  <c r="G107" i="5"/>
  <c r="I107" i="5" s="1"/>
  <c r="K106" i="5"/>
  <c r="L106" i="5" s="1"/>
  <c r="J106" i="5"/>
  <c r="H106" i="5"/>
  <c r="G106" i="5"/>
  <c r="H105" i="5"/>
  <c r="G105" i="5"/>
  <c r="I105" i="5" s="1"/>
  <c r="K104" i="5"/>
  <c r="L104" i="5" s="1"/>
  <c r="J104" i="5"/>
  <c r="G104" i="5"/>
  <c r="H104" i="5" s="1"/>
  <c r="H103" i="5"/>
  <c r="G103" i="5"/>
  <c r="I103" i="5" s="1"/>
  <c r="L102" i="5"/>
  <c r="K102" i="5"/>
  <c r="J102" i="5"/>
  <c r="H102" i="5"/>
  <c r="G102" i="5"/>
  <c r="G101" i="5"/>
  <c r="K100" i="5"/>
  <c r="L100" i="5" s="1"/>
  <c r="J100" i="5"/>
  <c r="H100" i="5"/>
  <c r="G100" i="5"/>
  <c r="K99" i="5"/>
  <c r="L99" i="5" s="1"/>
  <c r="J99" i="5"/>
  <c r="H99" i="5"/>
  <c r="G99" i="5"/>
  <c r="K98" i="5"/>
  <c r="L98" i="5" s="1"/>
  <c r="J98" i="5"/>
  <c r="G98" i="5"/>
  <c r="H98" i="5" s="1"/>
  <c r="K97" i="5"/>
  <c r="L97" i="5" s="1"/>
  <c r="J97" i="5"/>
  <c r="I97" i="5"/>
  <c r="H97" i="5"/>
  <c r="G97" i="5"/>
  <c r="K96" i="5"/>
  <c r="L96" i="5" s="1"/>
  <c r="J96" i="5"/>
  <c r="H96" i="5"/>
  <c r="G96" i="5"/>
  <c r="I95" i="5"/>
  <c r="J95" i="5" s="1"/>
  <c r="H95" i="5"/>
  <c r="G95" i="5"/>
  <c r="L94" i="5"/>
  <c r="K94" i="5"/>
  <c r="J94" i="5"/>
  <c r="G94" i="5"/>
  <c r="H94" i="5" s="1"/>
  <c r="K93" i="5"/>
  <c r="L93" i="5" s="1"/>
  <c r="I93" i="5"/>
  <c r="J93" i="5" s="1"/>
  <c r="H93" i="5"/>
  <c r="G93" i="5"/>
  <c r="L92" i="5"/>
  <c r="K92" i="5"/>
  <c r="J92" i="5"/>
  <c r="G92" i="5"/>
  <c r="H92" i="5" s="1"/>
  <c r="K91" i="5"/>
  <c r="L91" i="5" s="1"/>
  <c r="I91" i="5"/>
  <c r="J91" i="5" s="1"/>
  <c r="G91" i="5"/>
  <c r="H91" i="5" s="1"/>
  <c r="G90" i="5"/>
  <c r="L89" i="5"/>
  <c r="K89" i="5"/>
  <c r="J89" i="5"/>
  <c r="G89" i="5"/>
  <c r="H89" i="5" s="1"/>
  <c r="K88" i="5"/>
  <c r="L88" i="5" s="1"/>
  <c r="J88" i="5"/>
  <c r="I88" i="5"/>
  <c r="G88" i="5"/>
  <c r="H88" i="5" s="1"/>
  <c r="E83" i="5"/>
  <c r="D83" i="5"/>
  <c r="L82" i="5"/>
  <c r="K82" i="5"/>
  <c r="J82" i="5"/>
  <c r="H82" i="5"/>
  <c r="G82" i="5"/>
  <c r="L81" i="5"/>
  <c r="K81" i="5"/>
  <c r="J81" i="5"/>
  <c r="G81" i="5"/>
  <c r="H81" i="5" s="1"/>
  <c r="L80" i="5"/>
  <c r="K80" i="5"/>
  <c r="J80" i="5"/>
  <c r="H80" i="5"/>
  <c r="G80" i="5"/>
  <c r="K79" i="5"/>
  <c r="L79" i="5" s="1"/>
  <c r="J79" i="5"/>
  <c r="H79" i="5"/>
  <c r="G79" i="5"/>
  <c r="K78" i="5"/>
  <c r="L78" i="5" s="1"/>
  <c r="J78" i="5"/>
  <c r="H78" i="5"/>
  <c r="G78" i="5"/>
  <c r="L77" i="5"/>
  <c r="K77" i="5"/>
  <c r="J77" i="5"/>
  <c r="G77" i="5"/>
  <c r="H77" i="5" s="1"/>
  <c r="L76" i="5"/>
  <c r="K76" i="5"/>
  <c r="J76" i="5"/>
  <c r="H76" i="5"/>
  <c r="G76" i="5"/>
  <c r="L75" i="5"/>
  <c r="K75" i="5"/>
  <c r="J75" i="5"/>
  <c r="H75" i="5"/>
  <c r="G75" i="5"/>
  <c r="K74" i="5"/>
  <c r="L74" i="5" s="1"/>
  <c r="J74" i="5"/>
  <c r="G74" i="5"/>
  <c r="H74" i="5" s="1"/>
  <c r="K73" i="5"/>
  <c r="L73" i="5" s="1"/>
  <c r="J73" i="5"/>
  <c r="H73" i="5"/>
  <c r="G73" i="5"/>
  <c r="L72" i="5"/>
  <c r="K72" i="5"/>
  <c r="J72" i="5"/>
  <c r="G72" i="5"/>
  <c r="H72" i="5" s="1"/>
  <c r="K71" i="5"/>
  <c r="L71" i="5" s="1"/>
  <c r="J71" i="5"/>
  <c r="G71" i="5"/>
  <c r="H71" i="5" s="1"/>
  <c r="L70" i="5"/>
  <c r="K70" i="5"/>
  <c r="J70" i="5"/>
  <c r="H70" i="5"/>
  <c r="G70" i="5"/>
  <c r="K69" i="5"/>
  <c r="L69" i="5" s="1"/>
  <c r="J69" i="5"/>
  <c r="G69" i="5"/>
  <c r="H69" i="5" s="1"/>
  <c r="K68" i="5"/>
  <c r="L68" i="5" s="1"/>
  <c r="J68" i="5"/>
  <c r="H68" i="5"/>
  <c r="G68" i="5"/>
  <c r="K67" i="5"/>
  <c r="L67" i="5" s="1"/>
  <c r="J67" i="5"/>
  <c r="H67" i="5"/>
  <c r="G67" i="5"/>
  <c r="K66" i="5"/>
  <c r="L66" i="5" s="1"/>
  <c r="J66" i="5"/>
  <c r="H66" i="5"/>
  <c r="G66" i="5"/>
  <c r="K65" i="5"/>
  <c r="L65" i="5" s="1"/>
  <c r="J65" i="5"/>
  <c r="G65" i="5"/>
  <c r="H65" i="5" s="1"/>
  <c r="L64" i="5"/>
  <c r="K64" i="5"/>
  <c r="J64" i="5"/>
  <c r="H64" i="5"/>
  <c r="G64" i="5"/>
  <c r="K63" i="5"/>
  <c r="L63" i="5" s="1"/>
  <c r="J63" i="5"/>
  <c r="H63" i="5"/>
  <c r="G63" i="5"/>
  <c r="K62" i="5"/>
  <c r="L62" i="5" s="1"/>
  <c r="J62" i="5"/>
  <c r="G62" i="5"/>
  <c r="H62" i="5" s="1"/>
  <c r="K61" i="5"/>
  <c r="L61" i="5" s="1"/>
  <c r="J61" i="5"/>
  <c r="H61" i="5"/>
  <c r="G61" i="5"/>
  <c r="K60" i="5"/>
  <c r="L60" i="5" s="1"/>
  <c r="J60" i="5"/>
  <c r="G60" i="5"/>
  <c r="H60" i="5" s="1"/>
  <c r="K59" i="5"/>
  <c r="L59" i="5" s="1"/>
  <c r="J59" i="5"/>
  <c r="G59" i="5"/>
  <c r="H59" i="5" s="1"/>
  <c r="K58" i="5"/>
  <c r="L58" i="5" s="1"/>
  <c r="J58" i="5"/>
  <c r="G58" i="5"/>
  <c r="H58" i="5" s="1"/>
  <c r="L57" i="5"/>
  <c r="K57" i="5"/>
  <c r="J57" i="5"/>
  <c r="G57" i="5"/>
  <c r="H57" i="5" s="1"/>
  <c r="K56" i="5"/>
  <c r="L56" i="5" s="1"/>
  <c r="J56" i="5"/>
  <c r="G56" i="5"/>
  <c r="H56" i="5" s="1"/>
  <c r="K55" i="5"/>
  <c r="L55" i="5" s="1"/>
  <c r="J55" i="5"/>
  <c r="H55" i="5"/>
  <c r="G55" i="5"/>
  <c r="K54" i="5"/>
  <c r="L54" i="5" s="1"/>
  <c r="J54" i="5"/>
  <c r="G54" i="5"/>
  <c r="H54" i="5" s="1"/>
  <c r="L53" i="5"/>
  <c r="K53" i="5"/>
  <c r="J53" i="5"/>
  <c r="G53" i="5"/>
  <c r="H53" i="5" s="1"/>
  <c r="L52" i="5"/>
  <c r="K52" i="5"/>
  <c r="J52" i="5"/>
  <c r="H52" i="5"/>
  <c r="G52" i="5"/>
  <c r="K51" i="5"/>
  <c r="L51" i="5" s="1"/>
  <c r="J51" i="5"/>
  <c r="G51" i="5"/>
  <c r="H51" i="5" s="1"/>
  <c r="K50" i="5"/>
  <c r="L50" i="5" s="1"/>
  <c r="J50" i="5"/>
  <c r="G50" i="5"/>
  <c r="H50" i="5" s="1"/>
  <c r="K49" i="5"/>
  <c r="L49" i="5" s="1"/>
  <c r="J49" i="5"/>
  <c r="G49" i="5"/>
  <c r="H49" i="5" s="1"/>
  <c r="L48" i="5"/>
  <c r="K48" i="5"/>
  <c r="J48" i="5"/>
  <c r="H48" i="5"/>
  <c r="G48" i="5"/>
  <c r="K47" i="5"/>
  <c r="L47" i="5" s="1"/>
  <c r="J47" i="5"/>
  <c r="G47" i="5"/>
  <c r="H47" i="5" s="1"/>
  <c r="L46" i="5"/>
  <c r="K46" i="5"/>
  <c r="J46" i="5"/>
  <c r="H46" i="5"/>
  <c r="G46" i="5"/>
  <c r="L45" i="5"/>
  <c r="K45" i="5"/>
  <c r="J45" i="5"/>
  <c r="G45" i="5"/>
  <c r="H45" i="5" s="1"/>
  <c r="L44" i="5"/>
  <c r="K44" i="5"/>
  <c r="J44" i="5"/>
  <c r="H44" i="5"/>
  <c r="G44" i="5"/>
  <c r="K43" i="5"/>
  <c r="L43" i="5" s="1"/>
  <c r="J43" i="5"/>
  <c r="H43" i="5"/>
  <c r="G43" i="5"/>
  <c r="K42" i="5"/>
  <c r="L42" i="5" s="1"/>
  <c r="J42" i="5"/>
  <c r="G42" i="5"/>
  <c r="H42" i="5" s="1"/>
  <c r="L41" i="5"/>
  <c r="K41" i="5"/>
  <c r="J41" i="5"/>
  <c r="H41" i="5"/>
  <c r="G41" i="5"/>
  <c r="L40" i="5"/>
  <c r="K40" i="5"/>
  <c r="J40" i="5"/>
  <c r="H40" i="5"/>
  <c r="G40" i="5"/>
  <c r="K39" i="5"/>
  <c r="L39" i="5" s="1"/>
  <c r="J39" i="5"/>
  <c r="G39" i="5"/>
  <c r="H39" i="5" s="1"/>
  <c r="L38" i="5"/>
  <c r="K38" i="5"/>
  <c r="J38" i="5"/>
  <c r="G38" i="5"/>
  <c r="H38" i="5" s="1"/>
  <c r="K37" i="5"/>
  <c r="L37" i="5" s="1"/>
  <c r="J37" i="5"/>
  <c r="G37" i="5"/>
  <c r="H37" i="5" s="1"/>
  <c r="L36" i="5"/>
  <c r="K36" i="5"/>
  <c r="J36" i="5"/>
  <c r="H36" i="5"/>
  <c r="G36" i="5"/>
  <c r="K35" i="5"/>
  <c r="L35" i="5" s="1"/>
  <c r="J35" i="5"/>
  <c r="H35" i="5"/>
  <c r="G35" i="5"/>
  <c r="L34" i="5"/>
  <c r="K34" i="5"/>
  <c r="J34" i="5"/>
  <c r="H34" i="5"/>
  <c r="G34" i="5"/>
  <c r="K33" i="5"/>
  <c r="L33" i="5" s="1"/>
  <c r="J33" i="5"/>
  <c r="G33" i="5"/>
  <c r="H33" i="5" s="1"/>
  <c r="L32" i="5"/>
  <c r="K32" i="5"/>
  <c r="J32" i="5"/>
  <c r="G32" i="5"/>
  <c r="H32" i="5" s="1"/>
  <c r="L31" i="5"/>
  <c r="K31" i="5"/>
  <c r="J31" i="5"/>
  <c r="H31" i="5"/>
  <c r="G31" i="5"/>
  <c r="K30" i="5"/>
  <c r="L30" i="5" s="1"/>
  <c r="J30" i="5"/>
  <c r="H30" i="5"/>
  <c r="G30" i="5"/>
  <c r="K29" i="5"/>
  <c r="L29" i="5" s="1"/>
  <c r="J29" i="5"/>
  <c r="G29" i="5"/>
  <c r="H29" i="5" s="1"/>
  <c r="L28" i="5"/>
  <c r="K28" i="5"/>
  <c r="J28" i="5"/>
  <c r="G28" i="5"/>
  <c r="H28" i="5" s="1"/>
  <c r="L27" i="5"/>
  <c r="K27" i="5"/>
  <c r="J27" i="5"/>
  <c r="H27" i="5"/>
  <c r="G27" i="5"/>
  <c r="K26" i="5"/>
  <c r="L26" i="5" s="1"/>
  <c r="J26" i="5"/>
  <c r="G26" i="5"/>
  <c r="H26" i="5" s="1"/>
  <c r="L25" i="5"/>
  <c r="K25" i="5"/>
  <c r="J25" i="5"/>
  <c r="H25" i="5"/>
  <c r="G25" i="5"/>
  <c r="K24" i="5"/>
  <c r="L24" i="5" s="1"/>
  <c r="J24" i="5"/>
  <c r="G24" i="5"/>
  <c r="H24" i="5" s="1"/>
  <c r="K23" i="5"/>
  <c r="L23" i="5" s="1"/>
  <c r="J23" i="5"/>
  <c r="H23" i="5"/>
  <c r="G23" i="5"/>
  <c r="L22" i="5"/>
  <c r="K22" i="5"/>
  <c r="J22" i="5"/>
  <c r="G22" i="5"/>
  <c r="H22" i="5" s="1"/>
  <c r="L21" i="5"/>
  <c r="K21" i="5"/>
  <c r="J21" i="5"/>
  <c r="H21" i="5"/>
  <c r="G21" i="5"/>
  <c r="L20" i="5"/>
  <c r="K20" i="5"/>
  <c r="J20" i="5"/>
  <c r="H20" i="5"/>
  <c r="G20" i="5"/>
  <c r="K19" i="5"/>
  <c r="L19" i="5" s="1"/>
  <c r="J19" i="5"/>
  <c r="H19" i="5"/>
  <c r="G19" i="5"/>
  <c r="L18" i="5"/>
  <c r="K18" i="5"/>
  <c r="J18" i="5"/>
  <c r="H18" i="5"/>
  <c r="G18" i="5"/>
  <c r="L17" i="5"/>
  <c r="K17" i="5"/>
  <c r="J17" i="5"/>
  <c r="H17" i="5"/>
  <c r="G17" i="5"/>
  <c r="L16" i="5"/>
  <c r="K16" i="5"/>
  <c r="J16" i="5"/>
  <c r="G16" i="5"/>
  <c r="H16" i="5" s="1"/>
  <c r="K15" i="5"/>
  <c r="L15" i="5" s="1"/>
  <c r="J15" i="5"/>
  <c r="H15" i="5"/>
  <c r="G15" i="5"/>
  <c r="L14" i="5"/>
  <c r="K14" i="5"/>
  <c r="J14" i="5"/>
  <c r="G14" i="5"/>
  <c r="H14" i="5" s="1"/>
  <c r="L13" i="5"/>
  <c r="K13" i="5"/>
  <c r="J13" i="5"/>
  <c r="G13" i="5"/>
  <c r="H13" i="5" s="1"/>
  <c r="K7" i="5"/>
  <c r="D7" i="5"/>
  <c r="I116" i="4"/>
  <c r="L115" i="4"/>
  <c r="J115" i="4"/>
  <c r="I115" i="4"/>
  <c r="H115" i="4"/>
  <c r="G115" i="4"/>
  <c r="F115" i="4"/>
  <c r="D115" i="4" s="1"/>
  <c r="E115" i="4"/>
  <c r="C115" i="4"/>
  <c r="B115" i="4" s="1"/>
  <c r="L114" i="4"/>
  <c r="J114" i="4"/>
  <c r="I114" i="4"/>
  <c r="G114" i="4" s="1"/>
  <c r="H114" i="4"/>
  <c r="F114" i="4"/>
  <c r="D114" i="4" s="1"/>
  <c r="C114" i="4"/>
  <c r="B114" i="4" s="1"/>
  <c r="L113" i="4"/>
  <c r="L116" i="4" s="1"/>
  <c r="J113" i="4"/>
  <c r="J116" i="4" s="1"/>
  <c r="I113" i="4"/>
  <c r="G113" i="4" s="1"/>
  <c r="H113" i="4"/>
  <c r="H116" i="4" s="1"/>
  <c r="F113" i="4"/>
  <c r="E113" i="4"/>
  <c r="E116" i="4" s="1"/>
  <c r="C113" i="4"/>
  <c r="J110" i="4"/>
  <c r="I110" i="4"/>
  <c r="H110" i="4"/>
  <c r="N109" i="4"/>
  <c r="L109" i="4"/>
  <c r="K109" i="4" s="1"/>
  <c r="J109" i="4"/>
  <c r="I109" i="4"/>
  <c r="H109" i="4"/>
  <c r="F109" i="4"/>
  <c r="D109" i="4" s="1"/>
  <c r="E109" i="4"/>
  <c r="C109" i="4"/>
  <c r="B109" i="4"/>
  <c r="N108" i="4"/>
  <c r="M108" i="4"/>
  <c r="K108" i="4" s="1"/>
  <c r="L108" i="4"/>
  <c r="J108" i="4"/>
  <c r="I108" i="4"/>
  <c r="H108" i="4"/>
  <c r="F108" i="4"/>
  <c r="F110" i="4" s="1"/>
  <c r="E108" i="4"/>
  <c r="D108" i="4"/>
  <c r="C108" i="4"/>
  <c r="B108" i="4" s="1"/>
  <c r="N107" i="4"/>
  <c r="N110" i="4" s="1"/>
  <c r="M107" i="4"/>
  <c r="M110" i="4" s="1"/>
  <c r="L107" i="4"/>
  <c r="L110" i="4" s="1"/>
  <c r="J107" i="4"/>
  <c r="I107" i="4"/>
  <c r="H107" i="4"/>
  <c r="G107" i="4" s="1"/>
  <c r="F107" i="4"/>
  <c r="E107" i="4"/>
  <c r="E110" i="4" s="1"/>
  <c r="C107" i="4"/>
  <c r="B107" i="4"/>
  <c r="O104" i="4"/>
  <c r="N104" i="4"/>
  <c r="L104" i="4"/>
  <c r="N103" i="4"/>
  <c r="M103" i="4"/>
  <c r="K103" i="4" s="1"/>
  <c r="L103" i="4"/>
  <c r="J103" i="4"/>
  <c r="I103" i="4"/>
  <c r="H103" i="4"/>
  <c r="G103" i="4" s="1"/>
  <c r="F103" i="4"/>
  <c r="D103" i="4" s="1"/>
  <c r="E103" i="4"/>
  <c r="C103" i="4"/>
  <c r="B103" i="4" s="1"/>
  <c r="N102" i="4"/>
  <c r="L102" i="4"/>
  <c r="J102" i="4"/>
  <c r="I102" i="4"/>
  <c r="H102" i="4"/>
  <c r="G102" i="4" s="1"/>
  <c r="F102" i="4"/>
  <c r="B102" i="4" s="1"/>
  <c r="E102" i="4"/>
  <c r="D102" i="4"/>
  <c r="C102" i="4"/>
  <c r="N101" i="4"/>
  <c r="L101" i="4"/>
  <c r="J101" i="4"/>
  <c r="I101" i="4"/>
  <c r="H101" i="4"/>
  <c r="G101" i="4"/>
  <c r="F101" i="4"/>
  <c r="D101" i="4" s="1"/>
  <c r="E101" i="4"/>
  <c r="C101" i="4"/>
  <c r="N100" i="4"/>
  <c r="M100" i="4"/>
  <c r="L100" i="4"/>
  <c r="K100" i="4"/>
  <c r="J100" i="4"/>
  <c r="I100" i="4"/>
  <c r="H100" i="4"/>
  <c r="G100" i="4"/>
  <c r="F100" i="4"/>
  <c r="D100" i="4" s="1"/>
  <c r="E100" i="4"/>
  <c r="C100" i="4"/>
  <c r="N99" i="4"/>
  <c r="M99" i="4"/>
  <c r="L99" i="4"/>
  <c r="K99" i="4"/>
  <c r="J99" i="4"/>
  <c r="I99" i="4"/>
  <c r="H99" i="4"/>
  <c r="G99" i="4"/>
  <c r="F99" i="4"/>
  <c r="D99" i="4" s="1"/>
  <c r="E99" i="4"/>
  <c r="E104" i="4" s="1"/>
  <c r="C99" i="4"/>
  <c r="N98" i="4"/>
  <c r="L98" i="4"/>
  <c r="J98" i="4"/>
  <c r="I98" i="4"/>
  <c r="H98" i="4"/>
  <c r="G98" i="4"/>
  <c r="G104" i="4" s="1"/>
  <c r="F98" i="4"/>
  <c r="D98" i="4" s="1"/>
  <c r="D104" i="4" s="1"/>
  <c r="E98" i="4"/>
  <c r="C98" i="4"/>
  <c r="O95" i="4"/>
  <c r="I95" i="4"/>
  <c r="H95" i="4"/>
  <c r="N94" i="4"/>
  <c r="M94" i="4"/>
  <c r="K94" i="4" s="1"/>
  <c r="L94" i="4"/>
  <c r="J94" i="4"/>
  <c r="I94" i="4"/>
  <c r="H94" i="4"/>
  <c r="F94" i="4"/>
  <c r="E94" i="4"/>
  <c r="D94" i="4"/>
  <c r="C94" i="4"/>
  <c r="B94" i="4"/>
  <c r="N93" i="4"/>
  <c r="L93" i="4"/>
  <c r="J93" i="4"/>
  <c r="J95" i="4" s="1"/>
  <c r="I93" i="4"/>
  <c r="H93" i="4"/>
  <c r="F93" i="4"/>
  <c r="E93" i="4"/>
  <c r="D93" i="4"/>
  <c r="C93" i="4"/>
  <c r="B93" i="4"/>
  <c r="N92" i="4"/>
  <c r="N95" i="4" s="1"/>
  <c r="L92" i="4"/>
  <c r="L95" i="4" s="1"/>
  <c r="J92" i="4"/>
  <c r="I92" i="4"/>
  <c r="H92" i="4"/>
  <c r="G92" i="4" s="1"/>
  <c r="F92" i="4"/>
  <c r="F95" i="4" s="1"/>
  <c r="E92" i="4"/>
  <c r="E95" i="4" s="1"/>
  <c r="D92" i="4"/>
  <c r="D95" i="4" s="1"/>
  <c r="C92" i="4"/>
  <c r="C95" i="4" s="1"/>
  <c r="B92" i="4"/>
  <c r="B95" i="4" s="1"/>
  <c r="O89" i="4"/>
  <c r="J89" i="4"/>
  <c r="E89" i="4"/>
  <c r="C89" i="4"/>
  <c r="B89" i="4"/>
  <c r="N88" i="4"/>
  <c r="N89" i="4" s="1"/>
  <c r="L88" i="4"/>
  <c r="L89" i="4" s="1"/>
  <c r="J88" i="4"/>
  <c r="I88" i="4"/>
  <c r="I89" i="4" s="1"/>
  <c r="H88" i="4"/>
  <c r="H89" i="4" s="1"/>
  <c r="F88" i="4"/>
  <c r="F89" i="4" s="1"/>
  <c r="E88" i="4"/>
  <c r="C88" i="4"/>
  <c r="B88" i="4"/>
  <c r="J85" i="4"/>
  <c r="N84" i="4"/>
  <c r="N85" i="4" s="1"/>
  <c r="L84" i="4"/>
  <c r="J84" i="4"/>
  <c r="I84" i="4"/>
  <c r="H84" i="4"/>
  <c r="G84" i="4" s="1"/>
  <c r="F84" i="4"/>
  <c r="D84" i="4" s="1"/>
  <c r="E84" i="4"/>
  <c r="E85" i="4" s="1"/>
  <c r="C84" i="4"/>
  <c r="N83" i="4"/>
  <c r="M83" i="4"/>
  <c r="K83" i="4" s="1"/>
  <c r="L83" i="4"/>
  <c r="J83" i="4"/>
  <c r="I83" i="4"/>
  <c r="I85" i="4" s="1"/>
  <c r="H83" i="4"/>
  <c r="H85" i="4" s="1"/>
  <c r="G83" i="4"/>
  <c r="F83" i="4"/>
  <c r="D83" i="4" s="1"/>
  <c r="D85" i="4" s="1"/>
  <c r="E83" i="4"/>
  <c r="C83" i="4"/>
  <c r="N79" i="4"/>
  <c r="M79" i="4"/>
  <c r="K79" i="4" s="1"/>
  <c r="L79" i="4"/>
  <c r="J79" i="4"/>
  <c r="I79" i="4"/>
  <c r="H79" i="4"/>
  <c r="G79" i="4"/>
  <c r="F79" i="4"/>
  <c r="F80" i="4" s="1"/>
  <c r="E79" i="4"/>
  <c r="C79" i="4"/>
  <c r="B79" i="4" s="1"/>
  <c r="N78" i="4"/>
  <c r="N80" i="4" s="1"/>
  <c r="M78" i="4"/>
  <c r="L78" i="4"/>
  <c r="K78" i="4"/>
  <c r="J78" i="4"/>
  <c r="I78" i="4"/>
  <c r="H78" i="4"/>
  <c r="H80" i="4" s="1"/>
  <c r="F78" i="4"/>
  <c r="E78" i="4"/>
  <c r="B78" i="4" s="1"/>
  <c r="D78" i="4"/>
  <c r="C78" i="4"/>
  <c r="N77" i="4"/>
  <c r="M77" i="4"/>
  <c r="L77" i="4"/>
  <c r="K77" i="4"/>
  <c r="J77" i="4"/>
  <c r="I77" i="4"/>
  <c r="H77" i="4"/>
  <c r="F77" i="4"/>
  <c r="B77" i="4" s="1"/>
  <c r="E77" i="4"/>
  <c r="C77" i="4"/>
  <c r="N76" i="4"/>
  <c r="M76" i="4"/>
  <c r="L76" i="4"/>
  <c r="K76" i="4"/>
  <c r="J76" i="4"/>
  <c r="I76" i="4"/>
  <c r="I80" i="4" s="1"/>
  <c r="H76" i="4"/>
  <c r="F76" i="4"/>
  <c r="D76" i="4" s="1"/>
  <c r="E76" i="4"/>
  <c r="E80" i="4" s="1"/>
  <c r="C76" i="4"/>
  <c r="B76" i="4" s="1"/>
  <c r="N75" i="4"/>
  <c r="L75" i="4"/>
  <c r="L80" i="4" s="1"/>
  <c r="J75" i="4"/>
  <c r="J80" i="4" s="1"/>
  <c r="I75" i="4"/>
  <c r="H75" i="4"/>
  <c r="G75" i="4" s="1"/>
  <c r="F75" i="4"/>
  <c r="D75" i="4" s="1"/>
  <c r="E75" i="4"/>
  <c r="C75" i="4"/>
  <c r="B75" i="4" s="1"/>
  <c r="O72" i="4"/>
  <c r="J72" i="4"/>
  <c r="E72" i="4"/>
  <c r="N71" i="4"/>
  <c r="L71" i="4"/>
  <c r="J71" i="4"/>
  <c r="I71" i="4"/>
  <c r="H71" i="4"/>
  <c r="G71" i="4" s="1"/>
  <c r="F71" i="4"/>
  <c r="D71" i="4" s="1"/>
  <c r="E71" i="4"/>
  <c r="C71" i="4"/>
  <c r="B71" i="4"/>
  <c r="N70" i="4"/>
  <c r="N72" i="4" s="1"/>
  <c r="L70" i="4"/>
  <c r="L72" i="4" s="1"/>
  <c r="J70" i="4"/>
  <c r="I70" i="4"/>
  <c r="I72" i="4" s="1"/>
  <c r="H70" i="4"/>
  <c r="G70" i="4" s="1"/>
  <c r="G72" i="4" s="1"/>
  <c r="F70" i="4"/>
  <c r="F72" i="4" s="1"/>
  <c r="E70" i="4"/>
  <c r="C70" i="4"/>
  <c r="C72" i="4" s="1"/>
  <c r="B70" i="4"/>
  <c r="B72" i="4" s="1"/>
  <c r="N67" i="4"/>
  <c r="N66" i="4"/>
  <c r="M66" i="4"/>
  <c r="K66" i="4" s="1"/>
  <c r="L66" i="4"/>
  <c r="J66" i="4"/>
  <c r="I66" i="4"/>
  <c r="G66" i="4" s="1"/>
  <c r="H66" i="4"/>
  <c r="F66" i="4"/>
  <c r="D66" i="4" s="1"/>
  <c r="E66" i="4"/>
  <c r="E67" i="4" s="1"/>
  <c r="C66" i="4"/>
  <c r="B66" i="4"/>
  <c r="N65" i="4"/>
  <c r="M65" i="4"/>
  <c r="M67" i="4" s="1"/>
  <c r="L65" i="4"/>
  <c r="L67" i="4" s="1"/>
  <c r="J65" i="4"/>
  <c r="J67" i="4" s="1"/>
  <c r="I65" i="4"/>
  <c r="G65" i="4" s="1"/>
  <c r="G67" i="4" s="1"/>
  <c r="H65" i="4"/>
  <c r="H67" i="4" s="1"/>
  <c r="F65" i="4"/>
  <c r="F67" i="4" s="1"/>
  <c r="C65" i="4"/>
  <c r="C67" i="4" s="1"/>
  <c r="B65" i="4"/>
  <c r="B67" i="4" s="1"/>
  <c r="H62" i="4"/>
  <c r="N61" i="4"/>
  <c r="N62" i="4" s="1"/>
  <c r="M61" i="4"/>
  <c r="K61" i="4" s="1"/>
  <c r="L61" i="4"/>
  <c r="J61" i="4"/>
  <c r="G61" i="4" s="1"/>
  <c r="I61" i="4"/>
  <c r="I62" i="4" s="1"/>
  <c r="H61" i="4"/>
  <c r="F61" i="4"/>
  <c r="E61" i="4"/>
  <c r="D61" i="4"/>
  <c r="C61" i="4"/>
  <c r="B61" i="4"/>
  <c r="N60" i="4"/>
  <c r="L60" i="4"/>
  <c r="L62" i="4" s="1"/>
  <c r="J60" i="4"/>
  <c r="I60" i="4"/>
  <c r="H60" i="4"/>
  <c r="G60" i="4" s="1"/>
  <c r="G62" i="4" s="1"/>
  <c r="F60" i="4"/>
  <c r="F62" i="4" s="1"/>
  <c r="E60" i="4"/>
  <c r="E62" i="4" s="1"/>
  <c r="D60" i="4"/>
  <c r="D62" i="4" s="1"/>
  <c r="C60" i="4"/>
  <c r="C62" i="4" s="1"/>
  <c r="J57" i="4"/>
  <c r="N56" i="4"/>
  <c r="M56" i="4"/>
  <c r="K56" i="4" s="1"/>
  <c r="L56" i="4"/>
  <c r="J56" i="4"/>
  <c r="I56" i="4"/>
  <c r="H56" i="4"/>
  <c r="G56" i="4"/>
  <c r="F56" i="4"/>
  <c r="D56" i="4" s="1"/>
  <c r="E56" i="4"/>
  <c r="C56" i="4"/>
  <c r="B56" i="4" s="1"/>
  <c r="N55" i="4"/>
  <c r="N57" i="4" s="1"/>
  <c r="L55" i="4"/>
  <c r="J55" i="4"/>
  <c r="I55" i="4"/>
  <c r="H55" i="4"/>
  <c r="G55" i="4"/>
  <c r="F55" i="4"/>
  <c r="D55" i="4" s="1"/>
  <c r="E55" i="4"/>
  <c r="E57" i="4" s="1"/>
  <c r="C55" i="4"/>
  <c r="C57" i="4" s="1"/>
  <c r="N54" i="4"/>
  <c r="L54" i="4"/>
  <c r="L57" i="4" s="1"/>
  <c r="J54" i="4"/>
  <c r="I54" i="4"/>
  <c r="I57" i="4" s="1"/>
  <c r="H54" i="4"/>
  <c r="H57" i="4" s="1"/>
  <c r="G54" i="4"/>
  <c r="G57" i="4" s="1"/>
  <c r="F54" i="4"/>
  <c r="F57" i="4" s="1"/>
  <c r="E54" i="4"/>
  <c r="C54" i="4"/>
  <c r="N50" i="4"/>
  <c r="L50" i="4"/>
  <c r="J50" i="4"/>
  <c r="I50" i="4"/>
  <c r="H50" i="4"/>
  <c r="G50" i="4"/>
  <c r="F50" i="4"/>
  <c r="F51" i="4" s="1"/>
  <c r="C50" i="4"/>
  <c r="N49" i="4"/>
  <c r="N51" i="4" s="1"/>
  <c r="L49" i="4"/>
  <c r="L51" i="4" s="1"/>
  <c r="J49" i="4"/>
  <c r="J51" i="4" s="1"/>
  <c r="I49" i="4"/>
  <c r="I51" i="4" s="1"/>
  <c r="H49" i="4"/>
  <c r="H51" i="4" s="1"/>
  <c r="G49" i="4"/>
  <c r="G51" i="4" s="1"/>
  <c r="F49" i="4"/>
  <c r="E49" i="4"/>
  <c r="E51" i="4" s="1"/>
  <c r="C49" i="4"/>
  <c r="B49" i="4" s="1"/>
  <c r="O46" i="4"/>
  <c r="I46" i="4"/>
  <c r="N45" i="4"/>
  <c r="L45" i="4"/>
  <c r="J45" i="4"/>
  <c r="I45" i="4"/>
  <c r="F45" i="4"/>
  <c r="C45" i="4"/>
  <c r="N44" i="4"/>
  <c r="L44" i="4"/>
  <c r="J44" i="4"/>
  <c r="I44" i="4"/>
  <c r="F44" i="4"/>
  <c r="C44" i="4"/>
  <c r="B44" i="4" s="1"/>
  <c r="N43" i="4"/>
  <c r="L43" i="4"/>
  <c r="J43" i="4"/>
  <c r="J46" i="4" s="1"/>
  <c r="I43" i="4"/>
  <c r="F43" i="4"/>
  <c r="C43" i="4"/>
  <c r="N42" i="4"/>
  <c r="L42" i="4"/>
  <c r="J42" i="4"/>
  <c r="I42" i="4"/>
  <c r="F42" i="4"/>
  <c r="C42" i="4"/>
  <c r="N41" i="4"/>
  <c r="L41" i="4"/>
  <c r="J41" i="4"/>
  <c r="I41" i="4"/>
  <c r="F41" i="4"/>
  <c r="C41" i="4"/>
  <c r="N40" i="4"/>
  <c r="M40" i="4"/>
  <c r="K40" i="4" s="1"/>
  <c r="L40" i="4"/>
  <c r="J40" i="4"/>
  <c r="I40" i="4"/>
  <c r="F40" i="4"/>
  <c r="C40" i="4"/>
  <c r="N39" i="4"/>
  <c r="N46" i="4" s="1"/>
  <c r="L39" i="4"/>
  <c r="L46" i="4" s="1"/>
  <c r="J39" i="4"/>
  <c r="I39" i="4"/>
  <c r="F39" i="4"/>
  <c r="C39" i="4"/>
  <c r="N35" i="4"/>
  <c r="N36" i="4" s="1"/>
  <c r="M35" i="4"/>
  <c r="K35" i="4" s="1"/>
  <c r="L35" i="4"/>
  <c r="J35" i="4"/>
  <c r="G35" i="4" s="1"/>
  <c r="I35" i="4"/>
  <c r="H35" i="4"/>
  <c r="F35" i="4"/>
  <c r="E35" i="4"/>
  <c r="D35" i="4"/>
  <c r="C35" i="4"/>
  <c r="B35" i="4"/>
  <c r="N34" i="4"/>
  <c r="M34" i="4"/>
  <c r="K34" i="4" s="1"/>
  <c r="L34" i="4"/>
  <c r="J34" i="4"/>
  <c r="I34" i="4"/>
  <c r="H34" i="4"/>
  <c r="G34" i="4" s="1"/>
  <c r="F34" i="4"/>
  <c r="E34" i="4"/>
  <c r="D34" i="4"/>
  <c r="C34" i="4"/>
  <c r="B34" i="4"/>
  <c r="N33" i="4"/>
  <c r="L33" i="4"/>
  <c r="J33" i="4"/>
  <c r="I33" i="4"/>
  <c r="G33" i="4" s="1"/>
  <c r="H33" i="4"/>
  <c r="F33" i="4"/>
  <c r="E33" i="4"/>
  <c r="D33" i="4"/>
  <c r="C33" i="4"/>
  <c r="C36" i="4" s="1"/>
  <c r="N32" i="4"/>
  <c r="M32" i="4"/>
  <c r="K32" i="4" s="1"/>
  <c r="L32" i="4"/>
  <c r="L36" i="4" s="1"/>
  <c r="J32" i="4"/>
  <c r="I32" i="4"/>
  <c r="H32" i="4"/>
  <c r="G32" i="4"/>
  <c r="F32" i="4"/>
  <c r="B32" i="4" s="1"/>
  <c r="E32" i="4"/>
  <c r="D32" i="4"/>
  <c r="C32" i="4"/>
  <c r="N31" i="4"/>
  <c r="L31" i="4"/>
  <c r="J31" i="4"/>
  <c r="I31" i="4"/>
  <c r="H31" i="4"/>
  <c r="G31" i="4"/>
  <c r="F31" i="4"/>
  <c r="D31" i="4" s="1"/>
  <c r="E31" i="4"/>
  <c r="C31" i="4"/>
  <c r="B31" i="4" s="1"/>
  <c r="N30" i="4"/>
  <c r="L30" i="4"/>
  <c r="J30" i="4"/>
  <c r="I30" i="4"/>
  <c r="I36" i="4" s="1"/>
  <c r="H30" i="4"/>
  <c r="H36" i="4" s="1"/>
  <c r="G30" i="4"/>
  <c r="F30" i="4"/>
  <c r="F36" i="4" s="1"/>
  <c r="E30" i="4"/>
  <c r="C30" i="4"/>
  <c r="B30" i="4" s="1"/>
  <c r="N26" i="4"/>
  <c r="L26" i="4"/>
  <c r="J26" i="4"/>
  <c r="I26" i="4"/>
  <c r="I27" i="4" s="1"/>
  <c r="F26" i="4"/>
  <c r="D26" i="4" s="1"/>
  <c r="E26" i="4"/>
  <c r="C26" i="4"/>
  <c r="B26" i="4" s="1"/>
  <c r="N25" i="4"/>
  <c r="L25" i="4"/>
  <c r="J25" i="4"/>
  <c r="J27" i="4" s="1"/>
  <c r="I25" i="4"/>
  <c r="F25" i="4"/>
  <c r="D25" i="4" s="1"/>
  <c r="E25" i="4"/>
  <c r="C25" i="4"/>
  <c r="B25" i="4" s="1"/>
  <c r="N24" i="4"/>
  <c r="L24" i="4"/>
  <c r="J24" i="4"/>
  <c r="I24" i="4"/>
  <c r="F24" i="4"/>
  <c r="E24" i="4"/>
  <c r="D24" i="4" s="1"/>
  <c r="C24" i="4"/>
  <c r="B24" i="4"/>
  <c r="N23" i="4"/>
  <c r="L23" i="4"/>
  <c r="J23" i="4"/>
  <c r="I23" i="4"/>
  <c r="F23" i="4"/>
  <c r="D23" i="4" s="1"/>
  <c r="E23" i="4"/>
  <c r="C23" i="4"/>
  <c r="B23" i="4"/>
  <c r="N22" i="4"/>
  <c r="M22" i="4"/>
  <c r="K22" i="4" s="1"/>
  <c r="L22" i="4"/>
  <c r="J22" i="4"/>
  <c r="I22" i="4"/>
  <c r="F22" i="4"/>
  <c r="E22" i="4"/>
  <c r="D22" i="4"/>
  <c r="C22" i="4"/>
  <c r="B22" i="4"/>
  <c r="N21" i="4"/>
  <c r="L21" i="4"/>
  <c r="J21" i="4"/>
  <c r="I21" i="4"/>
  <c r="F21" i="4"/>
  <c r="E21" i="4"/>
  <c r="D21" i="4"/>
  <c r="C21" i="4"/>
  <c r="B21" i="4"/>
  <c r="N20" i="4"/>
  <c r="N27" i="4" s="1"/>
  <c r="L20" i="4"/>
  <c r="L27" i="4" s="1"/>
  <c r="J20" i="4"/>
  <c r="I20" i="4"/>
  <c r="F20" i="4"/>
  <c r="F27" i="4" s="1"/>
  <c r="E20" i="4"/>
  <c r="E27" i="4" s="1"/>
  <c r="D20" i="4"/>
  <c r="C20" i="4"/>
  <c r="C27" i="4" s="1"/>
  <c r="E17" i="4"/>
  <c r="N16" i="4"/>
  <c r="M16" i="4"/>
  <c r="L16" i="4"/>
  <c r="J16" i="4"/>
  <c r="I16" i="4"/>
  <c r="H16" i="4"/>
  <c r="G16" i="4"/>
  <c r="F16" i="4"/>
  <c r="F17" i="4" s="1"/>
  <c r="E16" i="4"/>
  <c r="C16" i="4"/>
  <c r="C17" i="4" s="1"/>
  <c r="N15" i="4"/>
  <c r="L15" i="4"/>
  <c r="J15" i="4"/>
  <c r="I15" i="4"/>
  <c r="H15" i="4"/>
  <c r="G15" i="4"/>
  <c r="F15" i="4"/>
  <c r="D15" i="4" s="1"/>
  <c r="E15" i="4"/>
  <c r="C15" i="4"/>
  <c r="B15" i="4" s="1"/>
  <c r="N14" i="4"/>
  <c r="L14" i="4"/>
  <c r="J14" i="4"/>
  <c r="I14" i="4"/>
  <c r="H14" i="4"/>
  <c r="G14" i="4" s="1"/>
  <c r="F14" i="4"/>
  <c r="B14" i="4" s="1"/>
  <c r="E14" i="4"/>
  <c r="C14" i="4"/>
  <c r="N13" i="4"/>
  <c r="L13" i="4"/>
  <c r="J13" i="4"/>
  <c r="I13" i="4"/>
  <c r="H13" i="4"/>
  <c r="G13" i="4" s="1"/>
  <c r="F13" i="4"/>
  <c r="D13" i="4" s="1"/>
  <c r="E13" i="4"/>
  <c r="C13" i="4"/>
  <c r="B13" i="4" s="1"/>
  <c r="N12" i="4"/>
  <c r="L12" i="4"/>
  <c r="J12" i="4"/>
  <c r="I12" i="4"/>
  <c r="G12" i="4" s="1"/>
  <c r="H12" i="4"/>
  <c r="F12" i="4"/>
  <c r="D12" i="4" s="1"/>
  <c r="E12" i="4"/>
  <c r="C12" i="4"/>
  <c r="B12" i="4" s="1"/>
  <c r="N11" i="4"/>
  <c r="L11" i="4"/>
  <c r="J11" i="4"/>
  <c r="I11" i="4"/>
  <c r="H11" i="4"/>
  <c r="G11" i="4" s="1"/>
  <c r="F11" i="4"/>
  <c r="E11" i="4"/>
  <c r="D11" i="4" s="1"/>
  <c r="C11" i="4"/>
  <c r="B11" i="4"/>
  <c r="N10" i="4"/>
  <c r="N17" i="4" s="1"/>
  <c r="L10" i="4"/>
  <c r="L17" i="4" s="1"/>
  <c r="J10" i="4"/>
  <c r="J17" i="4" s="1"/>
  <c r="I10" i="4"/>
  <c r="I17" i="4" s="1"/>
  <c r="H10" i="4"/>
  <c r="G10" i="4" s="1"/>
  <c r="F10" i="4"/>
  <c r="D10" i="4" s="1"/>
  <c r="E10" i="4"/>
  <c r="C10" i="4"/>
  <c r="B10" i="4"/>
  <c r="O7" i="4"/>
  <c r="N7" i="4"/>
  <c r="J7" i="4"/>
  <c r="N6" i="4"/>
  <c r="M6" i="4"/>
  <c r="L6" i="4"/>
  <c r="L7" i="4" s="1"/>
  <c r="J6" i="4"/>
  <c r="I6" i="4"/>
  <c r="H6" i="4"/>
  <c r="G6" i="4" s="1"/>
  <c r="F6" i="4"/>
  <c r="E6" i="4"/>
  <c r="D6" i="4"/>
  <c r="C6" i="4"/>
  <c r="C7" i="4" s="1"/>
  <c r="N5" i="4"/>
  <c r="M5" i="4"/>
  <c r="L5" i="4"/>
  <c r="J5" i="4"/>
  <c r="I5" i="4"/>
  <c r="H5" i="4"/>
  <c r="G5" i="4"/>
  <c r="F5" i="4"/>
  <c r="E5" i="4"/>
  <c r="D5" i="4"/>
  <c r="C5" i="4"/>
  <c r="B5" i="4" s="1"/>
  <c r="N4" i="4"/>
  <c r="L4" i="4"/>
  <c r="J4" i="4"/>
  <c r="I4" i="4"/>
  <c r="H4" i="4"/>
  <c r="G4" i="4"/>
  <c r="F4" i="4"/>
  <c r="D4" i="4" s="1"/>
  <c r="E4" i="4"/>
  <c r="C4" i="4"/>
  <c r="N3" i="4"/>
  <c r="L3" i="4"/>
  <c r="J3" i="4"/>
  <c r="I3" i="4"/>
  <c r="I7" i="4" s="1"/>
  <c r="H3" i="4"/>
  <c r="H7" i="4" s="1"/>
  <c r="G3" i="4"/>
  <c r="G7" i="4" s="1"/>
  <c r="F3" i="4"/>
  <c r="F7" i="4" s="1"/>
  <c r="E3" i="4"/>
  <c r="E7" i="4" s="1"/>
  <c r="C3" i="4"/>
  <c r="B3" i="4" s="1"/>
  <c r="F91" i="3"/>
  <c r="B91" i="3"/>
  <c r="G75" i="3"/>
  <c r="F75" i="3"/>
  <c r="D75" i="3"/>
  <c r="C75" i="3"/>
  <c r="B75" i="3"/>
  <c r="I73" i="3"/>
  <c r="E73" i="3"/>
  <c r="I72" i="3"/>
  <c r="E72" i="3"/>
  <c r="I71" i="3"/>
  <c r="E71" i="3"/>
  <c r="I70" i="3"/>
  <c r="E70" i="3"/>
  <c r="I69" i="3"/>
  <c r="E69" i="3"/>
  <c r="I68" i="3"/>
  <c r="E68" i="3"/>
  <c r="I67" i="3"/>
  <c r="E67" i="3"/>
  <c r="I66" i="3"/>
  <c r="E66" i="3"/>
  <c r="I65" i="3"/>
  <c r="E65" i="3"/>
  <c r="I64" i="3"/>
  <c r="E64" i="3"/>
  <c r="I63" i="3"/>
  <c r="E63" i="3"/>
  <c r="I62" i="3"/>
  <c r="E62" i="3"/>
  <c r="I61" i="3"/>
  <c r="E61" i="3"/>
  <c r="I60" i="3"/>
  <c r="E60" i="3"/>
  <c r="I59" i="3"/>
  <c r="E59" i="3"/>
  <c r="I58" i="3"/>
  <c r="E58" i="3"/>
  <c r="I57" i="3"/>
  <c r="E57" i="3"/>
  <c r="I56" i="3"/>
  <c r="E56" i="3"/>
  <c r="I55" i="3"/>
  <c r="E55" i="3"/>
  <c r="I54" i="3"/>
  <c r="E54" i="3"/>
  <c r="I53" i="3"/>
  <c r="E53" i="3"/>
  <c r="I52" i="3"/>
  <c r="E52" i="3"/>
  <c r="I51" i="3"/>
  <c r="E51" i="3"/>
  <c r="I50" i="3"/>
  <c r="E50" i="3"/>
  <c r="I49" i="3"/>
  <c r="E49" i="3"/>
  <c r="I48" i="3"/>
  <c r="I75" i="3" s="1"/>
  <c r="E48" i="3"/>
  <c r="I47" i="3"/>
  <c r="E47" i="3"/>
  <c r="E75" i="3" s="1"/>
  <c r="I46" i="3"/>
  <c r="E46" i="3"/>
  <c r="I43" i="3"/>
  <c r="D43" i="3"/>
  <c r="F7" i="2" s="1"/>
  <c r="C43" i="3"/>
  <c r="D7" i="2" s="1"/>
  <c r="B43" i="3"/>
  <c r="B7" i="2" s="1"/>
  <c r="G41" i="3"/>
  <c r="G43" i="3" s="1"/>
  <c r="E7" i="2" s="1"/>
  <c r="D41" i="3"/>
  <c r="C41" i="3"/>
  <c r="E41" i="3" s="1"/>
  <c r="E43" i="3" s="1"/>
  <c r="H7" i="2" s="1"/>
  <c r="I38" i="3"/>
  <c r="D38" i="3"/>
  <c r="B38" i="3"/>
  <c r="B6" i="2" s="1"/>
  <c r="G36" i="3"/>
  <c r="D36" i="3"/>
  <c r="C36" i="3"/>
  <c r="E36" i="3" s="1"/>
  <c r="H35" i="3"/>
  <c r="G35" i="3"/>
  <c r="F35" i="3"/>
  <c r="D35" i="3"/>
  <c r="C35" i="3"/>
  <c r="E35" i="3" s="1"/>
  <c r="G34" i="3"/>
  <c r="D34" i="3"/>
  <c r="C34" i="3"/>
  <c r="E34" i="3" s="1"/>
  <c r="G33" i="3"/>
  <c r="G38" i="3" s="1"/>
  <c r="E6" i="2" s="1"/>
  <c r="D33" i="3"/>
  <c r="C33" i="3"/>
  <c r="E33" i="3" s="1"/>
  <c r="B33" i="3"/>
  <c r="G30" i="3"/>
  <c r="D30" i="3"/>
  <c r="F4" i="2" s="1"/>
  <c r="C30" i="3"/>
  <c r="D4" i="2" s="1"/>
  <c r="I28" i="3"/>
  <c r="I5" i="2" s="1"/>
  <c r="G27" i="3"/>
  <c r="D27" i="3"/>
  <c r="E27" i="3" s="1"/>
  <c r="C27" i="3"/>
  <c r="B27" i="3"/>
  <c r="G26" i="3"/>
  <c r="E26" i="3"/>
  <c r="D26" i="3"/>
  <c r="C26" i="3"/>
  <c r="B26" i="3"/>
  <c r="E25" i="3"/>
  <c r="D25" i="3"/>
  <c r="D28" i="3" s="1"/>
  <c r="C25" i="3"/>
  <c r="C28" i="3" s="1"/>
  <c r="G20" i="3"/>
  <c r="E20" i="3"/>
  <c r="B20" i="3" s="1"/>
  <c r="D20" i="3"/>
  <c r="C20" i="3"/>
  <c r="G19" i="3"/>
  <c r="E19" i="3"/>
  <c r="B19" i="3" s="1"/>
  <c r="D19" i="3"/>
  <c r="C19" i="3"/>
  <c r="H18" i="3"/>
  <c r="G18" i="3"/>
  <c r="E18" i="3"/>
  <c r="D18" i="3"/>
  <c r="C18" i="3"/>
  <c r="B18" i="3"/>
  <c r="H17" i="3"/>
  <c r="G17" i="3"/>
  <c r="F17" i="3" s="1"/>
  <c r="E17" i="3"/>
  <c r="B17" i="3" s="1"/>
  <c r="D17" i="3"/>
  <c r="C17" i="3"/>
  <c r="H16" i="3"/>
  <c r="G16" i="3"/>
  <c r="E16" i="3"/>
  <c r="B16" i="3" s="1"/>
  <c r="D16" i="3"/>
  <c r="C16" i="3"/>
  <c r="H15" i="3"/>
  <c r="G15" i="3"/>
  <c r="E15" i="3"/>
  <c r="D15" i="3"/>
  <c r="C15" i="3"/>
  <c r="B15" i="3"/>
  <c r="H14" i="3"/>
  <c r="G14" i="3"/>
  <c r="E14" i="3"/>
  <c r="B14" i="3" s="1"/>
  <c r="D14" i="3"/>
  <c r="C14" i="3"/>
  <c r="H13" i="3"/>
  <c r="G13" i="3"/>
  <c r="E13" i="3"/>
  <c r="B13" i="3" s="1"/>
  <c r="D13" i="3"/>
  <c r="C13" i="3"/>
  <c r="H12" i="3"/>
  <c r="G12" i="3"/>
  <c r="E12" i="3"/>
  <c r="D12" i="3"/>
  <c r="C12" i="3"/>
  <c r="B12" i="3"/>
  <c r="G11" i="3"/>
  <c r="E11" i="3"/>
  <c r="B11" i="3" s="1"/>
  <c r="D11" i="3"/>
  <c r="C11" i="3"/>
  <c r="G10" i="3"/>
  <c r="E10" i="3"/>
  <c r="B10" i="3" s="1"/>
  <c r="D10" i="3"/>
  <c r="C10" i="3"/>
  <c r="H9" i="3"/>
  <c r="G9" i="3"/>
  <c r="E9" i="3"/>
  <c r="D9" i="3"/>
  <c r="C9" i="3"/>
  <c r="B9" i="3"/>
  <c r="H8" i="3"/>
  <c r="G8" i="3"/>
  <c r="D8" i="3"/>
  <c r="C8" i="3"/>
  <c r="H7" i="3"/>
  <c r="G7" i="3"/>
  <c r="E7" i="3"/>
  <c r="B7" i="3" s="1"/>
  <c r="D7" i="3"/>
  <c r="C7" i="3"/>
  <c r="H6" i="3"/>
  <c r="G6" i="3"/>
  <c r="D6" i="3"/>
  <c r="D22" i="3" s="1"/>
  <c r="C6" i="3"/>
  <c r="C22" i="3" s="1"/>
  <c r="H5" i="3"/>
  <c r="G5" i="3"/>
  <c r="E5" i="3"/>
  <c r="B5" i="3" s="1"/>
  <c r="D5" i="3"/>
  <c r="C5" i="3"/>
  <c r="H4" i="3"/>
  <c r="G4" i="3"/>
  <c r="G22" i="3" s="1"/>
  <c r="E4" i="3"/>
  <c r="D4" i="3"/>
  <c r="C4" i="3"/>
  <c r="C15" i="2"/>
  <c r="B15" i="2"/>
  <c r="G8" i="2"/>
  <c r="F8" i="2"/>
  <c r="D8" i="2"/>
  <c r="C8" i="2"/>
  <c r="B8" i="2"/>
  <c r="A8" i="2"/>
  <c r="I7" i="2"/>
  <c r="A7" i="2"/>
  <c r="I6" i="2"/>
  <c r="F6" i="2"/>
  <c r="A6" i="2"/>
  <c r="A5" i="2"/>
  <c r="E4" i="2"/>
  <c r="B4" i="2"/>
  <c r="A4" i="2"/>
  <c r="A3" i="2"/>
  <c r="K16" i="4" l="1"/>
  <c r="K5" i="4"/>
  <c r="D44" i="4"/>
  <c r="I8" i="2"/>
  <c r="B80" i="4"/>
  <c r="M62" i="4"/>
  <c r="K60" i="4"/>
  <c r="K62" i="4" s="1"/>
  <c r="D3" i="2"/>
  <c r="D5" i="1"/>
  <c r="M30" i="4"/>
  <c r="M51" i="4"/>
  <c r="K49" i="4"/>
  <c r="K51" i="4" s="1"/>
  <c r="D5" i="2"/>
  <c r="K54" i="4"/>
  <c r="I118" i="4"/>
  <c r="F18" i="3"/>
  <c r="B17" i="4"/>
  <c r="G85" i="4"/>
  <c r="K39" i="4"/>
  <c r="D43" i="4"/>
  <c r="D45" i="4"/>
  <c r="H83" i="5"/>
  <c r="M3" i="4"/>
  <c r="K3" i="4" s="1"/>
  <c r="M24" i="4"/>
  <c r="K24" i="4" s="1"/>
  <c r="K98" i="4"/>
  <c r="F3" i="2"/>
  <c r="F10" i="2" s="1"/>
  <c r="F5" i="1"/>
  <c r="D78" i="3"/>
  <c r="F5" i="2"/>
  <c r="G80" i="4"/>
  <c r="E22" i="3"/>
  <c r="E3" i="2"/>
  <c r="E5" i="1"/>
  <c r="G36" i="4"/>
  <c r="M31" i="4"/>
  <c r="K31" i="4" s="1"/>
  <c r="B36" i="4"/>
  <c r="E38" i="3"/>
  <c r="H6" i="2" s="1"/>
  <c r="F12" i="3"/>
  <c r="G17" i="4"/>
  <c r="M12" i="4"/>
  <c r="K12" i="4" s="1"/>
  <c r="M21" i="4"/>
  <c r="K21" i="4" s="1"/>
  <c r="M20" i="4"/>
  <c r="D27" i="4"/>
  <c r="H8" i="2"/>
  <c r="G116" i="4"/>
  <c r="M4" i="4"/>
  <c r="K4" i="4" s="1"/>
  <c r="B4" i="3"/>
  <c r="B22" i="3" s="1"/>
  <c r="B3" i="2" s="1"/>
  <c r="K6" i="4"/>
  <c r="D14" i="4"/>
  <c r="D17" i="4" s="1"/>
  <c r="B16" i="4"/>
  <c r="H23" i="4"/>
  <c r="G23" i="4" s="1"/>
  <c r="J36" i="4"/>
  <c r="H39" i="4"/>
  <c r="H40" i="4"/>
  <c r="G40" i="4" s="1"/>
  <c r="E45" i="4"/>
  <c r="B50" i="4"/>
  <c r="B51" i="4" s="1"/>
  <c r="J62" i="4"/>
  <c r="J118" i="4" s="1"/>
  <c r="I67" i="4"/>
  <c r="D77" i="4"/>
  <c r="D80" i="4" s="1"/>
  <c r="B83" i="4"/>
  <c r="B85" i="4" s="1"/>
  <c r="C85" i="4"/>
  <c r="B84" i="4"/>
  <c r="F85" i="4"/>
  <c r="B100" i="4"/>
  <c r="B101" i="4"/>
  <c r="D113" i="4"/>
  <c r="D116" i="4" s="1"/>
  <c r="B113" i="4"/>
  <c r="B116" i="4" s="1"/>
  <c r="K138" i="5"/>
  <c r="L138" i="5" s="1"/>
  <c r="J138" i="5"/>
  <c r="K347" i="5"/>
  <c r="L347" i="5" s="1"/>
  <c r="J347" i="5"/>
  <c r="I557" i="5"/>
  <c r="H557" i="5"/>
  <c r="K598" i="5"/>
  <c r="L598" i="5" s="1"/>
  <c r="J598" i="5"/>
  <c r="H111" i="9"/>
  <c r="E4" i="8" s="1"/>
  <c r="J184" i="9"/>
  <c r="K184" i="9"/>
  <c r="L184" i="9" s="1"/>
  <c r="B4" i="4"/>
  <c r="B7" i="4" s="1"/>
  <c r="H24" i="4"/>
  <c r="G24" i="4" s="1"/>
  <c r="H41" i="4"/>
  <c r="G41" i="4" s="1"/>
  <c r="H42" i="4"/>
  <c r="G42" i="4" s="1"/>
  <c r="D49" i="4"/>
  <c r="C51" i="4"/>
  <c r="B54" i="4"/>
  <c r="B55" i="4"/>
  <c r="H72" i="4"/>
  <c r="D79" i="4"/>
  <c r="C80" i="4"/>
  <c r="B99" i="4"/>
  <c r="F104" i="4"/>
  <c r="F116" i="4"/>
  <c r="K159" i="5"/>
  <c r="L159" i="5" s="1"/>
  <c r="J159" i="5"/>
  <c r="L313" i="14"/>
  <c r="M313" i="14" s="1"/>
  <c r="J313" i="14"/>
  <c r="K313" i="14" s="1"/>
  <c r="I313" i="14"/>
  <c r="C38" i="3"/>
  <c r="D6" i="2" s="1"/>
  <c r="D3" i="4"/>
  <c r="D7" i="4" s="1"/>
  <c r="D16" i="4"/>
  <c r="H25" i="4"/>
  <c r="G25" i="4" s="1"/>
  <c r="D30" i="4"/>
  <c r="D36" i="4" s="1"/>
  <c r="H43" i="4"/>
  <c r="G43" i="4" s="1"/>
  <c r="H44" i="4"/>
  <c r="G44" i="4" s="1"/>
  <c r="F46" i="4"/>
  <c r="F118" i="4" s="1"/>
  <c r="D50" i="4"/>
  <c r="D54" i="4"/>
  <c r="D57" i="4" s="1"/>
  <c r="K65" i="4"/>
  <c r="K67" i="4" s="1"/>
  <c r="G76" i="4"/>
  <c r="M92" i="4"/>
  <c r="B98" i="4"/>
  <c r="K103" i="5"/>
  <c r="L103" i="5" s="1"/>
  <c r="J103" i="5"/>
  <c r="K107" i="5"/>
  <c r="L107" i="5" s="1"/>
  <c r="J107" i="5"/>
  <c r="H159" i="5"/>
  <c r="K331" i="5"/>
  <c r="L331" i="5" s="1"/>
  <c r="I573" i="5"/>
  <c r="H573" i="5"/>
  <c r="K596" i="5"/>
  <c r="L596" i="5" s="1"/>
  <c r="J596" i="5"/>
  <c r="H718" i="5"/>
  <c r="I19" i="3" s="1"/>
  <c r="J218" i="9"/>
  <c r="K218" i="9"/>
  <c r="L218" i="9" s="1"/>
  <c r="B6" i="4"/>
  <c r="B20" i="4"/>
  <c r="B27" i="4" s="1"/>
  <c r="H26" i="4"/>
  <c r="G26" i="4" s="1"/>
  <c r="E36" i="4"/>
  <c r="B33" i="4"/>
  <c r="H45" i="4"/>
  <c r="G45" i="4" s="1"/>
  <c r="B60" i="4"/>
  <c r="B62" i="4" s="1"/>
  <c r="G77" i="4"/>
  <c r="G78" i="4"/>
  <c r="K107" i="4"/>
  <c r="K110" i="4" s="1"/>
  <c r="J118" i="5"/>
  <c r="K118" i="5"/>
  <c r="L118" i="5" s="1"/>
  <c r="K151" i="5"/>
  <c r="L151" i="5" s="1"/>
  <c r="J151" i="5"/>
  <c r="J160" i="5"/>
  <c r="K160" i="5"/>
  <c r="L160" i="5" s="1"/>
  <c r="H321" i="5"/>
  <c r="I6" i="3" s="1"/>
  <c r="F6" i="3" s="1"/>
  <c r="K553" i="5"/>
  <c r="L553" i="5" s="1"/>
  <c r="J553" i="5"/>
  <c r="H655" i="5"/>
  <c r="I16" i="3" s="1"/>
  <c r="F16" i="3" s="1"/>
  <c r="M88" i="4"/>
  <c r="L267" i="6"/>
  <c r="O36" i="4" s="1"/>
  <c r="J559" i="5"/>
  <c r="J172" i="9"/>
  <c r="K172" i="9"/>
  <c r="L172" i="9" s="1"/>
  <c r="M42" i="4"/>
  <c r="K42" i="4" s="1"/>
  <c r="I263" i="9"/>
  <c r="H263" i="9"/>
  <c r="E6" i="3"/>
  <c r="B6" i="3" s="1"/>
  <c r="E30" i="3"/>
  <c r="H4" i="2" s="1"/>
  <c r="I104" i="4"/>
  <c r="B110" i="4"/>
  <c r="K95" i="5"/>
  <c r="L95" i="5" s="1"/>
  <c r="J111" i="5"/>
  <c r="K161" i="5"/>
  <c r="L161" i="5" s="1"/>
  <c r="J161" i="5"/>
  <c r="J165" i="5"/>
  <c r="K165" i="5"/>
  <c r="L165" i="5" s="1"/>
  <c r="I345" i="5"/>
  <c r="H345" i="5"/>
  <c r="H497" i="5"/>
  <c r="I10" i="3" s="1"/>
  <c r="I565" i="5"/>
  <c r="H565" i="5"/>
  <c r="J606" i="5"/>
  <c r="K606" i="5"/>
  <c r="L606" i="5" s="1"/>
  <c r="H728" i="5"/>
  <c r="K728" i="5"/>
  <c r="L728" i="5" s="1"/>
  <c r="J409" i="5"/>
  <c r="K409" i="5"/>
  <c r="L409" i="5" s="1"/>
  <c r="K569" i="5"/>
  <c r="L569" i="5" s="1"/>
  <c r="J569" i="5"/>
  <c r="J168" i="9"/>
  <c r="K168" i="9"/>
  <c r="L168" i="9" s="1"/>
  <c r="J79" i="14"/>
  <c r="K79" i="14" s="1"/>
  <c r="L79" i="14"/>
  <c r="M79" i="14" s="1"/>
  <c r="M41" i="4"/>
  <c r="K41" i="4" s="1"/>
  <c r="B40" i="4"/>
  <c r="E8" i="2"/>
  <c r="D65" i="4"/>
  <c r="D67" i="4" s="1"/>
  <c r="D70" i="4"/>
  <c r="D72" i="4" s="1"/>
  <c r="D88" i="4"/>
  <c r="D89" i="4" s="1"/>
  <c r="J104" i="4"/>
  <c r="C110" i="4"/>
  <c r="K105" i="5"/>
  <c r="L105" i="5" s="1"/>
  <c r="J105" i="5"/>
  <c r="H448" i="5"/>
  <c r="I8" i="3" s="1"/>
  <c r="F8" i="3" s="1"/>
  <c r="M55" i="4"/>
  <c r="K55" i="4" s="1"/>
  <c r="H535" i="5"/>
  <c r="I11" i="3" s="1"/>
  <c r="F11" i="3" s="1"/>
  <c r="I581" i="5"/>
  <c r="H581" i="5"/>
  <c r="K161" i="9"/>
  <c r="L161" i="9" s="1"/>
  <c r="J161" i="9"/>
  <c r="F8" i="8"/>
  <c r="L3" i="8"/>
  <c r="I554" i="5"/>
  <c r="H554" i="5"/>
  <c r="H17" i="4"/>
  <c r="H20" i="4"/>
  <c r="E39" i="4"/>
  <c r="D39" i="4" s="1"/>
  <c r="E40" i="4"/>
  <c r="D40" i="4" s="1"/>
  <c r="B45" i="4"/>
  <c r="L85" i="4"/>
  <c r="L118" i="4" s="1"/>
  <c r="G93" i="4"/>
  <c r="G94" i="4"/>
  <c r="G95" i="4" s="1"/>
  <c r="D107" i="4"/>
  <c r="D110" i="4" s="1"/>
  <c r="H162" i="5"/>
  <c r="M43" i="4"/>
  <c r="K43" i="4" s="1"/>
  <c r="H104" i="4"/>
  <c r="I570" i="5"/>
  <c r="H570" i="5"/>
  <c r="I594" i="5"/>
  <c r="H594" i="5"/>
  <c r="H21" i="4"/>
  <c r="G21" i="4" s="1"/>
  <c r="E41" i="4"/>
  <c r="E42" i="4"/>
  <c r="C104" i="4"/>
  <c r="G109" i="4"/>
  <c r="K561" i="5"/>
  <c r="L561" i="5" s="1"/>
  <c r="J561" i="5"/>
  <c r="M101" i="4"/>
  <c r="K101" i="4" s="1"/>
  <c r="K167" i="5"/>
  <c r="L167" i="5" s="1"/>
  <c r="J167" i="5"/>
  <c r="K156" i="5"/>
  <c r="L156" i="5" s="1"/>
  <c r="J156" i="5"/>
  <c r="K344" i="5"/>
  <c r="L344" i="5" s="1"/>
  <c r="J344" i="5"/>
  <c r="E8" i="3"/>
  <c r="B8" i="3" s="1"/>
  <c r="E43" i="4"/>
  <c r="B43" i="4" s="1"/>
  <c r="C46" i="4"/>
  <c r="C118" i="4" s="1"/>
  <c r="G88" i="4"/>
  <c r="G89" i="4" s="1"/>
  <c r="G108" i="4"/>
  <c r="G110" i="4" s="1"/>
  <c r="K109" i="5"/>
  <c r="L109" i="5" s="1"/>
  <c r="I150" i="5"/>
  <c r="H150" i="5"/>
  <c r="H189" i="5" s="1"/>
  <c r="I5" i="3" s="1"/>
  <c r="F5" i="3" s="1"/>
  <c r="I562" i="5"/>
  <c r="H562" i="5"/>
  <c r="J592" i="5"/>
  <c r="J610" i="5"/>
  <c r="K610" i="5"/>
  <c r="L610" i="5" s="1"/>
  <c r="K197" i="9"/>
  <c r="L197" i="9" s="1"/>
  <c r="J197" i="9"/>
  <c r="K225" i="9"/>
  <c r="L225" i="9" s="1"/>
  <c r="J225" i="9"/>
  <c r="K350" i="5"/>
  <c r="L350" i="5" s="1"/>
  <c r="J350" i="5"/>
  <c r="K552" i="5"/>
  <c r="L552" i="5" s="1"/>
  <c r="J552" i="5"/>
  <c r="K560" i="5"/>
  <c r="L560" i="5" s="1"/>
  <c r="J560" i="5"/>
  <c r="K568" i="5"/>
  <c r="L568" i="5" s="1"/>
  <c r="J568" i="5"/>
  <c r="L171" i="6"/>
  <c r="O27" i="4" s="1"/>
  <c r="I215" i="9"/>
  <c r="H215" i="9"/>
  <c r="J226" i="9"/>
  <c r="K226" i="9"/>
  <c r="L226" i="9" s="1"/>
  <c r="K277" i="9"/>
  <c r="L277" i="9" s="1"/>
  <c r="J277" i="9"/>
  <c r="C116" i="4"/>
  <c r="J149" i="5"/>
  <c r="I152" i="5"/>
  <c r="H152" i="5"/>
  <c r="J185" i="5"/>
  <c r="H481" i="5"/>
  <c r="I9" i="3" s="1"/>
  <c r="F9" i="3" s="1"/>
  <c r="K731" i="5"/>
  <c r="L731" i="5" s="1"/>
  <c r="H731" i="5"/>
  <c r="J186" i="9"/>
  <c r="K186" i="9"/>
  <c r="L186" i="9" s="1"/>
  <c r="I260" i="9"/>
  <c r="H260" i="9"/>
  <c r="J294" i="9"/>
  <c r="K294" i="9"/>
  <c r="L294" i="9" s="1"/>
  <c r="G30" i="11"/>
  <c r="K4" i="8" s="1"/>
  <c r="J47" i="11"/>
  <c r="K47" i="11"/>
  <c r="L47" i="11" s="1"/>
  <c r="I90" i="5"/>
  <c r="H90" i="5"/>
  <c r="K727" i="5"/>
  <c r="L727" i="5" s="1"/>
  <c r="H727" i="5"/>
  <c r="G8" i="8"/>
  <c r="H132" i="9"/>
  <c r="H151" i="9" s="1"/>
  <c r="E5" i="8" s="1"/>
  <c r="K132" i="9"/>
  <c r="L132" i="9" s="1"/>
  <c r="I132" i="9"/>
  <c r="J132" i="9" s="1"/>
  <c r="J308" i="9"/>
  <c r="K308" i="9"/>
  <c r="L308" i="9" s="1"/>
  <c r="J321" i="9"/>
  <c r="K321" i="9"/>
  <c r="L321" i="9" s="1"/>
  <c r="K26" i="11"/>
  <c r="L26" i="11" s="1"/>
  <c r="J26" i="11"/>
  <c r="I39" i="11"/>
  <c r="H39" i="11"/>
  <c r="K558" i="5"/>
  <c r="L558" i="5" s="1"/>
  <c r="J558" i="5"/>
  <c r="K566" i="5"/>
  <c r="L566" i="5" s="1"/>
  <c r="J566" i="5"/>
  <c r="K574" i="5"/>
  <c r="L574" i="5" s="1"/>
  <c r="J574" i="5"/>
  <c r="L362" i="6"/>
  <c r="O67" i="4" s="1"/>
  <c r="H84" i="7"/>
  <c r="H11" i="3" s="1"/>
  <c r="K163" i="9"/>
  <c r="L163" i="9" s="1"/>
  <c r="J163" i="9"/>
  <c r="K199" i="9"/>
  <c r="L199" i="9" s="1"/>
  <c r="J199" i="9"/>
  <c r="J266" i="9"/>
  <c r="K266" i="9"/>
  <c r="L266" i="9" s="1"/>
  <c r="H308" i="9"/>
  <c r="L48" i="14"/>
  <c r="M48" i="14" s="1"/>
  <c r="J48" i="14"/>
  <c r="K48" i="14" s="1"/>
  <c r="J220" i="14"/>
  <c r="K220" i="14" s="1"/>
  <c r="L220" i="14"/>
  <c r="M220" i="14" s="1"/>
  <c r="H151" i="7"/>
  <c r="H19" i="3" s="1"/>
  <c r="K175" i="9"/>
  <c r="L175" i="9" s="1"/>
  <c r="J175" i="9"/>
  <c r="K251" i="9"/>
  <c r="L251" i="9" s="1"/>
  <c r="J251" i="9"/>
  <c r="K267" i="9"/>
  <c r="L267" i="9" s="1"/>
  <c r="J267" i="9"/>
  <c r="L134" i="18"/>
  <c r="M134" i="18" s="1"/>
  <c r="K134" i="18"/>
  <c r="H56" i="9"/>
  <c r="K221" i="9"/>
  <c r="L221" i="9" s="1"/>
  <c r="J221" i="9"/>
  <c r="K235" i="9"/>
  <c r="L235" i="9" s="1"/>
  <c r="J235" i="9"/>
  <c r="I301" i="9"/>
  <c r="H301" i="9"/>
  <c r="L325" i="14"/>
  <c r="M325" i="14" s="1"/>
  <c r="J325" i="14"/>
  <c r="K325" i="14" s="1"/>
  <c r="I325" i="14"/>
  <c r="K556" i="5"/>
  <c r="L556" i="5" s="1"/>
  <c r="J556" i="5"/>
  <c r="K564" i="5"/>
  <c r="L564" i="5" s="1"/>
  <c r="J564" i="5"/>
  <c r="K572" i="5"/>
  <c r="L572" i="5" s="1"/>
  <c r="J572" i="5"/>
  <c r="L389" i="6"/>
  <c r="O85" i="4" s="1"/>
  <c r="L473" i="6"/>
  <c r="O116" i="4" s="1"/>
  <c r="K163" i="7"/>
  <c r="L163" i="7" s="1"/>
  <c r="H163" i="7"/>
  <c r="N114" i="4" s="1"/>
  <c r="C8" i="8"/>
  <c r="I217" i="9"/>
  <c r="H217" i="9"/>
  <c r="H221" i="9"/>
  <c r="C7" i="20"/>
  <c r="E7" i="20" s="1"/>
  <c r="D6" i="18"/>
  <c r="D7" i="18" s="1"/>
  <c r="C4" i="17"/>
  <c r="D4" i="17" s="1"/>
  <c r="E4" i="17" s="1"/>
  <c r="I115" i="5"/>
  <c r="H115" i="5"/>
  <c r="H556" i="5"/>
  <c r="H575" i="5" s="1"/>
  <c r="I13" i="3" s="1"/>
  <c r="F13" i="3" s="1"/>
  <c r="H559" i="5"/>
  <c r="H564" i="5"/>
  <c r="H567" i="5"/>
  <c r="H572" i="5"/>
  <c r="H592" i="5"/>
  <c r="J603" i="5"/>
  <c r="H608" i="5"/>
  <c r="J615" i="5"/>
  <c r="L330" i="6"/>
  <c r="O57" i="4" s="1"/>
  <c r="K167" i="7"/>
  <c r="L167" i="7" s="1"/>
  <c r="H167" i="7"/>
  <c r="J192" i="9"/>
  <c r="K192" i="9"/>
  <c r="L192" i="9" s="1"/>
  <c r="K291" i="9"/>
  <c r="L291" i="9" s="1"/>
  <c r="J291" i="9"/>
  <c r="J306" i="9"/>
  <c r="K306" i="9"/>
  <c r="L306" i="9" s="1"/>
  <c r="J318" i="9"/>
  <c r="K318" i="9"/>
  <c r="L318" i="9" s="1"/>
  <c r="J323" i="9"/>
  <c r="I101" i="5"/>
  <c r="H101" i="5"/>
  <c r="L382" i="6"/>
  <c r="O80" i="4" s="1"/>
  <c r="K297" i="9"/>
  <c r="L297" i="9" s="1"/>
  <c r="J297" i="9"/>
  <c r="K315" i="9"/>
  <c r="L315" i="9" s="1"/>
  <c r="J315" i="9"/>
  <c r="H319" i="9"/>
  <c r="I319" i="9"/>
  <c r="L131" i="14"/>
  <c r="M131" i="14" s="1"/>
  <c r="J131" i="14"/>
  <c r="K131" i="14" s="1"/>
  <c r="H707" i="5"/>
  <c r="I18" i="3" s="1"/>
  <c r="K737" i="5"/>
  <c r="L737" i="5" s="1"/>
  <c r="H737" i="5"/>
  <c r="K741" i="5"/>
  <c r="L741" i="5" s="1"/>
  <c r="H741" i="5"/>
  <c r="I8" i="8"/>
  <c r="H185" i="9"/>
  <c r="I185" i="9"/>
  <c r="J189" i="9"/>
  <c r="K189" i="9"/>
  <c r="L189" i="9" s="1"/>
  <c r="J201" i="9"/>
  <c r="I237" i="9"/>
  <c r="H237" i="9"/>
  <c r="I311" i="9"/>
  <c r="H311" i="9"/>
  <c r="K169" i="7"/>
  <c r="L169" i="7" s="1"/>
  <c r="H169" i="7"/>
  <c r="N113" i="4" s="1"/>
  <c r="N116" i="4" s="1"/>
  <c r="N118" i="4" s="1"/>
  <c r="M3" i="8"/>
  <c r="J8" i="8"/>
  <c r="K173" i="9"/>
  <c r="L173" i="9" s="1"/>
  <c r="J173" i="9"/>
  <c r="K219" i="9"/>
  <c r="L219" i="9" s="1"/>
  <c r="J219" i="9"/>
  <c r="K243" i="9"/>
  <c r="L243" i="9" s="1"/>
  <c r="J243" i="9"/>
  <c r="K247" i="9"/>
  <c r="L247" i="9" s="1"/>
  <c r="J247" i="9"/>
  <c r="J264" i="9"/>
  <c r="K264" i="9"/>
  <c r="L264" i="9" s="1"/>
  <c r="K269" i="9"/>
  <c r="L269" i="9" s="1"/>
  <c r="J269" i="9"/>
  <c r="H293" i="9"/>
  <c r="I293" i="9"/>
  <c r="L19" i="14"/>
  <c r="M19" i="14" s="1"/>
  <c r="J19" i="14"/>
  <c r="K19" i="14" s="1"/>
  <c r="D6" i="6"/>
  <c r="D7" i="6" s="1"/>
  <c r="K171" i="9"/>
  <c r="L171" i="9" s="1"/>
  <c r="J171" i="9"/>
  <c r="K195" i="9"/>
  <c r="L195" i="9" s="1"/>
  <c r="J195" i="9"/>
  <c r="J280" i="9"/>
  <c r="K280" i="9"/>
  <c r="L280" i="9" s="1"/>
  <c r="J304" i="9"/>
  <c r="K304" i="9"/>
  <c r="L304" i="9" s="1"/>
  <c r="I13" i="11"/>
  <c r="J13" i="11" s="1"/>
  <c r="H13" i="11"/>
  <c r="G18" i="11" s="1"/>
  <c r="L144" i="14"/>
  <c r="M144" i="14" s="1"/>
  <c r="J144" i="14"/>
  <c r="K144" i="14" s="1"/>
  <c r="J240" i="14"/>
  <c r="K240" i="14" s="1"/>
  <c r="L240" i="14"/>
  <c r="M240" i="14" s="1"/>
  <c r="J329" i="14"/>
  <c r="K329" i="14" s="1"/>
  <c r="L329" i="14"/>
  <c r="M329" i="14" s="1"/>
  <c r="I329" i="14"/>
  <c r="C7" i="8"/>
  <c r="J160" i="9"/>
  <c r="K160" i="9"/>
  <c r="L160" i="9" s="1"/>
  <c r="J198" i="9"/>
  <c r="K198" i="9"/>
  <c r="L198" i="9" s="1"/>
  <c r="J208" i="9"/>
  <c r="K208" i="9"/>
  <c r="L208" i="9" s="1"/>
  <c r="J230" i="9"/>
  <c r="K230" i="9"/>
  <c r="L230" i="9" s="1"/>
  <c r="J326" i="9"/>
  <c r="K326" i="9"/>
  <c r="L326" i="9" s="1"/>
  <c r="C9" i="10"/>
  <c r="J25" i="11"/>
  <c r="K25" i="11"/>
  <c r="L25" i="11" s="1"/>
  <c r="I37" i="11"/>
  <c r="H37" i="11"/>
  <c r="L147" i="14"/>
  <c r="M147" i="14" s="1"/>
  <c r="J147" i="14"/>
  <c r="K147" i="14" s="1"/>
  <c r="I52" i="15"/>
  <c r="H52" i="15"/>
  <c r="H730" i="5"/>
  <c r="L345" i="6"/>
  <c r="O62" i="4" s="1"/>
  <c r="O118" i="4" s="1"/>
  <c r="K166" i="7"/>
  <c r="L166" i="7" s="1"/>
  <c r="K174" i="9"/>
  <c r="L174" i="9" s="1"/>
  <c r="K231" i="9"/>
  <c r="L231" i="9" s="1"/>
  <c r="J231" i="9"/>
  <c r="K234" i="9"/>
  <c r="L234" i="9" s="1"/>
  <c r="J242" i="9"/>
  <c r="K242" i="9"/>
  <c r="L242" i="9" s="1"/>
  <c r="J292" i="9"/>
  <c r="K292" i="9"/>
  <c r="L292" i="9" s="1"/>
  <c r="I300" i="9"/>
  <c r="H300" i="9"/>
  <c r="K314" i="9"/>
  <c r="L314" i="9" s="1"/>
  <c r="H326" i="9"/>
  <c r="L56" i="14"/>
  <c r="M56" i="14" s="1"/>
  <c r="J56" i="14"/>
  <c r="K56" i="14" s="1"/>
  <c r="G346" i="14"/>
  <c r="K28" i="15"/>
  <c r="L28" i="15" s="1"/>
  <c r="J28" i="15"/>
  <c r="K38" i="15"/>
  <c r="L38" i="15" s="1"/>
  <c r="J38" i="15"/>
  <c r="J41" i="15"/>
  <c r="I167" i="9"/>
  <c r="H167" i="9"/>
  <c r="H252" i="9" s="1"/>
  <c r="E6" i="8" s="1"/>
  <c r="C7" i="2" s="1"/>
  <c r="I191" i="9"/>
  <c r="H191" i="9"/>
  <c r="I289" i="9"/>
  <c r="H289" i="9"/>
  <c r="J312" i="9"/>
  <c r="K312" i="9"/>
  <c r="L312" i="9" s="1"/>
  <c r="I324" i="9"/>
  <c r="H324" i="9"/>
  <c r="L471" i="18"/>
  <c r="M471" i="18" s="1"/>
  <c r="K471" i="18"/>
  <c r="L481" i="18"/>
  <c r="M481" i="18" s="1"/>
  <c r="K481" i="18"/>
  <c r="H75" i="7"/>
  <c r="H10" i="3" s="1"/>
  <c r="F10" i="3" s="1"/>
  <c r="K157" i="7"/>
  <c r="L157" i="7" s="1"/>
  <c r="H157" i="7"/>
  <c r="N115" i="4" s="1"/>
  <c r="J275" i="9"/>
  <c r="K275" i="9"/>
  <c r="L275" i="9" s="1"/>
  <c r="J290" i="9"/>
  <c r="K290" i="9"/>
  <c r="L290" i="9" s="1"/>
  <c r="J210" i="14"/>
  <c r="K210" i="14" s="1"/>
  <c r="L210" i="14"/>
  <c r="M210" i="14" s="1"/>
  <c r="J261" i="14"/>
  <c r="K261" i="14" s="1"/>
  <c r="L261" i="14"/>
  <c r="M261" i="14" s="1"/>
  <c r="J273" i="14"/>
  <c r="K273" i="14" s="1"/>
  <c r="L273" i="14"/>
  <c r="M273" i="14" s="1"/>
  <c r="L43" i="18"/>
  <c r="M43" i="18" s="1"/>
  <c r="K43" i="18"/>
  <c r="H744" i="5"/>
  <c r="M115" i="4" s="1"/>
  <c r="K115" i="4" s="1"/>
  <c r="H168" i="7"/>
  <c r="J159" i="9"/>
  <c r="K170" i="9"/>
  <c r="L170" i="9" s="1"/>
  <c r="H173" i="9"/>
  <c r="K188" i="9"/>
  <c r="L188" i="9" s="1"/>
  <c r="K194" i="9"/>
  <c r="L194" i="9" s="1"/>
  <c r="H197" i="9"/>
  <c r="J202" i="9"/>
  <c r="K202" i="9"/>
  <c r="L202" i="9" s="1"/>
  <c r="H219" i="9"/>
  <c r="K232" i="9"/>
  <c r="L232" i="9" s="1"/>
  <c r="H266" i="9"/>
  <c r="H306" i="9"/>
  <c r="J32" i="14"/>
  <c r="K32" i="14" s="1"/>
  <c r="L32" i="14"/>
  <c r="M32" i="14" s="1"/>
  <c r="J68" i="14"/>
  <c r="K68" i="14" s="1"/>
  <c r="J170" i="14"/>
  <c r="K170" i="14" s="1"/>
  <c r="L170" i="14"/>
  <c r="M170" i="14" s="1"/>
  <c r="L173" i="14"/>
  <c r="M173" i="14" s="1"/>
  <c r="J173" i="14"/>
  <c r="K173" i="14" s="1"/>
  <c r="L60" i="18"/>
  <c r="M60" i="18" s="1"/>
  <c r="K60" i="18"/>
  <c r="H344" i="5"/>
  <c r="M33" i="4" s="1"/>
  <c r="K33" i="4" s="1"/>
  <c r="H149" i="9"/>
  <c r="I205" i="9"/>
  <c r="K210" i="9"/>
  <c r="L210" i="9" s="1"/>
  <c r="K213" i="9"/>
  <c r="L213" i="9" s="1"/>
  <c r="K216" i="9"/>
  <c r="L216" i="9" s="1"/>
  <c r="I233" i="9"/>
  <c r="H233" i="9"/>
  <c r="K244" i="9"/>
  <c r="L244" i="9" s="1"/>
  <c r="H295" i="9"/>
  <c r="I58" i="11"/>
  <c r="H58" i="11"/>
  <c r="M3" i="13"/>
  <c r="B7" i="10"/>
  <c r="D4" i="8"/>
  <c r="I149" i="9"/>
  <c r="J149" i="9" s="1"/>
  <c r="K162" i="9"/>
  <c r="L162" i="9" s="1"/>
  <c r="J178" i="9"/>
  <c r="K178" i="9"/>
  <c r="L178" i="9" s="1"/>
  <c r="J222" i="9"/>
  <c r="K222" i="9"/>
  <c r="L222" i="9" s="1"/>
  <c r="I245" i="9"/>
  <c r="H245" i="9"/>
  <c r="J270" i="9"/>
  <c r="K270" i="9"/>
  <c r="L270" i="9" s="1"/>
  <c r="I286" i="9"/>
  <c r="H286" i="9"/>
  <c r="K295" i="9"/>
  <c r="L295" i="9" s="1"/>
  <c r="L58" i="14"/>
  <c r="M58" i="14" s="1"/>
  <c r="J58" i="14"/>
  <c r="K58" i="14" s="1"/>
  <c r="J92" i="14"/>
  <c r="K92" i="14" s="1"/>
  <c r="L149" i="14"/>
  <c r="M149" i="14" s="1"/>
  <c r="J149" i="14"/>
  <c r="K149" i="14" s="1"/>
  <c r="J258" i="14"/>
  <c r="K258" i="14" s="1"/>
  <c r="I287" i="9"/>
  <c r="H287" i="9"/>
  <c r="K28" i="11"/>
  <c r="L28" i="11" s="1"/>
  <c r="J28" i="11"/>
  <c r="J27" i="14"/>
  <c r="K27" i="14" s="1"/>
  <c r="J70" i="14"/>
  <c r="K70" i="14" s="1"/>
  <c r="J266" i="14"/>
  <c r="K266" i="14" s="1"/>
  <c r="K96" i="18"/>
  <c r="L96" i="18"/>
  <c r="M96" i="18" s="1"/>
  <c r="J302" i="9"/>
  <c r="K302" i="9"/>
  <c r="L302" i="9" s="1"/>
  <c r="J328" i="9"/>
  <c r="K328" i="9"/>
  <c r="L328" i="9" s="1"/>
  <c r="L22" i="12"/>
  <c r="L32" i="12" s="1"/>
  <c r="J32" i="12"/>
  <c r="J34" i="14"/>
  <c r="K34" i="14" s="1"/>
  <c r="L34" i="14"/>
  <c r="M34" i="14" s="1"/>
  <c r="L60" i="14"/>
  <c r="M60" i="14" s="1"/>
  <c r="J60" i="14"/>
  <c r="K60" i="14" s="1"/>
  <c r="J230" i="14"/>
  <c r="K230" i="14" s="1"/>
  <c r="L230" i="14"/>
  <c r="M230" i="14" s="1"/>
  <c r="I302" i="14"/>
  <c r="K118" i="18"/>
  <c r="L118" i="18"/>
  <c r="M118" i="18" s="1"/>
  <c r="L201" i="18"/>
  <c r="M201" i="18" s="1"/>
  <c r="K201" i="18"/>
  <c r="L209" i="18"/>
  <c r="M209" i="18" s="1"/>
  <c r="K209" i="18"/>
  <c r="I276" i="9"/>
  <c r="H276" i="9"/>
  <c r="I48" i="11"/>
  <c r="H48" i="11"/>
  <c r="G50" i="11" s="1"/>
  <c r="I60" i="11"/>
  <c r="H60" i="11"/>
  <c r="J50" i="14"/>
  <c r="K50" i="14" s="1"/>
  <c r="L50" i="14"/>
  <c r="M50" i="14" s="1"/>
  <c r="J243" i="14"/>
  <c r="K243" i="14" s="1"/>
  <c r="L243" i="14"/>
  <c r="M243" i="14" s="1"/>
  <c r="I299" i="14"/>
  <c r="J299" i="14"/>
  <c r="K299" i="14" s="1"/>
  <c r="G397" i="14"/>
  <c r="I351" i="14"/>
  <c r="I397" i="14" s="1"/>
  <c r="H6" i="13" s="1"/>
  <c r="K72" i="18"/>
  <c r="L72" i="18"/>
  <c r="M72" i="18" s="1"/>
  <c r="J122" i="14"/>
  <c r="K122" i="14" s="1"/>
  <c r="L122" i="14"/>
  <c r="M122" i="14" s="1"/>
  <c r="L108" i="18"/>
  <c r="M108" i="18" s="1"/>
  <c r="K108" i="18"/>
  <c r="L131" i="18"/>
  <c r="M131" i="18" s="1"/>
  <c r="K131" i="18"/>
  <c r="L17" i="14"/>
  <c r="M17" i="14" s="1"/>
  <c r="J17" i="14"/>
  <c r="K17" i="14" s="1"/>
  <c r="J232" i="14"/>
  <c r="K232" i="14" s="1"/>
  <c r="L232" i="14"/>
  <c r="M232" i="14" s="1"/>
  <c r="I323" i="14"/>
  <c r="L323" i="14"/>
  <c r="M323" i="14" s="1"/>
  <c r="L20" i="18"/>
  <c r="M20" i="18" s="1"/>
  <c r="K20" i="18"/>
  <c r="L360" i="18"/>
  <c r="M360" i="18" s="1"/>
  <c r="K360" i="18"/>
  <c r="K182" i="9"/>
  <c r="L182" i="9" s="1"/>
  <c r="K206" i="9"/>
  <c r="L206" i="9" s="1"/>
  <c r="J278" i="9"/>
  <c r="K278" i="9"/>
  <c r="L278" i="9" s="1"/>
  <c r="K35" i="11"/>
  <c r="L35" i="11" s="1"/>
  <c r="J35" i="11"/>
  <c r="J9" i="13"/>
  <c r="I13" i="14"/>
  <c r="I214" i="14" s="1"/>
  <c r="G214" i="14"/>
  <c r="J166" i="14"/>
  <c r="K166" i="14" s="1"/>
  <c r="L166" i="14"/>
  <c r="M166" i="14" s="1"/>
  <c r="J251" i="14"/>
  <c r="K251" i="14" s="1"/>
  <c r="L251" i="14"/>
  <c r="M251" i="14" s="1"/>
  <c r="J307" i="14"/>
  <c r="K307" i="14" s="1"/>
  <c r="I307" i="14"/>
  <c r="K193" i="18"/>
  <c r="L193" i="18"/>
  <c r="M193" i="18" s="1"/>
  <c r="L285" i="18"/>
  <c r="M285" i="18" s="1"/>
  <c r="K285" i="18"/>
  <c r="K9" i="13"/>
  <c r="L140" i="14"/>
  <c r="M140" i="14" s="1"/>
  <c r="J140" i="14"/>
  <c r="K140" i="14" s="1"/>
  <c r="L235" i="14"/>
  <c r="M235" i="14" s="1"/>
  <c r="J235" i="14"/>
  <c r="K235" i="14" s="1"/>
  <c r="L307" i="14"/>
  <c r="M307" i="14" s="1"/>
  <c r="L321" i="14"/>
  <c r="M321" i="14" s="1"/>
  <c r="J321" i="14"/>
  <c r="K321" i="14" s="1"/>
  <c r="K184" i="18"/>
  <c r="K224" i="18"/>
  <c r="L224" i="18"/>
  <c r="M224" i="18" s="1"/>
  <c r="K234" i="18"/>
  <c r="L234" i="18"/>
  <c r="M234" i="18" s="1"/>
  <c r="J313" i="9"/>
  <c r="K313" i="9"/>
  <c r="L313" i="9" s="1"/>
  <c r="L62" i="14"/>
  <c r="M62" i="14" s="1"/>
  <c r="J72" i="14"/>
  <c r="K72" i="14" s="1"/>
  <c r="J90" i="14"/>
  <c r="K90" i="14" s="1"/>
  <c r="L90" i="14"/>
  <c r="M90" i="14" s="1"/>
  <c r="L305" i="14"/>
  <c r="M305" i="14" s="1"/>
  <c r="J305" i="14"/>
  <c r="K305" i="14" s="1"/>
  <c r="L217" i="18"/>
  <c r="M217" i="18" s="1"/>
  <c r="K217" i="18"/>
  <c r="I285" i="9"/>
  <c r="I298" i="9"/>
  <c r="I309" i="9"/>
  <c r="I322" i="9"/>
  <c r="I14" i="11"/>
  <c r="J14" i="11" s="1"/>
  <c r="I46" i="11"/>
  <c r="B3" i="13"/>
  <c r="B9" i="13" s="1"/>
  <c r="J36" i="14"/>
  <c r="K36" i="14" s="1"/>
  <c r="L73" i="14"/>
  <c r="M73" i="14" s="1"/>
  <c r="L77" i="14"/>
  <c r="M77" i="14" s="1"/>
  <c r="L82" i="14"/>
  <c r="M82" i="14" s="1"/>
  <c r="J111" i="14"/>
  <c r="K111" i="14" s="1"/>
  <c r="J127" i="14"/>
  <c r="K127" i="14" s="1"/>
  <c r="J155" i="14"/>
  <c r="K155" i="14" s="1"/>
  <c r="L155" i="14"/>
  <c r="M155" i="14" s="1"/>
  <c r="L164" i="14"/>
  <c r="M164" i="14" s="1"/>
  <c r="L188" i="14"/>
  <c r="M188" i="14" s="1"/>
  <c r="J241" i="14"/>
  <c r="K241" i="14" s="1"/>
  <c r="J249" i="14"/>
  <c r="K249" i="14" s="1"/>
  <c r="L262" i="14"/>
  <c r="M262" i="14" s="1"/>
  <c r="J267" i="14"/>
  <c r="K267" i="14" s="1"/>
  <c r="L267" i="14"/>
  <c r="M267" i="14" s="1"/>
  <c r="L274" i="14"/>
  <c r="M274" i="14" s="1"/>
  <c r="J295" i="14"/>
  <c r="K295" i="14" s="1"/>
  <c r="I295" i="14"/>
  <c r="L295" i="14"/>
  <c r="M295" i="14" s="1"/>
  <c r="J319" i="14"/>
  <c r="K319" i="14" s="1"/>
  <c r="L327" i="14"/>
  <c r="M327" i="14" s="1"/>
  <c r="J327" i="14"/>
  <c r="K327" i="14" s="1"/>
  <c r="K70" i="18"/>
  <c r="L70" i="18"/>
  <c r="M70" i="18" s="1"/>
  <c r="K180" i="18"/>
  <c r="L180" i="18"/>
  <c r="M180" i="18" s="1"/>
  <c r="L252" i="18"/>
  <c r="M252" i="18" s="1"/>
  <c r="K252" i="18"/>
  <c r="K274" i="9"/>
  <c r="L274" i="9" s="1"/>
  <c r="F3" i="13"/>
  <c r="F9" i="13" s="1"/>
  <c r="L30" i="14"/>
  <c r="M30" i="14" s="1"/>
  <c r="J69" i="14"/>
  <c r="K69" i="14" s="1"/>
  <c r="L91" i="14"/>
  <c r="M91" i="14" s="1"/>
  <c r="J91" i="14"/>
  <c r="K91" i="14" s="1"/>
  <c r="L129" i="14"/>
  <c r="M129" i="14" s="1"/>
  <c r="L138" i="14"/>
  <c r="M138" i="14" s="1"/>
  <c r="L204" i="14"/>
  <c r="M204" i="14" s="1"/>
  <c r="J204" i="14"/>
  <c r="K204" i="14" s="1"/>
  <c r="L206" i="14"/>
  <c r="M206" i="14" s="1"/>
  <c r="L236" i="14"/>
  <c r="M236" i="14" s="1"/>
  <c r="J236" i="14"/>
  <c r="K236" i="14" s="1"/>
  <c r="I293" i="14"/>
  <c r="L293" i="14"/>
  <c r="M293" i="14" s="1"/>
  <c r="L317" i="14"/>
  <c r="M317" i="14" s="1"/>
  <c r="I327" i="14"/>
  <c r="J338" i="14"/>
  <c r="K338" i="14" s="1"/>
  <c r="I338" i="14"/>
  <c r="K30" i="15"/>
  <c r="L30" i="15" s="1"/>
  <c r="J30" i="15"/>
  <c r="K61" i="18"/>
  <c r="L199" i="18"/>
  <c r="M199" i="18" s="1"/>
  <c r="K199" i="18"/>
  <c r="G286" i="14"/>
  <c r="I219" i="14"/>
  <c r="I286" i="14" s="1"/>
  <c r="H4" i="13" s="1"/>
  <c r="I309" i="14"/>
  <c r="L309" i="14"/>
  <c r="M309" i="14" s="1"/>
  <c r="L167" i="18"/>
  <c r="M167" i="18" s="1"/>
  <c r="K167" i="18"/>
  <c r="L139" i="14"/>
  <c r="M139" i="14" s="1"/>
  <c r="J139" i="14"/>
  <c r="K139" i="14" s="1"/>
  <c r="L226" i="14"/>
  <c r="M226" i="14" s="1"/>
  <c r="L229" i="14"/>
  <c r="M229" i="14" s="1"/>
  <c r="J229" i="14"/>
  <c r="K229" i="14" s="1"/>
  <c r="L242" i="14"/>
  <c r="M242" i="14" s="1"/>
  <c r="J242" i="14"/>
  <c r="K242" i="14" s="1"/>
  <c r="J263" i="14"/>
  <c r="K263" i="14" s="1"/>
  <c r="L263" i="14"/>
  <c r="M263" i="14" s="1"/>
  <c r="J301" i="14"/>
  <c r="K301" i="14" s="1"/>
  <c r="I301" i="14"/>
  <c r="L301" i="14"/>
  <c r="M301" i="14" s="1"/>
  <c r="J309" i="14"/>
  <c r="K309" i="14" s="1"/>
  <c r="I315" i="14"/>
  <c r="K189" i="18"/>
  <c r="L189" i="18"/>
  <c r="M189" i="18" s="1"/>
  <c r="I56" i="11"/>
  <c r="H56" i="11"/>
  <c r="L108" i="14"/>
  <c r="M108" i="14" s="1"/>
  <c r="J108" i="14"/>
  <c r="K108" i="14" s="1"/>
  <c r="L271" i="14"/>
  <c r="M271" i="14" s="1"/>
  <c r="J271" i="14"/>
  <c r="K271" i="14" s="1"/>
  <c r="J297" i="14"/>
  <c r="K297" i="14" s="1"/>
  <c r="I297" i="14"/>
  <c r="L56" i="18"/>
  <c r="M56" i="18" s="1"/>
  <c r="K56" i="18"/>
  <c r="I73" i="18"/>
  <c r="G77" i="18"/>
  <c r="I77" i="18" s="1"/>
  <c r="L7" i="17" s="1"/>
  <c r="L85" i="18"/>
  <c r="M85" i="18" s="1"/>
  <c r="K85" i="18"/>
  <c r="L88" i="18"/>
  <c r="M88" i="18" s="1"/>
  <c r="K88" i="18"/>
  <c r="L115" i="18"/>
  <c r="M115" i="18" s="1"/>
  <c r="K115" i="18"/>
  <c r="L329" i="18"/>
  <c r="M329" i="18" s="1"/>
  <c r="K329" i="18"/>
  <c r="H35" i="11"/>
  <c r="J38" i="14"/>
  <c r="K38" i="14" s="1"/>
  <c r="L38" i="14"/>
  <c r="M38" i="14" s="1"/>
  <c r="L238" i="14"/>
  <c r="M238" i="14" s="1"/>
  <c r="J238" i="14"/>
  <c r="K238" i="14" s="1"/>
  <c r="L297" i="14"/>
  <c r="M297" i="14" s="1"/>
  <c r="I317" i="14"/>
  <c r="J332" i="14"/>
  <c r="K332" i="14" s="1"/>
  <c r="I332" i="14"/>
  <c r="G4" i="13"/>
  <c r="M4" i="13" s="1"/>
  <c r="G6" i="13"/>
  <c r="M6" i="13" s="1"/>
  <c r="K69" i="18"/>
  <c r="F4" i="13"/>
  <c r="L42" i="14"/>
  <c r="M42" i="14" s="1"/>
  <c r="L99" i="14"/>
  <c r="M99" i="14" s="1"/>
  <c r="L113" i="14"/>
  <c r="M113" i="14" s="1"/>
  <c r="J171" i="14"/>
  <c r="K171" i="14" s="1"/>
  <c r="L195" i="14"/>
  <c r="M195" i="14" s="1"/>
  <c r="J198" i="14"/>
  <c r="K198" i="14" s="1"/>
  <c r="L208" i="14"/>
  <c r="M208" i="14" s="1"/>
  <c r="J228" i="14"/>
  <c r="K228" i="14" s="1"/>
  <c r="L228" i="14"/>
  <c r="M228" i="14" s="1"/>
  <c r="J259" i="14"/>
  <c r="K259" i="14" s="1"/>
  <c r="L259" i="14"/>
  <c r="M259" i="14" s="1"/>
  <c r="J303" i="14"/>
  <c r="K303" i="14" s="1"/>
  <c r="I303" i="14"/>
  <c r="L303" i="14"/>
  <c r="M303" i="14" s="1"/>
  <c r="I319" i="14"/>
  <c r="I340" i="14"/>
  <c r="L18" i="18"/>
  <c r="M18" i="18" s="1"/>
  <c r="K18" i="18"/>
  <c r="L264" i="18"/>
  <c r="M264" i="18" s="1"/>
  <c r="C33" i="17"/>
  <c r="L62" i="18"/>
  <c r="M62" i="18" s="1"/>
  <c r="K62" i="18"/>
  <c r="G89" i="18"/>
  <c r="I83" i="18"/>
  <c r="I89" i="18" s="1"/>
  <c r="L8" i="17" s="1"/>
  <c r="L207" i="18"/>
  <c r="M207" i="18" s="1"/>
  <c r="K207" i="18"/>
  <c r="I233" i="18"/>
  <c r="G245" i="18"/>
  <c r="I245" i="18" s="1"/>
  <c r="L15" i="17" s="1"/>
  <c r="K244" i="18"/>
  <c r="L244" i="18"/>
  <c r="M244" i="18" s="1"/>
  <c r="J316" i="14"/>
  <c r="K316" i="14" s="1"/>
  <c r="L316" i="14"/>
  <c r="M316" i="14" s="1"/>
  <c r="I316" i="14"/>
  <c r="D33" i="17"/>
  <c r="I99" i="18"/>
  <c r="L9" i="17" s="1"/>
  <c r="L113" i="18"/>
  <c r="M113" i="18" s="1"/>
  <c r="K113" i="18"/>
  <c r="K126" i="18"/>
  <c r="L126" i="18"/>
  <c r="M126" i="18" s="1"/>
  <c r="K141" i="18"/>
  <c r="L141" i="18"/>
  <c r="M141" i="18" s="1"/>
  <c r="L204" i="18"/>
  <c r="M204" i="18" s="1"/>
  <c r="K204" i="18"/>
  <c r="L238" i="18"/>
  <c r="M238" i="18" s="1"/>
  <c r="K238" i="18"/>
  <c r="L327" i="18"/>
  <c r="M327" i="18" s="1"/>
  <c r="K327" i="18"/>
  <c r="I310" i="14"/>
  <c r="I312" i="14"/>
  <c r="L314" i="14"/>
  <c r="M314" i="14" s="1"/>
  <c r="I314" i="14"/>
  <c r="I328" i="14"/>
  <c r="J16" i="15"/>
  <c r="E3" i="17"/>
  <c r="E33" i="17" s="1"/>
  <c r="K31" i="18"/>
  <c r="L31" i="18"/>
  <c r="M31" i="18" s="1"/>
  <c r="K55" i="18"/>
  <c r="L59" i="18"/>
  <c r="M59" i="18" s="1"/>
  <c r="K59" i="18"/>
  <c r="L71" i="18"/>
  <c r="M71" i="18" s="1"/>
  <c r="K71" i="18"/>
  <c r="L110" i="18"/>
  <c r="M110" i="18" s="1"/>
  <c r="K110" i="18"/>
  <c r="K176" i="18"/>
  <c r="L176" i="18"/>
  <c r="M176" i="18" s="1"/>
  <c r="K257" i="18"/>
  <c r="L257" i="18"/>
  <c r="M257" i="18" s="1"/>
  <c r="L336" i="18"/>
  <c r="M336" i="18" s="1"/>
  <c r="K336" i="18"/>
  <c r="J197" i="14"/>
  <c r="K197" i="14" s="1"/>
  <c r="L199" i="14"/>
  <c r="M199" i="14" s="1"/>
  <c r="I292" i="14"/>
  <c r="I308" i="14"/>
  <c r="J310" i="14"/>
  <c r="K310" i="14" s="1"/>
  <c r="J314" i="14"/>
  <c r="K314" i="14" s="1"/>
  <c r="I326" i="14"/>
  <c r="I17" i="15"/>
  <c r="H17" i="15"/>
  <c r="I50" i="15"/>
  <c r="H50" i="15"/>
  <c r="H55" i="15" s="1"/>
  <c r="L44" i="18"/>
  <c r="M44" i="18" s="1"/>
  <c r="I225" i="18"/>
  <c r="L14" i="17" s="1"/>
  <c r="H31" i="15"/>
  <c r="G25" i="18"/>
  <c r="L119" i="18"/>
  <c r="M119" i="18" s="1"/>
  <c r="K119" i="18"/>
  <c r="L132" i="18"/>
  <c r="M132" i="18" s="1"/>
  <c r="K132" i="18"/>
  <c r="L196" i="18"/>
  <c r="M196" i="18" s="1"/>
  <c r="K196" i="18"/>
  <c r="K413" i="18"/>
  <c r="L413" i="18"/>
  <c r="M413" i="18" s="1"/>
  <c r="L275" i="14"/>
  <c r="M275" i="14" s="1"/>
  <c r="J275" i="14"/>
  <c r="K275" i="14" s="1"/>
  <c r="L277" i="14"/>
  <c r="M277" i="14" s="1"/>
  <c r="J277" i="14"/>
  <c r="K277" i="14" s="1"/>
  <c r="L279" i="14"/>
  <c r="M279" i="14" s="1"/>
  <c r="H13" i="15"/>
  <c r="I26" i="15"/>
  <c r="L24" i="18"/>
  <c r="M24" i="18" s="1"/>
  <c r="K24" i="18"/>
  <c r="L41" i="18"/>
  <c r="M41" i="18" s="1"/>
  <c r="L106" i="18"/>
  <c r="M106" i="18" s="1"/>
  <c r="K106" i="18"/>
  <c r="L169" i="18"/>
  <c r="M169" i="18" s="1"/>
  <c r="K169" i="18"/>
  <c r="K32" i="18"/>
  <c r="L32" i="18"/>
  <c r="M32" i="18" s="1"/>
  <c r="L73" i="18"/>
  <c r="M73" i="18" s="1"/>
  <c r="K73" i="18"/>
  <c r="L111" i="18"/>
  <c r="M111" i="18" s="1"/>
  <c r="K111" i="18"/>
  <c r="L135" i="18"/>
  <c r="M135" i="18" s="1"/>
  <c r="K135" i="18"/>
  <c r="L198" i="18"/>
  <c r="M198" i="18" s="1"/>
  <c r="K198" i="18"/>
  <c r="K299" i="18"/>
  <c r="L299" i="18"/>
  <c r="M299" i="18" s="1"/>
  <c r="L432" i="18"/>
  <c r="M432" i="18" s="1"/>
  <c r="K432" i="18"/>
  <c r="L98" i="18"/>
  <c r="M98" i="18" s="1"/>
  <c r="K98" i="18"/>
  <c r="G120" i="18"/>
  <c r="K128" i="18"/>
  <c r="K192" i="18"/>
  <c r="L192" i="18"/>
  <c r="M192" i="18" s="1"/>
  <c r="L254" i="18"/>
  <c r="M254" i="18" s="1"/>
  <c r="K272" i="18"/>
  <c r="L272" i="18"/>
  <c r="M272" i="18" s="1"/>
  <c r="K281" i="18"/>
  <c r="L15" i="18"/>
  <c r="M15" i="18" s="1"/>
  <c r="L33" i="18"/>
  <c r="M33" i="18" s="1"/>
  <c r="K33" i="18"/>
  <c r="I51" i="18"/>
  <c r="I63" i="18" s="1"/>
  <c r="L6" i="17" s="1"/>
  <c r="G63" i="18"/>
  <c r="K58" i="18"/>
  <c r="L58" i="18"/>
  <c r="M58" i="18" s="1"/>
  <c r="K76" i="18"/>
  <c r="I138" i="18"/>
  <c r="I142" i="18" s="1"/>
  <c r="L11" i="17" s="1"/>
  <c r="L153" i="18"/>
  <c r="M153" i="18" s="1"/>
  <c r="K170" i="18"/>
  <c r="L170" i="18"/>
  <c r="M170" i="18" s="1"/>
  <c r="L178" i="18"/>
  <c r="M178" i="18" s="1"/>
  <c r="L223" i="18"/>
  <c r="M223" i="18" s="1"/>
  <c r="K223" i="18"/>
  <c r="L232" i="18"/>
  <c r="M232" i="18" s="1"/>
  <c r="K232" i="18"/>
  <c r="I252" i="18"/>
  <c r="G274" i="18"/>
  <c r="I274" i="18" s="1"/>
  <c r="L16" i="17" s="1"/>
  <c r="K288" i="18"/>
  <c r="L288" i="18"/>
  <c r="M288" i="18" s="1"/>
  <c r="L361" i="18"/>
  <c r="M361" i="18" s="1"/>
  <c r="K361" i="18"/>
  <c r="K370" i="18"/>
  <c r="L370" i="18"/>
  <c r="M370" i="18" s="1"/>
  <c r="K23" i="18"/>
  <c r="L23" i="18"/>
  <c r="M23" i="18" s="1"/>
  <c r="I40" i="18"/>
  <c r="G45" i="18"/>
  <c r="I45" i="18" s="1"/>
  <c r="L5" i="17" s="1"/>
  <c r="K159" i="18"/>
  <c r="L159" i="18"/>
  <c r="M159" i="18" s="1"/>
  <c r="L168" i="18"/>
  <c r="M168" i="18" s="1"/>
  <c r="K168" i="18"/>
  <c r="L179" i="18"/>
  <c r="M179" i="18" s="1"/>
  <c r="K179" i="18"/>
  <c r="L185" i="18"/>
  <c r="M185" i="18" s="1"/>
  <c r="K185" i="18"/>
  <c r="L194" i="18"/>
  <c r="M194" i="18" s="1"/>
  <c r="K194" i="18"/>
  <c r="L286" i="18"/>
  <c r="M286" i="18" s="1"/>
  <c r="K286" i="18"/>
  <c r="L324" i="18"/>
  <c r="M324" i="18" s="1"/>
  <c r="K324" i="18"/>
  <c r="L449" i="18"/>
  <c r="M449" i="18" s="1"/>
  <c r="K449" i="18"/>
  <c r="L52" i="18"/>
  <c r="M52" i="18" s="1"/>
  <c r="K52" i="18"/>
  <c r="K83" i="18"/>
  <c r="G99" i="18"/>
  <c r="G160" i="18"/>
  <c r="I148" i="18"/>
  <c r="I160" i="18" s="1"/>
  <c r="L12" i="17" s="1"/>
  <c r="L152" i="18"/>
  <c r="M152" i="18" s="1"/>
  <c r="K152" i="18"/>
  <c r="G210" i="18"/>
  <c r="I166" i="18"/>
  <c r="I210" i="18" s="1"/>
  <c r="L13" i="17" s="1"/>
  <c r="K174" i="18"/>
  <c r="L262" i="18"/>
  <c r="M262" i="18" s="1"/>
  <c r="K262" i="18"/>
  <c r="K331" i="18"/>
  <c r="L331" i="18"/>
  <c r="M331" i="18" s="1"/>
  <c r="L75" i="18"/>
  <c r="M75" i="18" s="1"/>
  <c r="K75" i="18"/>
  <c r="K116" i="18"/>
  <c r="L116" i="18"/>
  <c r="M116" i="18" s="1"/>
  <c r="L177" i="18"/>
  <c r="M177" i="18" s="1"/>
  <c r="K177" i="18"/>
  <c r="K197" i="18"/>
  <c r="L197" i="18"/>
  <c r="M197" i="18" s="1"/>
  <c r="L208" i="18"/>
  <c r="M208" i="18" s="1"/>
  <c r="K208" i="18"/>
  <c r="L242" i="18"/>
  <c r="M242" i="18" s="1"/>
  <c r="K242" i="18"/>
  <c r="L271" i="18"/>
  <c r="M271" i="18" s="1"/>
  <c r="K271" i="18"/>
  <c r="G293" i="18"/>
  <c r="I280" i="18"/>
  <c r="I293" i="18" s="1"/>
  <c r="L17" i="17" s="1"/>
  <c r="L335" i="18"/>
  <c r="M335" i="18" s="1"/>
  <c r="K335" i="18"/>
  <c r="L384" i="18"/>
  <c r="M384" i="18" s="1"/>
  <c r="K384" i="18"/>
  <c r="L479" i="18"/>
  <c r="M479" i="18" s="1"/>
  <c r="K479" i="18"/>
  <c r="K203" i="18"/>
  <c r="L203" i="18"/>
  <c r="M203" i="18" s="1"/>
  <c r="L216" i="18"/>
  <c r="M216" i="18" s="1"/>
  <c r="L222" i="18"/>
  <c r="M222" i="18" s="1"/>
  <c r="K222" i="18"/>
  <c r="K233" i="18"/>
  <c r="L233" i="18"/>
  <c r="M233" i="18" s="1"/>
  <c r="L280" i="18"/>
  <c r="M280" i="18" s="1"/>
  <c r="K280" i="18"/>
  <c r="K344" i="18"/>
  <c r="L344" i="18"/>
  <c r="M344" i="18" s="1"/>
  <c r="L369" i="18"/>
  <c r="M369" i="18" s="1"/>
  <c r="K369" i="18"/>
  <c r="L302" i="18"/>
  <c r="M302" i="18" s="1"/>
  <c r="K302" i="18"/>
  <c r="G317" i="18"/>
  <c r="I317" i="18" s="1"/>
  <c r="L19" i="17" s="1"/>
  <c r="I325" i="18"/>
  <c r="G337" i="18"/>
  <c r="L292" i="18"/>
  <c r="M292" i="18" s="1"/>
  <c r="K292" i="18"/>
  <c r="G404" i="18"/>
  <c r="L399" i="18"/>
  <c r="M399" i="18" s="1"/>
  <c r="K399" i="18"/>
  <c r="G434" i="18"/>
  <c r="I430" i="18"/>
  <c r="I434" i="18" s="1"/>
  <c r="L28" i="17" s="1"/>
  <c r="I25" i="18"/>
  <c r="I34" i="18"/>
  <c r="L4" i="17" s="1"/>
  <c r="L265" i="18"/>
  <c r="M265" i="18" s="1"/>
  <c r="K265" i="18"/>
  <c r="L287" i="18"/>
  <c r="M287" i="18" s="1"/>
  <c r="I337" i="18"/>
  <c r="L20" i="17" s="1"/>
  <c r="K326" i="18"/>
  <c r="I383" i="18"/>
  <c r="I391" i="18" s="1"/>
  <c r="L24" i="17" s="1"/>
  <c r="G391" i="18"/>
  <c r="K443" i="18"/>
  <c r="L446" i="18"/>
  <c r="M446" i="18" s="1"/>
  <c r="K446" i="18"/>
  <c r="M33" i="17"/>
  <c r="L202" i="18"/>
  <c r="M202" i="18" s="1"/>
  <c r="K202" i="18"/>
  <c r="K235" i="18"/>
  <c r="L235" i="18"/>
  <c r="M235" i="18" s="1"/>
  <c r="L239" i="18"/>
  <c r="M239" i="18" s="1"/>
  <c r="K260" i="18"/>
  <c r="K282" i="18"/>
  <c r="L282" i="18"/>
  <c r="M282" i="18" s="1"/>
  <c r="K290" i="18"/>
  <c r="L334" i="18"/>
  <c r="M334" i="18" s="1"/>
  <c r="K334" i="18"/>
  <c r="L354" i="18"/>
  <c r="M354" i="18" s="1"/>
  <c r="K354" i="18"/>
  <c r="L482" i="18"/>
  <c r="M482" i="18" s="1"/>
  <c r="K482" i="18"/>
  <c r="L221" i="18"/>
  <c r="M221" i="18" s="1"/>
  <c r="K221" i="18"/>
  <c r="K383" i="18"/>
  <c r="G483" i="18"/>
  <c r="K478" i="18"/>
  <c r="K325" i="18"/>
  <c r="L325" i="18"/>
  <c r="M325" i="18" s="1"/>
  <c r="K376" i="18"/>
  <c r="L376" i="18"/>
  <c r="M376" i="18" s="1"/>
  <c r="I404" i="18"/>
  <c r="L25" i="17" s="1"/>
  <c r="L423" i="18"/>
  <c r="M423" i="18" s="1"/>
  <c r="K423" i="18"/>
  <c r="G462" i="18"/>
  <c r="I439" i="18"/>
  <c r="I462" i="18" s="1"/>
  <c r="L29" i="17" s="1"/>
  <c r="K447" i="18"/>
  <c r="L447" i="18"/>
  <c r="M447" i="18" s="1"/>
  <c r="L255" i="18"/>
  <c r="M255" i="18" s="1"/>
  <c r="K259" i="18"/>
  <c r="K263" i="18"/>
  <c r="K284" i="18"/>
  <c r="G305" i="18"/>
  <c r="I305" i="18" s="1"/>
  <c r="L18" i="17" s="1"/>
  <c r="K355" i="18"/>
  <c r="L355" i="18"/>
  <c r="M355" i="18" s="1"/>
  <c r="L368" i="18"/>
  <c r="M368" i="18" s="1"/>
  <c r="K368" i="18"/>
  <c r="L441" i="18"/>
  <c r="M441" i="18" s="1"/>
  <c r="L444" i="18"/>
  <c r="M444" i="18" s="1"/>
  <c r="K444" i="18"/>
  <c r="K455" i="18"/>
  <c r="K459" i="18"/>
  <c r="L459" i="18"/>
  <c r="M459" i="18" s="1"/>
  <c r="I483" i="18"/>
  <c r="L30" i="17" s="1"/>
  <c r="L266" i="18"/>
  <c r="M266" i="18" s="1"/>
  <c r="I299" i="18"/>
  <c r="L323" i="18"/>
  <c r="M323" i="18" s="1"/>
  <c r="L328" i="18"/>
  <c r="M328" i="18" s="1"/>
  <c r="G346" i="18"/>
  <c r="I346" i="18" s="1"/>
  <c r="L21" i="17" s="1"/>
  <c r="I343" i="18"/>
  <c r="G377" i="18"/>
  <c r="I377" i="18" s="1"/>
  <c r="L23" i="17" s="1"/>
  <c r="L385" i="18"/>
  <c r="M385" i="18" s="1"/>
  <c r="L442" i="18"/>
  <c r="M442" i="18" s="1"/>
  <c r="K442" i="18"/>
  <c r="L448" i="18"/>
  <c r="M448" i="18" s="1"/>
  <c r="K448" i="18"/>
  <c r="L453" i="18"/>
  <c r="M453" i="18" s="1"/>
  <c r="K373" i="18"/>
  <c r="L373" i="18"/>
  <c r="M373" i="18" s="1"/>
  <c r="K5" i="19"/>
  <c r="L411" i="18"/>
  <c r="M411" i="18" s="1"/>
  <c r="K411" i="18"/>
  <c r="L458" i="18"/>
  <c r="M458" i="18" s="1"/>
  <c r="K458" i="18"/>
  <c r="K474" i="18"/>
  <c r="L474" i="18"/>
  <c r="M474" i="18" s="1"/>
  <c r="L390" i="18"/>
  <c r="M390" i="18" s="1"/>
  <c r="K390" i="18"/>
  <c r="L460" i="18"/>
  <c r="M460" i="18" s="1"/>
  <c r="K460" i="18"/>
  <c r="L469" i="18"/>
  <c r="M469" i="18" s="1"/>
  <c r="K469" i="18"/>
  <c r="K4" i="19"/>
  <c r="G415" i="18"/>
  <c r="L457" i="18"/>
  <c r="M457" i="18" s="1"/>
  <c r="K457" i="18"/>
  <c r="L480" i="18"/>
  <c r="M480" i="18" s="1"/>
  <c r="K480" i="18"/>
  <c r="C34" i="20"/>
  <c r="E6" i="20"/>
  <c r="E34" i="20" s="1"/>
  <c r="L412" i="18"/>
  <c r="M412" i="18" s="1"/>
  <c r="K412" i="18"/>
  <c r="L440" i="18"/>
  <c r="M440" i="18" s="1"/>
  <c r="L414" i="18"/>
  <c r="M414" i="18" s="1"/>
  <c r="K414" i="18"/>
  <c r="L200" i="18"/>
  <c r="M200" i="18" s="1"/>
  <c r="K472" i="18"/>
  <c r="K7" i="4" l="1"/>
  <c r="H118" i="4"/>
  <c r="K6" i="8"/>
  <c r="N6" i="8" s="1"/>
  <c r="H41" i="3"/>
  <c r="G118" i="4"/>
  <c r="K7" i="12"/>
  <c r="O3" i="8"/>
  <c r="O8" i="8" s="1"/>
  <c r="K293" i="9"/>
  <c r="L293" i="9" s="1"/>
  <c r="J293" i="9"/>
  <c r="E3" i="8"/>
  <c r="N4" i="8"/>
  <c r="H26" i="3"/>
  <c r="F26" i="3" s="1"/>
  <c r="J152" i="5"/>
  <c r="K152" i="5"/>
  <c r="L152" i="5" s="1"/>
  <c r="D42" i="4"/>
  <c r="B42" i="4"/>
  <c r="K573" i="5"/>
  <c r="L573" i="5" s="1"/>
  <c r="J573" i="5"/>
  <c r="D51" i="4"/>
  <c r="G9" i="13"/>
  <c r="L4" i="13"/>
  <c r="N4" i="13" s="1"/>
  <c r="H34" i="3"/>
  <c r="F34" i="3" s="1"/>
  <c r="G40" i="11"/>
  <c r="K5" i="8" s="1"/>
  <c r="K46" i="11"/>
  <c r="L46" i="11" s="1"/>
  <c r="J46" i="11"/>
  <c r="K287" i="9"/>
  <c r="L287" i="9" s="1"/>
  <c r="J287" i="9"/>
  <c r="J289" i="9"/>
  <c r="K289" i="9"/>
  <c r="L289" i="9" s="1"/>
  <c r="H171" i="7"/>
  <c r="D41" i="4"/>
  <c r="D46" i="4" s="1"/>
  <c r="D118" i="4" s="1"/>
  <c r="B41" i="4"/>
  <c r="K345" i="5"/>
  <c r="L345" i="5" s="1"/>
  <c r="J345" i="5"/>
  <c r="K263" i="9"/>
  <c r="L263" i="9" s="1"/>
  <c r="J263" i="9"/>
  <c r="M27" i="4"/>
  <c r="K20" i="4"/>
  <c r="K27" i="4" s="1"/>
  <c r="M104" i="4"/>
  <c r="J309" i="9"/>
  <c r="K309" i="9"/>
  <c r="L309" i="9" s="1"/>
  <c r="K581" i="5"/>
  <c r="L581" i="5" s="1"/>
  <c r="J581" i="5"/>
  <c r="K60" i="11"/>
  <c r="L60" i="11" s="1"/>
  <c r="J60" i="11"/>
  <c r="K167" i="9"/>
  <c r="L167" i="9" s="1"/>
  <c r="J167" i="9"/>
  <c r="I4" i="3"/>
  <c r="I346" i="14"/>
  <c r="H5" i="13" s="1"/>
  <c r="N5" i="13" s="1"/>
  <c r="K245" i="9"/>
  <c r="L245" i="9" s="1"/>
  <c r="J245" i="9"/>
  <c r="K58" i="11"/>
  <c r="L58" i="11" s="1"/>
  <c r="J58" i="11"/>
  <c r="K319" i="9"/>
  <c r="L319" i="9" s="1"/>
  <c r="J319" i="9"/>
  <c r="M84" i="4"/>
  <c r="H617" i="5"/>
  <c r="I15" i="3" s="1"/>
  <c r="F15" i="3" s="1"/>
  <c r="M71" i="4"/>
  <c r="K71" i="4" s="1"/>
  <c r="K104" i="4"/>
  <c r="J594" i="5"/>
  <c r="K594" i="5"/>
  <c r="L594" i="5" s="1"/>
  <c r="K7" i="18"/>
  <c r="L3" i="17"/>
  <c r="L33" i="17" s="1"/>
  <c r="J322" i="9"/>
  <c r="K322" i="9"/>
  <c r="L322" i="9" s="1"/>
  <c r="K191" i="9"/>
  <c r="L191" i="9" s="1"/>
  <c r="J191" i="9"/>
  <c r="J185" i="9"/>
  <c r="K185" i="9"/>
  <c r="L185" i="9" s="1"/>
  <c r="J217" i="9"/>
  <c r="K217" i="9"/>
  <c r="L217" i="9" s="1"/>
  <c r="H329" i="9"/>
  <c r="E7" i="8" s="1"/>
  <c r="K562" i="5"/>
  <c r="L562" i="5" s="1"/>
  <c r="J562" i="5"/>
  <c r="H586" i="5"/>
  <c r="I14" i="3" s="1"/>
  <c r="F14" i="3" s="1"/>
  <c r="M75" i="4"/>
  <c r="L6" i="13"/>
  <c r="N6" i="13" s="1"/>
  <c r="H36" i="3"/>
  <c r="F36" i="3" s="1"/>
  <c r="M10" i="4"/>
  <c r="M114" i="4"/>
  <c r="K114" i="4" s="1"/>
  <c r="K30" i="4"/>
  <c r="K36" i="4" s="1"/>
  <c r="M36" i="4"/>
  <c r="J285" i="9"/>
  <c r="K285" i="9"/>
  <c r="L285" i="9" s="1"/>
  <c r="M113" i="4"/>
  <c r="K570" i="5"/>
  <c r="L570" i="5" s="1"/>
  <c r="J570" i="5"/>
  <c r="K52" i="15"/>
  <c r="L52" i="15" s="1"/>
  <c r="J52" i="15"/>
  <c r="K301" i="9"/>
  <c r="L301" i="9" s="1"/>
  <c r="J301" i="9"/>
  <c r="H27" i="4"/>
  <c r="G20" i="4"/>
  <c r="G27" i="4" s="1"/>
  <c r="B104" i="4"/>
  <c r="M13" i="4"/>
  <c r="K13" i="4" s="1"/>
  <c r="K215" i="9"/>
  <c r="L215" i="9" s="1"/>
  <c r="J215" i="9"/>
  <c r="M95" i="4"/>
  <c r="K92" i="4"/>
  <c r="K95" i="4" s="1"/>
  <c r="H46" i="4"/>
  <c r="G39" i="4"/>
  <c r="G46" i="4" s="1"/>
  <c r="M57" i="4"/>
  <c r="M7" i="4"/>
  <c r="H3" i="13"/>
  <c r="J150" i="5"/>
  <c r="K150" i="5"/>
  <c r="L150" i="5" s="1"/>
  <c r="J300" i="9"/>
  <c r="K300" i="9"/>
  <c r="L300" i="9" s="1"/>
  <c r="K48" i="11"/>
  <c r="L48" i="11" s="1"/>
  <c r="J48" i="11"/>
  <c r="K39" i="11"/>
  <c r="L39" i="11" s="1"/>
  <c r="J39" i="11"/>
  <c r="K26" i="15"/>
  <c r="L26" i="15" s="1"/>
  <c r="J26" i="15"/>
  <c r="K56" i="11"/>
  <c r="L56" i="11" s="1"/>
  <c r="J56" i="11"/>
  <c r="J276" i="9"/>
  <c r="K276" i="9"/>
  <c r="L276" i="9" s="1"/>
  <c r="D8" i="8"/>
  <c r="M4" i="8"/>
  <c r="M8" i="8" s="1"/>
  <c r="J324" i="9"/>
  <c r="K324" i="9"/>
  <c r="L324" i="9" s="1"/>
  <c r="K3" i="8"/>
  <c r="K5" i="11"/>
  <c r="K311" i="9"/>
  <c r="L311" i="9" s="1"/>
  <c r="J311" i="9"/>
  <c r="J115" i="5"/>
  <c r="K115" i="5"/>
  <c r="L115" i="5" s="1"/>
  <c r="J90" i="5"/>
  <c r="K90" i="5"/>
  <c r="L90" i="5" s="1"/>
  <c r="M70" i="4"/>
  <c r="K565" i="5"/>
  <c r="L565" i="5" s="1"/>
  <c r="J565" i="5"/>
  <c r="K88" i="4"/>
  <c r="K89" i="4" s="1"/>
  <c r="M89" i="4"/>
  <c r="K46" i="4"/>
  <c r="K57" i="4"/>
  <c r="K50" i="15"/>
  <c r="L50" i="15" s="1"/>
  <c r="J50" i="15"/>
  <c r="J298" i="9"/>
  <c r="K298" i="9"/>
  <c r="L298" i="9" s="1"/>
  <c r="K233" i="9"/>
  <c r="L233" i="9" s="1"/>
  <c r="J233" i="9"/>
  <c r="B39" i="4"/>
  <c r="B46" i="4" s="1"/>
  <c r="B118" i="4" s="1"/>
  <c r="E46" i="4"/>
  <c r="E118" i="4" s="1"/>
  <c r="G61" i="11"/>
  <c r="K7" i="8" s="1"/>
  <c r="H18" i="15"/>
  <c r="J286" i="9"/>
  <c r="K286" i="9"/>
  <c r="L286" i="9" s="1"/>
  <c r="J205" i="9"/>
  <c r="K205" i="9"/>
  <c r="L205" i="9" s="1"/>
  <c r="J101" i="5"/>
  <c r="K101" i="5"/>
  <c r="L101" i="5" s="1"/>
  <c r="F19" i="3"/>
  <c r="H746" i="5"/>
  <c r="I20" i="3" s="1"/>
  <c r="K554" i="5"/>
  <c r="L554" i="5" s="1"/>
  <c r="J554" i="5"/>
  <c r="B57" i="4"/>
  <c r="M46" i="4"/>
  <c r="D10" i="2"/>
  <c r="J260" i="9"/>
  <c r="K260" i="9"/>
  <c r="L260" i="9" s="1"/>
  <c r="K5" i="6"/>
  <c r="J3" i="2" s="1"/>
  <c r="J10" i="2" s="1"/>
  <c r="H3" i="2"/>
  <c r="H5" i="1"/>
  <c r="J17" i="15"/>
  <c r="K17" i="15"/>
  <c r="L17" i="15" s="1"/>
  <c r="K5" i="12"/>
  <c r="H3" i="8"/>
  <c r="M9" i="13"/>
  <c r="J37" i="11"/>
  <c r="K37" i="11"/>
  <c r="L37" i="11" s="1"/>
  <c r="J237" i="9"/>
  <c r="K237" i="9"/>
  <c r="L237" i="9" s="1"/>
  <c r="L8" i="8"/>
  <c r="B25" i="3"/>
  <c r="B28" i="3" s="1"/>
  <c r="H402" i="5"/>
  <c r="I7" i="3" s="1"/>
  <c r="F7" i="3" s="1"/>
  <c r="K557" i="5"/>
  <c r="L557" i="5" s="1"/>
  <c r="J557" i="5"/>
  <c r="C78" i="3"/>
  <c r="I22" i="3" l="1"/>
  <c r="F4" i="3"/>
  <c r="N3" i="8"/>
  <c r="H8" i="8"/>
  <c r="G25" i="3"/>
  <c r="H30" i="3"/>
  <c r="G4" i="2" s="1"/>
  <c r="N7" i="8"/>
  <c r="I30" i="3" s="1"/>
  <c r="I4" i="2" s="1"/>
  <c r="H43" i="3"/>
  <c r="G7" i="2" s="1"/>
  <c r="F41" i="3"/>
  <c r="F43" i="3" s="1"/>
  <c r="M80" i="4"/>
  <c r="K75" i="4"/>
  <c r="K80" i="4" s="1"/>
  <c r="H20" i="3"/>
  <c r="L3" i="7"/>
  <c r="F30" i="3"/>
  <c r="C4" i="2"/>
  <c r="K7" i="14"/>
  <c r="M72" i="4"/>
  <c r="K70" i="4"/>
  <c r="K72" i="4" s="1"/>
  <c r="M116" i="4"/>
  <c r="K113" i="4"/>
  <c r="K116" i="4" s="1"/>
  <c r="N5" i="8"/>
  <c r="H27" i="3"/>
  <c r="F27" i="3" s="1"/>
  <c r="K7" i="9"/>
  <c r="B78" i="3"/>
  <c r="B5" i="2"/>
  <c r="B10" i="2" s="1"/>
  <c r="B5" i="1" s="1"/>
  <c r="E28" i="3"/>
  <c r="K5" i="5"/>
  <c r="K84" i="4"/>
  <c r="K85" i="4" s="1"/>
  <c r="M85" i="4"/>
  <c r="E8" i="8"/>
  <c r="H9" i="13"/>
  <c r="K10" i="4"/>
  <c r="K17" i="4" s="1"/>
  <c r="K118" i="4" s="1"/>
  <c r="M17" i="4"/>
  <c r="M118" i="4" s="1"/>
  <c r="L3" i="13"/>
  <c r="H33" i="3"/>
  <c r="K8" i="8"/>
  <c r="H25" i="3"/>
  <c r="H28" i="3" l="1"/>
  <c r="N8" i="8"/>
  <c r="I5" i="1"/>
  <c r="I3" i="2"/>
  <c r="I10" i="2" s="1"/>
  <c r="I78" i="3"/>
  <c r="F25" i="3"/>
  <c r="F28" i="3" s="1"/>
  <c r="G28" i="3"/>
  <c r="H5" i="2"/>
  <c r="H10" i="2" s="1"/>
  <c r="E78" i="3"/>
  <c r="F33" i="3"/>
  <c r="F38" i="3" s="1"/>
  <c r="C6" i="2" s="1"/>
  <c r="H38" i="3"/>
  <c r="G6" i="2" s="1"/>
  <c r="L9" i="13"/>
  <c r="N3" i="13"/>
  <c r="N9" i="13" s="1"/>
  <c r="F20" i="3"/>
  <c r="H22" i="3"/>
  <c r="E5" i="2" l="1"/>
  <c r="E10" i="2" s="1"/>
  <c r="G78" i="3"/>
  <c r="C5" i="2"/>
  <c r="G5" i="1"/>
  <c r="G3" i="2"/>
  <c r="F22" i="3"/>
  <c r="C3" i="2" s="1"/>
  <c r="C10" i="2" s="1"/>
  <c r="C5" i="1" s="1"/>
  <c r="H78" i="3"/>
  <c r="G5" i="2"/>
  <c r="G10" i="2" l="1"/>
  <c r="F7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tc={ba6b4240-6ff3-41ed-b9fd-1e2f03cc0439}</author>
  </authors>
  <commentList>
    <comment ref="A1" authorId="0" shapeId="0" xr:uid="{BA6B4240-6FF3-41ED-B9FD-1E2F03CC043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a total?
Reply:
	yes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tc={1581ebac-bb21-441b-825f-ea2fb580a3cb}</author>
  </authors>
  <commentList>
    <comment ref="I28" authorId="0" shapeId="0" xr:uid="{1581EBAC-BB21-441B-825F-EA2FB580A3C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doesn't include Ricciarini cord lace. Is this correct?
Reply:
	Yes. However i need to find a way to put this into the stock list. I have add it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tc={701a88fd-c7e4-4565-a4f1-7986a72de5de}</author>
  </authors>
  <commentList>
    <comment ref="K6" authorId="0" shapeId="0" xr:uid="{701A88FD-C7E4-4565-A4F1-7986A72DE5D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Price for 5 Mt Bal in office
</t>
        </r>
      </text>
    </comment>
  </commentList>
</comments>
</file>

<file path=xl/sharedStrings.xml><?xml version="1.0" encoding="utf-8"?>
<sst xmlns="http://schemas.openxmlformats.org/spreadsheetml/2006/main" count="10066" uniqueCount="4695">
  <si>
    <t xml:space="preserve"> </t>
  </si>
  <si>
    <t>OVERVIEW</t>
  </si>
  <si>
    <t>ITEM</t>
  </si>
  <si>
    <t># TOTAL</t>
  </si>
  <si>
    <t>TOTAL COST VALUE</t>
  </si>
  <si>
    <t># SOLD THIS MONTH</t>
  </si>
  <si>
    <t>SOLD RETAIL VALUE THIS MONTH</t>
  </si>
  <si>
    <t># PENDING</t>
  </si>
  <si>
    <t>PENDING COST VALUE</t>
  </si>
  <si>
    <t xml:space="preserve"># AVAILABLE STOCK          </t>
  </si>
  <si>
    <t>AVAILABLE STOCK VALUE</t>
  </si>
  <si>
    <t>Profit &amp; Loss Explination</t>
  </si>
  <si>
    <t>STOCK</t>
  </si>
  <si>
    <t>TOTAL STOCK</t>
  </si>
  <si>
    <t>COSTS</t>
  </si>
  <si>
    <t xml:space="preserve">FIXED COSTS THIS MONTH </t>
  </si>
  <si>
    <t>EXPENSES THIS MONTH</t>
  </si>
  <si>
    <t>MARKETING COSTS THIS MONTH</t>
  </si>
  <si>
    <t>INCOME</t>
  </si>
  <si>
    <t>INCOME THIS MONTH</t>
  </si>
  <si>
    <t>P&amp;L</t>
  </si>
  <si>
    <t>PROFIT / LOSS THIS MONTH</t>
  </si>
  <si>
    <t>TOTAL STOCK OVERVIEW</t>
  </si>
  <si>
    <t># SOLD</t>
  </si>
  <si>
    <t>SOLD COST VALUE</t>
  </si>
  <si>
    <t>NET PROFIT AFTER COST</t>
  </si>
  <si>
    <t>TOTAL</t>
  </si>
  <si>
    <t>PENDING</t>
  </si>
  <si>
    <t>OFFICE STOCK REPORT</t>
  </si>
  <si>
    <t>AVAILABLE STOCK COST VALUE</t>
  </si>
  <si>
    <t>1. SILK</t>
  </si>
  <si>
    <t>M&amp;M 1-70</t>
  </si>
  <si>
    <t>ARGOMENTI (ARGO)</t>
  </si>
  <si>
    <t>ALBERTI(ALB)</t>
  </si>
  <si>
    <t>MARITEX (MAR)</t>
  </si>
  <si>
    <t>NELLA</t>
  </si>
  <si>
    <t>AVANTGARD (AVAN)</t>
  </si>
  <si>
    <t>CASA DELLO (CASA)</t>
  </si>
  <si>
    <t>STYLE SILK (STYL)</t>
  </si>
  <si>
    <t xml:space="preserve"> INCOMO (INCO)</t>
  </si>
  <si>
    <t>CARNET (UG)</t>
  </si>
  <si>
    <t>CAVALLI+TGM+ROTARY</t>
  </si>
  <si>
    <t>RUFFO (RUFF)</t>
  </si>
  <si>
    <t>SETERIE GR(SETE)</t>
  </si>
  <si>
    <t>TESSILE(TESSI)</t>
  </si>
  <si>
    <t>QUORUM(QUO)</t>
  </si>
  <si>
    <t>SILKOMO (SILKO)</t>
  </si>
  <si>
    <t>NO CODE (NC)</t>
  </si>
  <si>
    <t>SILK TOTAL</t>
  </si>
  <si>
    <t>2. LACE</t>
  </si>
  <si>
    <t>PLAIN LACE (PL)</t>
  </si>
  <si>
    <t>LUREXLACE (LL)</t>
  </si>
  <si>
    <t>CASA DELLO (CD)</t>
  </si>
  <si>
    <t>LACE TOTAL</t>
  </si>
  <si>
    <t>RICCIARINI CORD LACE (70)</t>
  </si>
  <si>
    <t>3. CEMB</t>
  </si>
  <si>
    <t>CEMB 40</t>
  </si>
  <si>
    <t>CEMB 60</t>
  </si>
  <si>
    <t>CEMB 120</t>
  </si>
  <si>
    <t>CEMB 180</t>
  </si>
  <si>
    <t>LACE (CEMB) TOTAL</t>
  </si>
  <si>
    <t>4. BEIRUT</t>
  </si>
  <si>
    <t>LACE (BEIRUT)</t>
  </si>
  <si>
    <t>BEIRUT TOTAL</t>
  </si>
  <si>
    <t>5. EMBROIDERY</t>
  </si>
  <si>
    <t>RICAMIFICIO PAOLO (RIC-P)</t>
  </si>
  <si>
    <t>HOFERHECHT (HOFE)</t>
  </si>
  <si>
    <t>ALDOBIANCHI (ALDO)</t>
  </si>
  <si>
    <t>RICAMIFICIO GUEGAIN (RIC-G)</t>
  </si>
  <si>
    <t>QUORUM (QUO)</t>
  </si>
  <si>
    <t>RICAMIFICIO BRAGA &amp; ASPESI (ASPE)</t>
  </si>
  <si>
    <t>RICAMIFICIO CANDELLI (CAND)</t>
  </si>
  <si>
    <t>UNICRAFT (UNI)</t>
  </si>
  <si>
    <t>OKU TEX AG (OKU)</t>
  </si>
  <si>
    <t>RICAMIFICIO GIMAR (RIC-GIM)</t>
  </si>
  <si>
    <t xml:space="preserve">DISENO &amp; ELIESAAB (DIS) </t>
  </si>
  <si>
    <t>RICAMIFICIO BRAGA (R-BR)</t>
  </si>
  <si>
    <t>VEMA (VEM)</t>
  </si>
  <si>
    <t>TGM EMBROIDERY BORDER (TGM-B)</t>
  </si>
  <si>
    <t>MURARAKA (MURA)</t>
  </si>
  <si>
    <t>LAGATOLA (LAGA)</t>
  </si>
  <si>
    <t>SHAGUN (SHA)</t>
  </si>
  <si>
    <t>SOLSTISS (SID)</t>
  </si>
  <si>
    <t>SOLSTISS (ORIGINAL)</t>
  </si>
  <si>
    <t>TGM SILK (TGM)</t>
  </si>
  <si>
    <t>TGM WITH BORDER</t>
  </si>
  <si>
    <t>NEC EMBROIDERY (NEC)</t>
  </si>
  <si>
    <t>RUFFO COLI (RUFF)</t>
  </si>
  <si>
    <t>QUORUM EMBROIDERY</t>
  </si>
  <si>
    <t xml:space="preserve">ALB 6, MAR 1, EMB 17, STY 2 </t>
  </si>
  <si>
    <t>EMBROIDERY TOTAL</t>
  </si>
  <si>
    <t>VALUE</t>
  </si>
  <si>
    <t>NOTES</t>
  </si>
  <si>
    <t>Mr Cetin</t>
  </si>
  <si>
    <t>Ms Klara &amp; Ms Silvia</t>
  </si>
  <si>
    <t>TENGKU SHERRY</t>
  </si>
  <si>
    <t>VIP SET-13 ( invoice)</t>
  </si>
  <si>
    <t>VIP SET-14 ( invoice)</t>
  </si>
  <si>
    <t>VIP SET-15 ( invoice)</t>
  </si>
  <si>
    <t>TOTAL BOXES</t>
  </si>
  <si>
    <t xml:space="preserve">BOXES SOLD </t>
  </si>
  <si>
    <t>TOTAL BOXES IN OFFICE</t>
  </si>
  <si>
    <t>BOXES AVAILABLE</t>
  </si>
  <si>
    <t>BOXES PENDING</t>
  </si>
  <si>
    <t>TOTAL METERS</t>
  </si>
  <si>
    <t>TOTAL METERS IN OFFICE</t>
  </si>
  <si>
    <t>TOTAL METERS IN SOLD</t>
  </si>
  <si>
    <t>TOTAL METERS PENDING</t>
  </si>
  <si>
    <t>TOTAL COST VALUE MYR</t>
  </si>
  <si>
    <t>TOTAL COST VALUE OF SOLD</t>
  </si>
  <si>
    <t>TOTAL COST VALUE IN OFFICE MYR</t>
  </si>
  <si>
    <t>TOTAL COST VALUE OF PENDING</t>
  </si>
  <si>
    <t>CDC</t>
  </si>
  <si>
    <t>GEORGETTE</t>
  </si>
  <si>
    <t>CHIFFON</t>
  </si>
  <si>
    <t>SATIN</t>
  </si>
  <si>
    <t>M&amp;M 1-70 TOTAL</t>
  </si>
  <si>
    <t>LUREX</t>
  </si>
  <si>
    <t>LUREX_CHIFFON</t>
  </si>
  <si>
    <t>JACQUARD</t>
  </si>
  <si>
    <t>ARGOMENTI (ARGO) TOTAL</t>
  </si>
  <si>
    <t>ALBERTI (ALB)</t>
  </si>
  <si>
    <t>CADY</t>
  </si>
  <si>
    <t>ALBERTI (ALB) TOTAL</t>
  </si>
  <si>
    <t>PRINTED_LACE</t>
  </si>
  <si>
    <t>MARITEX (MAR) TOTAL</t>
  </si>
  <si>
    <t>TWILLCDC</t>
  </si>
  <si>
    <t>PRINTED_SILK</t>
  </si>
  <si>
    <t>NELLA TOTAL</t>
  </si>
  <si>
    <t>AVANTGARD (AVAN) TOTAL</t>
  </si>
  <si>
    <t>CASA DELLO (CASA) TOTAL</t>
  </si>
  <si>
    <t>STYLE SILK (STYL) TOTAL</t>
  </si>
  <si>
    <t>INCOMO (INCO)</t>
  </si>
  <si>
    <t>JACAURD</t>
  </si>
  <si>
    <t>CARNET (UG) TOTAL</t>
  </si>
  <si>
    <t>MILANO_SATIN</t>
  </si>
  <si>
    <t>FIL_COUPE</t>
  </si>
  <si>
    <t>GOLD_LUREX</t>
  </si>
  <si>
    <t>CAVALLI+TGM+ROTARY TOTAL</t>
  </si>
  <si>
    <t>LUREX_ON_CHIFFON_DELUX</t>
  </si>
  <si>
    <t>RUFFO (RUFF) TOTAL</t>
  </si>
  <si>
    <t>SETERIE GR(SETE) TOTAL</t>
  </si>
  <si>
    <t>TESSILE(TESSI) TOTAL</t>
  </si>
  <si>
    <t>SATIN_JACQUARD</t>
  </si>
  <si>
    <t>QUORUM(QUO) TOTAL</t>
  </si>
  <si>
    <t>NO CODE (NC) TOTAL</t>
  </si>
  <si>
    <t xml:space="preserve">UPDATED ON </t>
  </si>
  <si>
    <t>UPDATED BY IBRAHIM</t>
  </si>
  <si>
    <t>DESCRIPTION 31 OCT 2024</t>
  </si>
  <si>
    <t>PIECES</t>
  </si>
  <si>
    <t>VIP-M</t>
  </si>
  <si>
    <t>NOTED: SOME LINEATRE (LINEA) NOT LISTED .COZ OF SHORT PIECES</t>
  </si>
  <si>
    <t>1058</t>
  </si>
  <si>
    <t>Sherry - S</t>
  </si>
  <si>
    <r>
      <rPr>
        <b/>
        <sz val="11"/>
        <color rgb="FF000000"/>
        <rFont val="Montserrat"/>
      </rPr>
      <t>PENDING</t>
    </r>
    <r>
      <rPr>
        <b/>
        <sz val="11"/>
        <color rgb="FFFF0000"/>
        <rFont val="Montserrat"/>
      </rPr>
      <t xml:space="preserve">-P </t>
    </r>
  </si>
  <si>
    <t>RESERVED (M-30+30+20)</t>
  </si>
  <si>
    <t>Angie - A</t>
  </si>
  <si>
    <t>PENDING OUT OFFICE( C-30,K-4,FK-43)</t>
  </si>
  <si>
    <t>Fong king - FK</t>
  </si>
  <si>
    <t>Total Cost</t>
  </si>
  <si>
    <t>SOLD</t>
  </si>
  <si>
    <t>Bani -B</t>
  </si>
  <si>
    <t>AVAILABLE</t>
  </si>
  <si>
    <t>MR. Cetin- C</t>
  </si>
  <si>
    <t>MS. KLARA-K</t>
  </si>
  <si>
    <t>NO</t>
  </si>
  <si>
    <t>DESIGN</t>
  </si>
  <si>
    <t xml:space="preserve">ARTICLE </t>
  </si>
  <si>
    <t>QUALITY</t>
  </si>
  <si>
    <t>QTY</t>
  </si>
  <si>
    <r>
      <rPr>
        <b/>
        <sz val="11"/>
        <color rgb="FF000000"/>
        <rFont val="Montserrat"/>
      </rPr>
      <t xml:space="preserve">COST PER MT  </t>
    </r>
    <r>
      <rPr>
        <b/>
        <sz val="11"/>
        <color rgb="FF000000"/>
        <rFont val="Montserrat"/>
      </rPr>
      <t>EURO</t>
    </r>
  </si>
  <si>
    <r>
      <rPr>
        <b/>
        <sz val="11"/>
        <color rgb="FF000000"/>
        <rFont val="Montserrat"/>
      </rPr>
      <t xml:space="preserve">COST PER MT </t>
    </r>
    <r>
      <rPr>
        <b/>
        <sz val="11"/>
        <color rgb="FF000000"/>
        <rFont val="Montserrat"/>
      </rPr>
      <t>RM</t>
    </r>
    <r>
      <rPr>
        <b/>
        <sz val="11"/>
        <color rgb="FF000000"/>
        <rFont val="Montserrat"/>
      </rPr>
      <t xml:space="preserve">  </t>
    </r>
  </si>
  <si>
    <t>COST PIECE RM</t>
  </si>
  <si>
    <r>
      <rPr>
        <b/>
        <sz val="11"/>
        <color rgb="FF000000"/>
        <rFont val="Montserrat"/>
      </rPr>
      <t xml:space="preserve">V.I.P PER MT </t>
    </r>
    <r>
      <rPr>
        <b/>
        <sz val="11"/>
        <color rgb="FF000000"/>
        <rFont val="Montserrat"/>
      </rPr>
      <t>RM</t>
    </r>
    <r>
      <rPr>
        <b/>
        <sz val="11"/>
        <color rgb="FF000000"/>
        <rFont val="Montserrat"/>
      </rPr>
      <t xml:space="preserve">  </t>
    </r>
  </si>
  <si>
    <r>
      <rPr>
        <b/>
        <sz val="11"/>
        <color rgb="FF000000"/>
        <rFont val="Montserrat"/>
      </rPr>
      <t xml:space="preserve">V.I.P PIECE </t>
    </r>
    <r>
      <rPr>
        <b/>
        <sz val="11"/>
        <color rgb="FF000000"/>
        <rFont val="Montserrat"/>
      </rPr>
      <t>RM</t>
    </r>
  </si>
  <si>
    <t>SELLING PER MT RM  LESS 50%</t>
  </si>
  <si>
    <r>
      <rPr>
        <b/>
        <sz val="11"/>
        <color rgb="FF000000"/>
        <rFont val="Montserrat"/>
      </rPr>
      <t xml:space="preserve">SELLING PIECE </t>
    </r>
    <r>
      <rPr>
        <b/>
        <sz val="11"/>
        <color rgb="FF000000"/>
        <rFont val="Montserrat"/>
      </rPr>
      <t>RM</t>
    </r>
  </si>
  <si>
    <t>SOLD TO</t>
  </si>
  <si>
    <t>VSS-1A</t>
  </si>
  <si>
    <t>ALB-103A</t>
  </si>
  <si>
    <t>VSS-3A</t>
  </si>
  <si>
    <t>AVAN-18A</t>
  </si>
  <si>
    <t>VSS-4A</t>
  </si>
  <si>
    <t>AVAN-39A</t>
  </si>
  <si>
    <t>NOO-4B</t>
  </si>
  <si>
    <t>AVAN-39B</t>
  </si>
  <si>
    <t>VSS-5A</t>
  </si>
  <si>
    <t>AVAN-16</t>
  </si>
  <si>
    <t>VSS-6A</t>
  </si>
  <si>
    <t>AVAN-35A</t>
  </si>
  <si>
    <t>NOO-6B</t>
  </si>
  <si>
    <t>AVAN-35B</t>
  </si>
  <si>
    <t>VSS-7A</t>
  </si>
  <si>
    <t>AVAN-24A</t>
  </si>
  <si>
    <t>NOO-7B</t>
  </si>
  <si>
    <t>AVAN-24B</t>
  </si>
  <si>
    <t>VSS-10A</t>
  </si>
  <si>
    <t>INCO-24A</t>
  </si>
  <si>
    <t>VSS-13A</t>
  </si>
  <si>
    <t>INCO-15A</t>
  </si>
  <si>
    <t>NOO-13B</t>
  </si>
  <si>
    <t>INCO-15B</t>
  </si>
  <si>
    <t>VSS-15A</t>
  </si>
  <si>
    <t>INCO-20A</t>
  </si>
  <si>
    <t>NOO-15B</t>
  </si>
  <si>
    <t>INCO-20B</t>
  </si>
  <si>
    <t>VSS-16A</t>
  </si>
  <si>
    <t>INCO-19A</t>
  </si>
  <si>
    <t>NOO-16B</t>
  </si>
  <si>
    <t>INCO-19B</t>
  </si>
  <si>
    <t>VSS-19A</t>
  </si>
  <si>
    <t>INCO-16A</t>
  </si>
  <si>
    <t>NOO-19B</t>
  </si>
  <si>
    <t>INCO-16B</t>
  </si>
  <si>
    <t>VSS-20A</t>
  </si>
  <si>
    <t>INCO-21A</t>
  </si>
  <si>
    <t>NOO-20B</t>
  </si>
  <si>
    <t>INCO-21B</t>
  </si>
  <si>
    <t>VSS-25A</t>
  </si>
  <si>
    <t>STYL-20A</t>
  </si>
  <si>
    <t>NOO-25B</t>
  </si>
  <si>
    <t>STYL-20B</t>
  </si>
  <si>
    <t>VSS-32A</t>
  </si>
  <si>
    <t>QUORUM-154A</t>
  </si>
  <si>
    <t>VSS-36A</t>
  </si>
  <si>
    <t>ARGO-52A</t>
  </si>
  <si>
    <t>NOO-36B</t>
  </si>
  <si>
    <t>ARGO-52B</t>
  </si>
  <si>
    <t>VSS-37A</t>
  </si>
  <si>
    <t>ARGO-54A</t>
  </si>
  <si>
    <t>NOO-37B</t>
  </si>
  <si>
    <t>ARGO-54B</t>
  </si>
  <si>
    <t>VSS-38A</t>
  </si>
  <si>
    <t>ARGO-59A</t>
  </si>
  <si>
    <t>IUS-38B</t>
  </si>
  <si>
    <t>ARGO-59B</t>
  </si>
  <si>
    <t>VSS-39A</t>
  </si>
  <si>
    <t>ARGO-64A</t>
  </si>
  <si>
    <t>NOO-39B</t>
  </si>
  <si>
    <t>ARGO-64B</t>
  </si>
  <si>
    <t>VSS-40A</t>
  </si>
  <si>
    <t>ARGO-61A</t>
  </si>
  <si>
    <t>NOO-40B</t>
  </si>
  <si>
    <t>ARGO-61B</t>
  </si>
  <si>
    <t>VSS-41A</t>
  </si>
  <si>
    <t>ARGO-56A</t>
  </si>
  <si>
    <t>NOO-41B</t>
  </si>
  <si>
    <t>ARGO-56B</t>
  </si>
  <si>
    <t>VSS-42A</t>
  </si>
  <si>
    <t>MAR-125A</t>
  </si>
  <si>
    <t>NGS-42B</t>
  </si>
  <si>
    <t>MAR-125B</t>
  </si>
  <si>
    <t>VSS-43A</t>
  </si>
  <si>
    <t>MAR-101A</t>
  </si>
  <si>
    <t>RUG-43B</t>
  </si>
  <si>
    <t>MAR-101B</t>
  </si>
  <si>
    <t>VSS-44A</t>
  </si>
  <si>
    <t>MAR-119A</t>
  </si>
  <si>
    <t>RUG-44B</t>
  </si>
  <si>
    <t>MAR-119B</t>
  </si>
  <si>
    <t>VSS-45A</t>
  </si>
  <si>
    <t>MAR-115A</t>
  </si>
  <si>
    <t>RUG-45B</t>
  </si>
  <si>
    <t>MAR-115B</t>
  </si>
  <si>
    <t>VSS-46A</t>
  </si>
  <si>
    <t>MAR-103A</t>
  </si>
  <si>
    <t>RUG-46B</t>
  </si>
  <si>
    <t>MAR-103B</t>
  </si>
  <si>
    <t>VSS-48A</t>
  </si>
  <si>
    <t>MAR-107A</t>
  </si>
  <si>
    <t>RUG-48B</t>
  </si>
  <si>
    <t>MAR-107B</t>
  </si>
  <si>
    <t>RUG-49B</t>
  </si>
  <si>
    <t>MAR-105B</t>
  </si>
  <si>
    <t>VSS-50A</t>
  </si>
  <si>
    <t>MAR-109A</t>
  </si>
  <si>
    <t>RUG-50B</t>
  </si>
  <si>
    <t>MAR-109B</t>
  </si>
  <si>
    <t>VSS-51A</t>
  </si>
  <si>
    <t>MAR-104A</t>
  </si>
  <si>
    <t>RUG-51B</t>
  </si>
  <si>
    <t>MAR-104B</t>
  </si>
  <si>
    <t>VSS-52A</t>
  </si>
  <si>
    <t>MAR-113A</t>
  </si>
  <si>
    <t>RUG-52B</t>
  </si>
  <si>
    <t>MAR-113B</t>
  </si>
  <si>
    <t>DSRS-53A</t>
  </si>
  <si>
    <t>ALB-92A</t>
  </si>
  <si>
    <t>DSGS-55A</t>
  </si>
  <si>
    <t>ALB-91A</t>
  </si>
  <si>
    <t>NNS-55B</t>
  </si>
  <si>
    <t>ALB-91B</t>
  </si>
  <si>
    <t>VVS-56A</t>
  </si>
  <si>
    <t>ALB-64A</t>
  </si>
  <si>
    <t>NOO-56B</t>
  </si>
  <si>
    <t>ALB-64B</t>
  </si>
  <si>
    <t>VVS-58A</t>
  </si>
  <si>
    <t>ALB-61A</t>
  </si>
  <si>
    <t>IUB-60A</t>
  </si>
  <si>
    <t>ALB-38A</t>
  </si>
  <si>
    <t>NNO-60B</t>
  </si>
  <si>
    <t>ALB-38B</t>
  </si>
  <si>
    <t>VVS-61A</t>
  </si>
  <si>
    <t>ALB-86A</t>
  </si>
  <si>
    <t>IUS-61B</t>
  </si>
  <si>
    <t>ALB-86B</t>
  </si>
  <si>
    <t>VVS-64A</t>
  </si>
  <si>
    <t>ALB-19A</t>
  </si>
  <si>
    <t>NOO-64B</t>
  </si>
  <si>
    <t>ALB-19B</t>
  </si>
  <si>
    <t>IIS-65A</t>
  </si>
  <si>
    <t>ALB-16A</t>
  </si>
  <si>
    <t>AES-65B</t>
  </si>
  <si>
    <t>ALB-16B</t>
  </si>
  <si>
    <t>VSS-66A</t>
  </si>
  <si>
    <t>ALB-90A</t>
  </si>
  <si>
    <t>NOO-66B</t>
  </si>
  <si>
    <t>ALB-90B</t>
  </si>
  <si>
    <t>TOTAL COST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</si>
  <si>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</si>
  <si>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</si>
  <si>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</si>
  <si>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</si>
  <si>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</si>
  <si>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DUSS-101A</t>
  </si>
  <si>
    <t>ARGO-31</t>
  </si>
  <si>
    <t>VVS-101B</t>
  </si>
  <si>
    <t>ARGO-31A</t>
  </si>
  <si>
    <t>DUSS-102A</t>
  </si>
  <si>
    <t>ARGO-33</t>
  </si>
  <si>
    <t>DDSS-103A</t>
  </si>
  <si>
    <t>ARGO-32</t>
  </si>
  <si>
    <t>VVS-103B</t>
  </si>
  <si>
    <t>ARGO-32A</t>
  </si>
  <si>
    <t>DSSS-104A</t>
  </si>
  <si>
    <t>ARGO-17</t>
  </si>
  <si>
    <t>DUSS-104B</t>
  </si>
  <si>
    <t>ARGO-17A</t>
  </si>
  <si>
    <t>DSSS-105A</t>
  </si>
  <si>
    <t>ARGO-11</t>
  </si>
  <si>
    <t>DUSS-105B</t>
  </si>
  <si>
    <t>ARGO-11A</t>
  </si>
  <si>
    <t>DSSS-106A</t>
  </si>
  <si>
    <t>ARGO-16</t>
  </si>
  <si>
    <t>VVS-106B</t>
  </si>
  <si>
    <t>ARGO-16A</t>
  </si>
  <si>
    <t>DSSS-107A</t>
  </si>
  <si>
    <t>ARGO-12</t>
  </si>
  <si>
    <t>ENS-107B</t>
  </si>
  <si>
    <t>ARGO-12A</t>
  </si>
  <si>
    <t>DSSS-108A</t>
  </si>
  <si>
    <t>ARGO-5</t>
  </si>
  <si>
    <t>VVS-108B</t>
  </si>
  <si>
    <t>ARGO-5A</t>
  </si>
  <si>
    <t>ENS-109A</t>
  </si>
  <si>
    <t>ARGO-48</t>
  </si>
  <si>
    <t>VVS-109B</t>
  </si>
  <si>
    <t>ARGO-48A</t>
  </si>
  <si>
    <t>DSSS-110A</t>
  </si>
  <si>
    <t>ARGO-24</t>
  </si>
  <si>
    <t>DDSS-110B</t>
  </si>
  <si>
    <t>ARGO-24A</t>
  </si>
  <si>
    <t>DSSS-111A</t>
  </si>
  <si>
    <t>ARGO-25</t>
  </si>
  <si>
    <t>VVS-111B</t>
  </si>
  <si>
    <t>ARGO-25A</t>
  </si>
  <si>
    <t>DSSS-112A</t>
  </si>
  <si>
    <t>ARGO-20</t>
  </si>
  <si>
    <t>VSS-112B</t>
  </si>
  <si>
    <t>ARGO-20A</t>
  </si>
  <si>
    <t>DSSS-113A</t>
  </si>
  <si>
    <t>ARGO-46</t>
  </si>
  <si>
    <t>VSS-113B</t>
  </si>
  <si>
    <t>ARGO-46A</t>
  </si>
  <si>
    <t>DSSS-114A</t>
  </si>
  <si>
    <t>ARGO-22</t>
  </si>
  <si>
    <t>VSS-114B</t>
  </si>
  <si>
    <t>ARGO-22A</t>
  </si>
  <si>
    <t>DSSS-115A</t>
  </si>
  <si>
    <t>ARGO-23</t>
  </si>
  <si>
    <t>VVS-115B</t>
  </si>
  <si>
    <t>ARGO-23A</t>
  </si>
  <si>
    <t>VVS-116B</t>
  </si>
  <si>
    <t>ARGO-39A</t>
  </si>
  <si>
    <t>DSSS-117A</t>
  </si>
  <si>
    <t>ARGO-42</t>
  </si>
  <si>
    <t>VVS-117B</t>
  </si>
  <si>
    <t>ARGO-42A</t>
  </si>
  <si>
    <t>ENS-118S</t>
  </si>
  <si>
    <t>ARGO-26S</t>
  </si>
  <si>
    <t>VSS-119A</t>
  </si>
  <si>
    <t>ARGO-62A</t>
  </si>
  <si>
    <t>NSS-119B</t>
  </si>
  <si>
    <t>ARGO-62B</t>
  </si>
  <si>
    <t>VSS-120A</t>
  </si>
  <si>
    <t>ARGO-53A</t>
  </si>
  <si>
    <t>NSS-120B</t>
  </si>
  <si>
    <t>ARGO-53B</t>
  </si>
  <si>
    <t>NSS-121B</t>
  </si>
  <si>
    <t>ARGO-51A</t>
  </si>
  <si>
    <t>DDSS-122A</t>
  </si>
  <si>
    <t>ARGO-55</t>
  </si>
  <si>
    <t>NSS-122B</t>
  </si>
  <si>
    <t>ARGO-55A</t>
  </si>
  <si>
    <t>VSS-123A</t>
  </si>
  <si>
    <t>ARGO-63</t>
  </si>
  <si>
    <t>NSS-123B</t>
  </si>
  <si>
    <t>ARGO-63A</t>
  </si>
  <si>
    <t>DDAS-124</t>
  </si>
  <si>
    <t>ARGO-77S</t>
  </si>
  <si>
    <t>VSS-125A</t>
  </si>
  <si>
    <t>ARGO-130A</t>
  </si>
  <si>
    <t>ESS-125B</t>
  </si>
  <si>
    <t>ARGO-130B</t>
  </si>
  <si>
    <t>VSS-126S</t>
  </si>
  <si>
    <t>ARGO-75S</t>
  </si>
  <si>
    <t>NGS-127S</t>
  </si>
  <si>
    <t>ARGO-76</t>
  </si>
  <si>
    <t>VSS-128S</t>
  </si>
  <si>
    <t>ARGO-78</t>
  </si>
  <si>
    <t>VSS-129S</t>
  </si>
  <si>
    <t>ARGO-74</t>
  </si>
  <si>
    <t>VVS-601B</t>
  </si>
  <si>
    <t>ARGO-4A</t>
  </si>
  <si>
    <t>DSSS-602A</t>
  </si>
  <si>
    <t>ARGO-49</t>
  </si>
  <si>
    <t>ESS-603A</t>
  </si>
  <si>
    <t>ARGO-65</t>
  </si>
  <si>
    <t>NSS-603B</t>
  </si>
  <si>
    <t>ARGO-65A</t>
  </si>
  <si>
    <t>DSSS-604A</t>
  </si>
  <si>
    <t>ARGO-13</t>
  </si>
  <si>
    <t>VVS-604B</t>
  </si>
  <si>
    <t>ARGO-13A</t>
  </si>
  <si>
    <t>VSS-605A</t>
  </si>
  <si>
    <t>ARGO-68A</t>
  </si>
  <si>
    <t>NSS-605B</t>
  </si>
  <si>
    <t>ARGO-68B</t>
  </si>
  <si>
    <t>VSS-606</t>
  </si>
  <si>
    <t>ARGO-93APT</t>
  </si>
  <si>
    <t>VSS-607</t>
  </si>
  <si>
    <t>ARGO-33APT</t>
  </si>
  <si>
    <t>DSSS-608</t>
  </si>
  <si>
    <t>ARGO-73</t>
  </si>
  <si>
    <t>VSS-611</t>
  </si>
  <si>
    <t>ARGO-101</t>
  </si>
  <si>
    <t>VVS-612</t>
  </si>
  <si>
    <t>ARGO-41A</t>
  </si>
  <si>
    <t>VVS-614</t>
  </si>
  <si>
    <t>ARGO-50A</t>
  </si>
  <si>
    <t>DSSS-615</t>
  </si>
  <si>
    <t>ARGO-66</t>
  </si>
  <si>
    <t>DSSS-616A</t>
  </si>
  <si>
    <t>ARGO-18</t>
  </si>
  <si>
    <t>VSS-616B</t>
  </si>
  <si>
    <t>ARGO-18A</t>
  </si>
  <si>
    <t>VSS-617</t>
  </si>
  <si>
    <t>ARGO-177APT</t>
  </si>
  <si>
    <t>DSSS-619</t>
  </si>
  <si>
    <t>ARGO-71</t>
  </si>
  <si>
    <t>DSSS-620</t>
  </si>
  <si>
    <t>ARGO-28</t>
  </si>
  <si>
    <t>DSSS-621</t>
  </si>
  <si>
    <t>DSSS-622</t>
  </si>
  <si>
    <t>ARGO-6</t>
  </si>
  <si>
    <t>DSSS-623</t>
  </si>
  <si>
    <t>ARGO-268</t>
  </si>
  <si>
    <t>DSSS-624</t>
  </si>
  <si>
    <t>ARGO-47</t>
  </si>
  <si>
    <t>DSSS-625</t>
  </si>
  <si>
    <t>ARGO-27</t>
  </si>
  <si>
    <t>DSSS-626</t>
  </si>
  <si>
    <t>ARGO-44</t>
  </si>
  <si>
    <t>DSSS-627</t>
  </si>
  <si>
    <t>ARGO-243</t>
  </si>
  <si>
    <t>DSSS-628</t>
  </si>
  <si>
    <t>ARGO-30</t>
  </si>
  <si>
    <t>DSSS-629</t>
  </si>
  <si>
    <t>ARGO-1</t>
  </si>
  <si>
    <t>DSSS-630</t>
  </si>
  <si>
    <t>ARGO-2</t>
  </si>
  <si>
    <t>DSSS-632</t>
  </si>
  <si>
    <t>ARGO-35</t>
  </si>
  <si>
    <t>DSSS-633</t>
  </si>
  <si>
    <t>ARGO-38</t>
  </si>
  <si>
    <t>VVS-634</t>
  </si>
  <si>
    <t>ARGO-001</t>
  </si>
  <si>
    <t>VVS-636</t>
  </si>
  <si>
    <t>ARGO-117</t>
  </si>
  <si>
    <t>VVS-637</t>
  </si>
  <si>
    <t>ARGO-265</t>
  </si>
  <si>
    <t>VSS-638</t>
  </si>
  <si>
    <t>ARGO-232</t>
  </si>
  <si>
    <t>NSS-639</t>
  </si>
  <si>
    <t>ARGO-57A</t>
  </si>
  <si>
    <t>NSS-640</t>
  </si>
  <si>
    <t>ARGO-60A</t>
  </si>
  <si>
    <t>NSS-641</t>
  </si>
  <si>
    <t>ARGO-58A</t>
  </si>
  <si>
    <t>VVS-643</t>
  </si>
  <si>
    <t>ARGO-231</t>
  </si>
  <si>
    <t>VVS-644</t>
  </si>
  <si>
    <t>ARGO-229</t>
  </si>
  <si>
    <t>VVS-645S</t>
  </si>
  <si>
    <t>ARGO-116S</t>
  </si>
  <si>
    <t>ISS-650</t>
  </si>
  <si>
    <t>ARGO-208</t>
  </si>
  <si>
    <t>VSS-651</t>
  </si>
  <si>
    <t>ARGO-19A</t>
  </si>
  <si>
    <t>VSS-652</t>
  </si>
  <si>
    <t>ARGO-035</t>
  </si>
  <si>
    <t>ISS-653</t>
  </si>
  <si>
    <t>ARGO-150</t>
  </si>
  <si>
    <t>ISS-654</t>
  </si>
  <si>
    <t>ARGO-062</t>
  </si>
  <si>
    <t>VVS-655</t>
  </si>
  <si>
    <t>ARGO-137</t>
  </si>
  <si>
    <t>DSSS-657</t>
  </si>
  <si>
    <t>ARGO-3</t>
  </si>
  <si>
    <t>ASS-658B</t>
  </si>
  <si>
    <t>ARGO-3B</t>
  </si>
  <si>
    <t>ISS-659B</t>
  </si>
  <si>
    <t>ARGO-269B</t>
  </si>
  <si>
    <t>ISS-660</t>
  </si>
  <si>
    <t>ARGO-270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</si>
  <si>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</si>
  <si>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</si>
  <si>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</si>
  <si>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</si>
  <si>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</si>
  <si>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DSSS-201A</t>
  </si>
  <si>
    <t>ALB-32A</t>
  </si>
  <si>
    <t>NSS-201B</t>
  </si>
  <si>
    <t>ALB-32B</t>
  </si>
  <si>
    <t>VRS-202A</t>
  </si>
  <si>
    <t>ALB-134A</t>
  </si>
  <si>
    <t>NAS-202B</t>
  </si>
  <si>
    <t>ALB-134B</t>
  </si>
  <si>
    <t>VVS-203A</t>
  </si>
  <si>
    <t>ALB-3A</t>
  </si>
  <si>
    <t>VSS-204A</t>
  </si>
  <si>
    <t>ALB-41A</t>
  </si>
  <si>
    <t>NSS-204B</t>
  </si>
  <si>
    <t>ALB-41B</t>
  </si>
  <si>
    <t>ISS-206B</t>
  </si>
  <si>
    <t>ALB-62B</t>
  </si>
  <si>
    <t>VVS-207A</t>
  </si>
  <si>
    <t>ALB-78A</t>
  </si>
  <si>
    <t>NNS-207B</t>
  </si>
  <si>
    <t>ALB-78B</t>
  </si>
  <si>
    <t>DDSS-208A</t>
  </si>
  <si>
    <t>ALB-96A</t>
  </si>
  <si>
    <t>NSS-208B</t>
  </si>
  <si>
    <t>ALB-96B</t>
  </si>
  <si>
    <t>VVS-209A</t>
  </si>
  <si>
    <t>ALB-7A</t>
  </si>
  <si>
    <t>NNS-209B</t>
  </si>
  <si>
    <t>ALB-7B</t>
  </si>
  <si>
    <t>VVS-210A</t>
  </si>
  <si>
    <t>ALB-14A</t>
  </si>
  <si>
    <t>NSS-211B</t>
  </si>
  <si>
    <t>ALB-26B</t>
  </si>
  <si>
    <t>VVS-213A</t>
  </si>
  <si>
    <t>ALB-72A</t>
  </si>
  <si>
    <t>VSS-214A</t>
  </si>
  <si>
    <t>ALB-109A</t>
  </si>
  <si>
    <t>NSS-214B</t>
  </si>
  <si>
    <t>ALB-109B</t>
  </si>
  <si>
    <t>NSS-215B</t>
  </si>
  <si>
    <t>ALB-35B</t>
  </si>
  <si>
    <t>DSSS-216A</t>
  </si>
  <si>
    <t>ALB-102A</t>
  </si>
  <si>
    <t>VVS-217A</t>
  </si>
  <si>
    <t>ALB-106A</t>
  </si>
  <si>
    <t>NNS-217B</t>
  </si>
  <si>
    <t>ALB-106B</t>
  </si>
  <si>
    <t>VVS-218A</t>
  </si>
  <si>
    <t>ALB-63A</t>
  </si>
  <si>
    <t>NNS-218B</t>
  </si>
  <si>
    <t>ALB-63B</t>
  </si>
  <si>
    <t>DSSS-219A</t>
  </si>
  <si>
    <t>ALB-2A</t>
  </si>
  <si>
    <t>ISS-219B</t>
  </si>
  <si>
    <t>ALB-2B</t>
  </si>
  <si>
    <t>VVS-220A</t>
  </si>
  <si>
    <t>ALB-17A</t>
  </si>
  <si>
    <t>NNS-220B</t>
  </si>
  <si>
    <t>ALB-17B</t>
  </si>
  <si>
    <t>DRSS-221A</t>
  </si>
  <si>
    <t>ALB-136A</t>
  </si>
  <si>
    <t>VSS-221B</t>
  </si>
  <si>
    <t>ALB-136B</t>
  </si>
  <si>
    <t>DDSS-222A</t>
  </si>
  <si>
    <t>ALB-143A</t>
  </si>
  <si>
    <t>VSS-222B</t>
  </si>
  <si>
    <t>ALB-143B</t>
  </si>
  <si>
    <t>DDSS-224A</t>
  </si>
  <si>
    <t>ALB-141A</t>
  </si>
  <si>
    <t>VSS-224B</t>
  </si>
  <si>
    <t>ALB-141B</t>
  </si>
  <si>
    <t>DDSS-225A</t>
  </si>
  <si>
    <t>VSS-225B</t>
  </si>
  <si>
    <t>NSS-250</t>
  </si>
  <si>
    <t>ALB-032</t>
  </si>
  <si>
    <t>DDSS-251</t>
  </si>
  <si>
    <t>ALB-012</t>
  </si>
  <si>
    <t>VSS-252A</t>
  </si>
  <si>
    <t>ALB-011A</t>
  </si>
  <si>
    <t>NSS-252B</t>
  </si>
  <si>
    <t>ALB-011B</t>
  </si>
  <si>
    <t>NAS-254</t>
  </si>
  <si>
    <t>ALB-027</t>
  </si>
  <si>
    <t>VVS-256</t>
  </si>
  <si>
    <t>ALB-147</t>
  </si>
  <si>
    <t>€22.00</t>
  </si>
  <si>
    <t>DASS-258A</t>
  </si>
  <si>
    <t>ALB-75A</t>
  </si>
  <si>
    <t>VAS-258B</t>
  </si>
  <si>
    <t>ALB-148B</t>
  </si>
  <si>
    <t>ISS-259</t>
  </si>
  <si>
    <t>ALB-37A</t>
  </si>
  <si>
    <t>DSSS-260</t>
  </si>
  <si>
    <t>ALB-150</t>
  </si>
  <si>
    <t>ESS-261A</t>
  </si>
  <si>
    <t>ALB-65A</t>
  </si>
  <si>
    <t>€22.01</t>
  </si>
  <si>
    <t>VSS-262</t>
  </si>
  <si>
    <t>ALB-95A</t>
  </si>
  <si>
    <t>VSS-263</t>
  </si>
  <si>
    <t>ALB-146</t>
  </si>
  <si>
    <t>DSSS-264</t>
  </si>
  <si>
    <t>ALB-25</t>
  </si>
  <si>
    <t>VSS-267</t>
  </si>
  <si>
    <t>ALB-263</t>
  </si>
  <si>
    <t>VSS-268</t>
  </si>
  <si>
    <t>ALB-23</t>
  </si>
  <si>
    <t>EAS-269</t>
  </si>
  <si>
    <t>ALB-99A</t>
  </si>
  <si>
    <t>DDSS-270</t>
  </si>
  <si>
    <t>ALB-24</t>
  </si>
  <si>
    <t>VSS-271</t>
  </si>
  <si>
    <t>ALB-18</t>
  </si>
  <si>
    <t>DDSS-273</t>
  </si>
  <si>
    <t>DSSS-276</t>
  </si>
  <si>
    <t>ALB-66A</t>
  </si>
  <si>
    <t>VSS-278</t>
  </si>
  <si>
    <t>ALB-67</t>
  </si>
  <si>
    <t>DDSS-279</t>
  </si>
  <si>
    <t>ALB-279</t>
  </si>
  <si>
    <t>DDSS-281</t>
  </si>
  <si>
    <t>ALB-112A</t>
  </si>
  <si>
    <t>VSS-282</t>
  </si>
  <si>
    <t>ALB-151</t>
  </si>
  <si>
    <t>VVS-283</t>
  </si>
  <si>
    <t>ALB-154</t>
  </si>
  <si>
    <t>DSSS-284</t>
  </si>
  <si>
    <t>ALB-195</t>
  </si>
  <si>
    <t>VSS-285</t>
  </si>
  <si>
    <t>ALB-43</t>
  </si>
  <si>
    <t>VSS-288</t>
  </si>
  <si>
    <t>ALB-148</t>
  </si>
  <si>
    <t>DSSS-289</t>
  </si>
  <si>
    <t>ALB-260</t>
  </si>
  <si>
    <t>VSS-290</t>
  </si>
  <si>
    <t>VSS-291</t>
  </si>
  <si>
    <t>ALB-36</t>
  </si>
  <si>
    <t>HEAVY CADY</t>
  </si>
  <si>
    <t>VSS-292</t>
  </si>
  <si>
    <t>ALB-58</t>
  </si>
  <si>
    <t>VSS-293</t>
  </si>
  <si>
    <t>ALB-61</t>
  </si>
  <si>
    <t>NSS-294</t>
  </si>
  <si>
    <t>ALB-113B</t>
  </si>
  <si>
    <t>NSS-295</t>
  </si>
  <si>
    <t>ALB-219</t>
  </si>
  <si>
    <t>VSS-296</t>
  </si>
  <si>
    <t>ALB-39</t>
  </si>
  <si>
    <t>ESS-297</t>
  </si>
  <si>
    <t>ALB-44</t>
  </si>
  <si>
    <t>VSS-298</t>
  </si>
  <si>
    <t>ALB-26</t>
  </si>
  <si>
    <t>VSS-299</t>
  </si>
  <si>
    <t>ALB-168</t>
  </si>
  <si>
    <t>VSS-300</t>
  </si>
  <si>
    <t>ALB-21</t>
  </si>
  <si>
    <t>DRSS-301</t>
  </si>
  <si>
    <t>ALB-101A</t>
  </si>
  <si>
    <t>VVS-303</t>
  </si>
  <si>
    <t>ALB-34A</t>
  </si>
  <si>
    <t>VVS-304</t>
  </si>
  <si>
    <t>ALB-98A</t>
  </si>
  <si>
    <t>DUSS-305A</t>
  </si>
  <si>
    <t>ALB-54A</t>
  </si>
  <si>
    <t>VSS-305B</t>
  </si>
  <si>
    <t>ALB-99416</t>
  </si>
  <si>
    <t>VSS-306</t>
  </si>
  <si>
    <t>ALB-43A</t>
  </si>
  <si>
    <t>VVS-307</t>
  </si>
  <si>
    <t>ALB-11A</t>
  </si>
  <si>
    <t>VVS-308</t>
  </si>
  <si>
    <t>ALB-8A</t>
  </si>
  <si>
    <t>VVS-309</t>
  </si>
  <si>
    <t>ALB-15</t>
  </si>
  <si>
    <t>VVS-310</t>
  </si>
  <si>
    <t>ALB-180</t>
  </si>
  <si>
    <t>VVS-311</t>
  </si>
  <si>
    <t>ALB-236</t>
  </si>
  <si>
    <t>VSS-312</t>
  </si>
  <si>
    <t>ALB-36A</t>
  </si>
  <si>
    <t>NSS-313</t>
  </si>
  <si>
    <t>ALB-022</t>
  </si>
  <si>
    <t>NVS-314</t>
  </si>
  <si>
    <t>ALB-322</t>
  </si>
  <si>
    <t>NVS-315</t>
  </si>
  <si>
    <t>ALB-007</t>
  </si>
  <si>
    <t>NSS-316</t>
  </si>
  <si>
    <t>ALB-368</t>
  </si>
  <si>
    <t>DSSS-317A</t>
  </si>
  <si>
    <t>ALB-036A</t>
  </si>
  <si>
    <t>NSS-317B</t>
  </si>
  <si>
    <t>ALB-036B</t>
  </si>
  <si>
    <t>VSS-318S</t>
  </si>
  <si>
    <t>ALB-145B</t>
  </si>
  <si>
    <t>ESS-322</t>
  </si>
  <si>
    <t>ALB-3952</t>
  </si>
  <si>
    <t>NSS-323</t>
  </si>
  <si>
    <t>ALB-61B</t>
  </si>
  <si>
    <t>NSS-325B</t>
  </si>
  <si>
    <t>ALB105B</t>
  </si>
  <si>
    <t>NSS-326</t>
  </si>
  <si>
    <t>ALB-107B</t>
  </si>
  <si>
    <t>VSS-328</t>
  </si>
  <si>
    <t>ALB-42B</t>
  </si>
  <si>
    <t>NSS-329</t>
  </si>
  <si>
    <t>ALB-114B</t>
  </si>
  <si>
    <t>DRSS-332</t>
  </si>
  <si>
    <t>ALB-138A</t>
  </si>
  <si>
    <t>DDSS-333</t>
  </si>
  <si>
    <t>ALB-135A</t>
  </si>
  <si>
    <t>VSS-334</t>
  </si>
  <si>
    <t>ALB-231</t>
  </si>
  <si>
    <t>DDSS-335</t>
  </si>
  <si>
    <t>ALB-133A</t>
  </si>
  <si>
    <t>DRSS-337</t>
  </si>
  <si>
    <t>ALB-140A</t>
  </si>
  <si>
    <t>DUSS-338</t>
  </si>
  <si>
    <t>ALB-127A</t>
  </si>
  <si>
    <t>VVS-340</t>
  </si>
  <si>
    <t>ALB-008</t>
  </si>
  <si>
    <t>VVS-341</t>
  </si>
  <si>
    <t>ALB-230</t>
  </si>
  <si>
    <t>NSS-342</t>
  </si>
  <si>
    <t>ALB-232</t>
  </si>
  <si>
    <t>VSS-345S</t>
  </si>
  <si>
    <t>ALB-234S</t>
  </si>
  <si>
    <t>NSS-347S</t>
  </si>
  <si>
    <t>ALB-237S</t>
  </si>
  <si>
    <t>NSS-348</t>
  </si>
  <si>
    <t>ALB-238</t>
  </si>
  <si>
    <t>NSS-349</t>
  </si>
  <si>
    <t>ALB-239</t>
  </si>
  <si>
    <t>VSS-351</t>
  </si>
  <si>
    <t>ALB-241</t>
  </si>
  <si>
    <t>VSS-352B</t>
  </si>
  <si>
    <t>ALB-242B</t>
  </si>
  <si>
    <t>NSS-353</t>
  </si>
  <si>
    <t>ALB-243S</t>
  </si>
  <si>
    <t>VSS-354</t>
  </si>
  <si>
    <t>ALB-015S</t>
  </si>
  <si>
    <t>NSS-355</t>
  </si>
  <si>
    <t>ALB-002S</t>
  </si>
  <si>
    <t>EAS-356A</t>
  </si>
  <si>
    <t>ALB-119A</t>
  </si>
  <si>
    <t>VSS-357A</t>
  </si>
  <si>
    <t>ALB-244A</t>
  </si>
  <si>
    <t>NSS-357B</t>
  </si>
  <si>
    <t>ALB-244B</t>
  </si>
  <si>
    <t>VVS-358A</t>
  </si>
  <si>
    <t>ALB-245A</t>
  </si>
  <si>
    <t>NSS-358B</t>
  </si>
  <si>
    <t>ALB-245B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</si>
  <si>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</si>
  <si>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</si>
  <si>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</si>
  <si>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</si>
  <si>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</si>
  <si>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</si>
  <si>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VSS-404</t>
  </si>
  <si>
    <t>MAR-90A</t>
  </si>
  <si>
    <t>VSS-410</t>
  </si>
  <si>
    <t>MAR-65A</t>
  </si>
  <si>
    <t>VSS-411</t>
  </si>
  <si>
    <t>MAR-70A</t>
  </si>
  <si>
    <t>DSSS-417</t>
  </si>
  <si>
    <t>MAR-64</t>
  </si>
  <si>
    <t>DSSS-418</t>
  </si>
  <si>
    <t>MAR-66</t>
  </si>
  <si>
    <t>DSSS-421</t>
  </si>
  <si>
    <t>MAR-97</t>
  </si>
  <si>
    <t>DSSS-422</t>
  </si>
  <si>
    <t>MAR-91</t>
  </si>
  <si>
    <t>NSS-425</t>
  </si>
  <si>
    <t>MAR-88</t>
  </si>
  <si>
    <t>NSS-426</t>
  </si>
  <si>
    <t>MAR-94</t>
  </si>
  <si>
    <t>DSSS-427</t>
  </si>
  <si>
    <t>MAR-201</t>
  </si>
  <si>
    <t>VSS-440B</t>
  </si>
  <si>
    <t>MAR-14A</t>
  </si>
  <si>
    <t>VSS-441B</t>
  </si>
  <si>
    <t>MAR-95A</t>
  </si>
  <si>
    <t>VSS-442B</t>
  </si>
  <si>
    <t>MAR-58A</t>
  </si>
  <si>
    <t>DSSS-446A</t>
  </si>
  <si>
    <t>MAR-39</t>
  </si>
  <si>
    <t>VSS-446B</t>
  </si>
  <si>
    <t>MAR-39A</t>
  </si>
  <si>
    <t>DSSS-447A</t>
  </si>
  <si>
    <t>MAR-38</t>
  </si>
  <si>
    <t>DSSS-448A</t>
  </si>
  <si>
    <t>MAR-96</t>
  </si>
  <si>
    <t>VSS-448B</t>
  </si>
  <si>
    <t>MAR-96A</t>
  </si>
  <si>
    <t>DSSS-449A</t>
  </si>
  <si>
    <t>MAR-53</t>
  </si>
  <si>
    <t>DSSS-450A</t>
  </si>
  <si>
    <t>MAR-67</t>
  </si>
  <si>
    <t>VSS-450B</t>
  </si>
  <si>
    <t>MAR-67A</t>
  </si>
  <si>
    <t>DSSS-451A</t>
  </si>
  <si>
    <t>MAR-86</t>
  </si>
  <si>
    <t>VSS-451B</t>
  </si>
  <si>
    <t>MAR-86A</t>
  </si>
  <si>
    <t>DSSS-452A</t>
  </si>
  <si>
    <t>MAR-122</t>
  </si>
  <si>
    <t>DSSS-453A</t>
  </si>
  <si>
    <t>MAR-11</t>
  </si>
  <si>
    <t>DSSS-454A</t>
  </si>
  <si>
    <t>MAR-21</t>
  </si>
  <si>
    <t>VSS-456B</t>
  </si>
  <si>
    <t>MAR-83A</t>
  </si>
  <si>
    <t>DSSS-457A</t>
  </si>
  <si>
    <t>MAR-40</t>
  </si>
  <si>
    <t>DSSS-458A</t>
  </si>
  <si>
    <t>MAR-75</t>
  </si>
  <si>
    <t>VSS-458B</t>
  </si>
  <si>
    <t>MAR-75A</t>
  </si>
  <si>
    <t>DSSS-459A</t>
  </si>
  <si>
    <t>MAR-76</t>
  </si>
  <si>
    <t>VSS-459B</t>
  </si>
  <si>
    <t>MAR-76A</t>
  </si>
  <si>
    <t>DSSS-460A</t>
  </si>
  <si>
    <t>MAR-37A</t>
  </si>
  <si>
    <t>VSS-460B</t>
  </si>
  <si>
    <t>MAR-39B</t>
  </si>
  <si>
    <t>VSS-461A</t>
  </si>
  <si>
    <t>MAR-100</t>
  </si>
  <si>
    <t>NSS-461B</t>
  </si>
  <si>
    <t>MAR-100A</t>
  </si>
  <si>
    <t>VSS-462A</t>
  </si>
  <si>
    <t>MAR-108</t>
  </si>
  <si>
    <t>NSS-462B</t>
  </si>
  <si>
    <t>MAR-108A</t>
  </si>
  <si>
    <t>DSSS-463A</t>
  </si>
  <si>
    <t>MAR-5</t>
  </si>
  <si>
    <t>VSS-463B</t>
  </si>
  <si>
    <t>MAR-5A</t>
  </si>
  <si>
    <t>DSSS-464A</t>
  </si>
  <si>
    <t>MAR-1</t>
  </si>
  <si>
    <t>VSS-464B</t>
  </si>
  <si>
    <t>MAR-1A</t>
  </si>
  <si>
    <t>DSSS-465A</t>
  </si>
  <si>
    <t>MAR-48</t>
  </si>
  <si>
    <t>VSS-465B</t>
  </si>
  <si>
    <t>MAR-48A</t>
  </si>
  <si>
    <t>DSSS-466A</t>
  </si>
  <si>
    <t>MAR-25</t>
  </si>
  <si>
    <t>DSSS-467A</t>
  </si>
  <si>
    <t>MAR-34</t>
  </si>
  <si>
    <t>DSSS-468A</t>
  </si>
  <si>
    <t>MAR-71</t>
  </si>
  <si>
    <t>VSS-470B</t>
  </si>
  <si>
    <t>MAR-10A</t>
  </si>
  <si>
    <t>VSS-473</t>
  </si>
  <si>
    <t>MAR-99A</t>
  </si>
  <si>
    <t>VSS-476</t>
  </si>
  <si>
    <t>MAR-29A</t>
  </si>
  <si>
    <t>DSSS-477A</t>
  </si>
  <si>
    <t>MAR-72</t>
  </si>
  <si>
    <t>VSS-478</t>
  </si>
  <si>
    <t>MAR-17</t>
  </si>
  <si>
    <t>VSS-479A</t>
  </si>
  <si>
    <t>MAR-124A</t>
  </si>
  <si>
    <t>VSS-480</t>
  </si>
  <si>
    <t>MAR-16A</t>
  </si>
  <si>
    <t>VSS-483</t>
  </si>
  <si>
    <t>MAR-244</t>
  </si>
  <si>
    <t>VSS-484A</t>
  </si>
  <si>
    <t>MAR-110</t>
  </si>
  <si>
    <t>GSS-484B</t>
  </si>
  <si>
    <t>MAR-110A</t>
  </si>
  <si>
    <t>VSS-485A</t>
  </si>
  <si>
    <t>MAR-112</t>
  </si>
  <si>
    <t>GSS-485B</t>
  </si>
  <si>
    <t>MAR-112B</t>
  </si>
  <si>
    <t>VSS-486A</t>
  </si>
  <si>
    <t>MAR-106</t>
  </si>
  <si>
    <t>GSS-486B</t>
  </si>
  <si>
    <t>MAR-106A</t>
  </si>
  <si>
    <t>VSS-487A</t>
  </si>
  <si>
    <t>MAR-111</t>
  </si>
  <si>
    <t>GSS-487B</t>
  </si>
  <si>
    <t>MAR-111A</t>
  </si>
  <si>
    <t>VSS-489B</t>
  </si>
  <si>
    <t>MAR-19A</t>
  </si>
  <si>
    <t>GSS-491B</t>
  </si>
  <si>
    <t>MAR-117A</t>
  </si>
  <si>
    <t>VSS-493B</t>
  </si>
  <si>
    <t>MAR-8A</t>
  </si>
  <si>
    <t>DSSS-494A</t>
  </si>
  <si>
    <t>MAR-3</t>
  </si>
  <si>
    <t>VSS-494B</t>
  </si>
  <si>
    <t>MAR-4A</t>
  </si>
  <si>
    <t>DSSS-499A</t>
  </si>
  <si>
    <t>MAR-56A</t>
  </si>
  <si>
    <t>VSS-502S</t>
  </si>
  <si>
    <t>MAR-181</t>
  </si>
  <si>
    <t>GSS-503S</t>
  </si>
  <si>
    <t>MAR-114A</t>
  </si>
  <si>
    <t>DSSS-504S</t>
  </si>
  <si>
    <t>MAR-13</t>
  </si>
  <si>
    <t>DSSS-512S</t>
  </si>
  <si>
    <t>MAR-133</t>
  </si>
  <si>
    <t>DSSS-514S</t>
  </si>
  <si>
    <t>MAR-137</t>
  </si>
  <si>
    <t>NSS-519S</t>
  </si>
  <si>
    <t>MAR-06A</t>
  </si>
  <si>
    <t>VSS-520S</t>
  </si>
  <si>
    <t>MAR-300S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</si>
  <si>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</si>
  <si>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</si>
  <si>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</si>
  <si>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</si>
  <si>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</si>
  <si>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VSS-701A</t>
  </si>
  <si>
    <t>NELLA-138A</t>
  </si>
  <si>
    <t>NSS-701B</t>
  </si>
  <si>
    <t>NELLA-138B</t>
  </si>
  <si>
    <t>ESS-703</t>
  </si>
  <si>
    <t>NELLA-030S</t>
  </si>
  <si>
    <t>SATIN / JACQUARD</t>
  </si>
  <si>
    <t>VSS-704</t>
  </si>
  <si>
    <t>NELLA-015S</t>
  </si>
  <si>
    <t>VSS-706</t>
  </si>
  <si>
    <t>NELLA-051S</t>
  </si>
  <si>
    <t>VSS-707</t>
  </si>
  <si>
    <t>NELLA-052S</t>
  </si>
  <si>
    <t>VSS-708</t>
  </si>
  <si>
    <t>NELLA-059S</t>
  </si>
  <si>
    <t>VSS-709</t>
  </si>
  <si>
    <t>NELLA-061S</t>
  </si>
  <si>
    <t>VSS-711</t>
  </si>
  <si>
    <t>NELLA-22S</t>
  </si>
  <si>
    <t>VSS-712</t>
  </si>
  <si>
    <t>NELLA-21S</t>
  </si>
  <si>
    <t>VSS-713</t>
  </si>
  <si>
    <t>NELLA-169S</t>
  </si>
  <si>
    <t>VSS-714</t>
  </si>
  <si>
    <t>NELLA-60S</t>
  </si>
  <si>
    <t>VSS-715</t>
  </si>
  <si>
    <t>NELLA-09S</t>
  </si>
  <si>
    <t>VSS-716</t>
  </si>
  <si>
    <t>NELLA-108S</t>
  </si>
  <si>
    <t>VSS-717</t>
  </si>
  <si>
    <t>NELLA-063S</t>
  </si>
  <si>
    <t>VSS-718</t>
  </si>
  <si>
    <t>NELLA-011S</t>
  </si>
  <si>
    <t>NSS-719</t>
  </si>
  <si>
    <t>NELLA-156S</t>
  </si>
  <si>
    <t>VSS-720</t>
  </si>
  <si>
    <t>NELLA-192S</t>
  </si>
  <si>
    <t>VSS-722</t>
  </si>
  <si>
    <t>NELLA-151S</t>
  </si>
  <si>
    <t>VSS-723</t>
  </si>
  <si>
    <t>NELLA-138APT</t>
  </si>
  <si>
    <t>VSS-725</t>
  </si>
  <si>
    <t>NELLA-5APT</t>
  </si>
  <si>
    <t>VSS-727</t>
  </si>
  <si>
    <t>NELLA-005</t>
  </si>
  <si>
    <t>VSS-728</t>
  </si>
  <si>
    <t>NELLA-077</t>
  </si>
  <si>
    <t>VSS-729</t>
  </si>
  <si>
    <t>NELLA-078</t>
  </si>
  <si>
    <t>ESS-731</t>
  </si>
  <si>
    <t>NELLA-002</t>
  </si>
  <si>
    <t>NSS-732</t>
  </si>
  <si>
    <t>NELLA-218</t>
  </si>
  <si>
    <t>NSS-733</t>
  </si>
  <si>
    <t>NELLA-216</t>
  </si>
  <si>
    <t>VSS-734</t>
  </si>
  <si>
    <t>NELLA-034</t>
  </si>
  <si>
    <t>DSSS-735</t>
  </si>
  <si>
    <t>NELLA-253</t>
  </si>
  <si>
    <t>NSS-736</t>
  </si>
  <si>
    <t>NELLA-199</t>
  </si>
  <si>
    <t>NSS-737</t>
  </si>
  <si>
    <t>NELLA-212</t>
  </si>
  <si>
    <t>VSS-738</t>
  </si>
  <si>
    <t>NELLA-194</t>
  </si>
  <si>
    <t>NSS-739</t>
  </si>
  <si>
    <t>NELLA-224</t>
  </si>
  <si>
    <t>NSS-740</t>
  </si>
  <si>
    <t>NELLA-213</t>
  </si>
  <si>
    <t>NSS-741</t>
  </si>
  <si>
    <t>NELLA-210</t>
  </si>
  <si>
    <t>VSS-743</t>
  </si>
  <si>
    <t>NELLA-225</t>
  </si>
  <si>
    <t>DSSS-746</t>
  </si>
  <si>
    <t>NELLA-252</t>
  </si>
  <si>
    <t>DSSS-747</t>
  </si>
  <si>
    <t>NELLA-242</t>
  </si>
  <si>
    <t>DSSS-748</t>
  </si>
  <si>
    <t>NELLA-241</t>
  </si>
  <si>
    <t>DRSS-749</t>
  </si>
  <si>
    <t>NELLA-251</t>
  </si>
  <si>
    <t>DSSS-750</t>
  </si>
  <si>
    <t>NELLA-250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</si>
  <si>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</si>
  <si>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</si>
  <si>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</si>
  <si>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</si>
  <si>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</si>
  <si>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VSS-800A</t>
  </si>
  <si>
    <t>AVAN-19A</t>
  </si>
  <si>
    <t>NSS-800B</t>
  </si>
  <si>
    <t>AVAN-19B</t>
  </si>
  <si>
    <t>VSS-801A</t>
  </si>
  <si>
    <t>AVAN-22A</t>
  </si>
  <si>
    <t>NSS-801B</t>
  </si>
  <si>
    <t>AVAN-22B</t>
  </si>
  <si>
    <t>VSS-802A</t>
  </si>
  <si>
    <t>AVAN-1A</t>
  </si>
  <si>
    <t>NSS-802B</t>
  </si>
  <si>
    <t>AVAN-1B</t>
  </si>
  <si>
    <t>VSS-803A</t>
  </si>
  <si>
    <t>AVAN-5A</t>
  </si>
  <si>
    <t>NSS-803B</t>
  </si>
  <si>
    <t>AVAN-5B</t>
  </si>
  <si>
    <t>VSS-804A</t>
  </si>
  <si>
    <t>AVAN-29A</t>
  </si>
  <si>
    <t>NSS-804B</t>
  </si>
  <si>
    <t>AVAN-29B</t>
  </si>
  <si>
    <t>VSS-805A</t>
  </si>
  <si>
    <t>AVAN-40A</t>
  </si>
  <si>
    <t>NSS-805B</t>
  </si>
  <si>
    <t>AVAN-40B</t>
  </si>
  <si>
    <t>VSS-806</t>
  </si>
  <si>
    <t>AVAN-31A</t>
  </si>
  <si>
    <t>VSS-807</t>
  </si>
  <si>
    <t>AVAN-150</t>
  </si>
  <si>
    <t>VSS-809</t>
  </si>
  <si>
    <t>AVAN-126</t>
  </si>
  <si>
    <t>VSS-810</t>
  </si>
  <si>
    <t>AVAN-6A</t>
  </si>
  <si>
    <t>VSS-814A</t>
  </si>
  <si>
    <t>AVAN-34A</t>
  </si>
  <si>
    <t>NSS-814B</t>
  </si>
  <si>
    <t>AVAN-34B</t>
  </si>
  <si>
    <t>VSS-815A</t>
  </si>
  <si>
    <t>AVAN-8A</t>
  </si>
  <si>
    <t>NSS-815B</t>
  </si>
  <si>
    <t>AVAN-8B</t>
  </si>
  <si>
    <t>VSS-816</t>
  </si>
  <si>
    <t>AVAN-20A</t>
  </si>
  <si>
    <t>VSS-818</t>
  </si>
  <si>
    <t>AVAN-25</t>
  </si>
  <si>
    <t>NSS-820</t>
  </si>
  <si>
    <t>AVAN-43</t>
  </si>
  <si>
    <t>VSS-821A</t>
  </si>
  <si>
    <t>AVAN-26A</t>
  </si>
  <si>
    <t>NSS-823</t>
  </si>
  <si>
    <t>AVAN-129</t>
  </si>
  <si>
    <t>NSS-825</t>
  </si>
  <si>
    <t>AVAN-101</t>
  </si>
  <si>
    <t>NSS-829</t>
  </si>
  <si>
    <t>AVAN-12B</t>
  </si>
  <si>
    <t>NSS-831</t>
  </si>
  <si>
    <t>AVAN-003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</si>
  <si>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</si>
  <si>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</si>
  <si>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</si>
  <si>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</si>
  <si>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</si>
  <si>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VSS-858</t>
  </si>
  <si>
    <t>CASA-23</t>
  </si>
  <si>
    <t>ISS-860</t>
  </si>
  <si>
    <t>CASA-26</t>
  </si>
  <si>
    <t>VSS-861</t>
  </si>
  <si>
    <t>CASA-32</t>
  </si>
  <si>
    <t>VSS-862</t>
  </si>
  <si>
    <t>CASA-33</t>
  </si>
  <si>
    <t>VSS-863</t>
  </si>
  <si>
    <t>CASA-34</t>
  </si>
  <si>
    <t>VSS-864</t>
  </si>
  <si>
    <t>CASA-36</t>
  </si>
  <si>
    <t>DUSS-866</t>
  </si>
  <si>
    <t>CASA-45</t>
  </si>
  <si>
    <t>VSS-867</t>
  </si>
  <si>
    <t>CASA-50</t>
  </si>
  <si>
    <t>VSS-875</t>
  </si>
  <si>
    <t>CASA-91</t>
  </si>
  <si>
    <t>GSS-881</t>
  </si>
  <si>
    <t>CASA-4 A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</si>
  <si>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</si>
  <si>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</si>
  <si>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</si>
  <si>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</si>
  <si>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</si>
  <si>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ESS-900A</t>
  </si>
  <si>
    <t>STYL-32A</t>
  </si>
  <si>
    <t>GSS-900B</t>
  </si>
  <si>
    <t>STYL-32B</t>
  </si>
  <si>
    <t>ESS-901A</t>
  </si>
  <si>
    <t>STYL-15A</t>
  </si>
  <si>
    <t>ISS-901B</t>
  </si>
  <si>
    <t>STYL-15B</t>
  </si>
  <si>
    <t>ESS-902A</t>
  </si>
  <si>
    <t>STYL-19A</t>
  </si>
  <si>
    <t>ISS-902B</t>
  </si>
  <si>
    <t>STYL-19B</t>
  </si>
  <si>
    <t>ESS-903A</t>
  </si>
  <si>
    <t>STYL-27A</t>
  </si>
  <si>
    <t>ISS-903B</t>
  </si>
  <si>
    <t>STYL-27B</t>
  </si>
  <si>
    <t>ESS-904A</t>
  </si>
  <si>
    <t>STYL-26A</t>
  </si>
  <si>
    <t>ISS-904B</t>
  </si>
  <si>
    <t>STYL-26B</t>
  </si>
  <si>
    <t>ESS-905A</t>
  </si>
  <si>
    <t>STYL-24A</t>
  </si>
  <si>
    <t>ESS-906A</t>
  </si>
  <si>
    <t>STYL-10A</t>
  </si>
  <si>
    <t>GSS-906B</t>
  </si>
  <si>
    <t>STYL-10B</t>
  </si>
  <si>
    <t>ESS-907A</t>
  </si>
  <si>
    <t>STYL-21A</t>
  </si>
  <si>
    <t>ISS-907B</t>
  </si>
  <si>
    <t>STYL-21B</t>
  </si>
  <si>
    <t>ESS-909A</t>
  </si>
  <si>
    <t>STYL-28A</t>
  </si>
  <si>
    <t>ISS-909B</t>
  </si>
  <si>
    <t>STYL-28B</t>
  </si>
  <si>
    <t>ESS-912S</t>
  </si>
  <si>
    <t>STYL-18A</t>
  </si>
  <si>
    <t>ESS-913S</t>
  </si>
  <si>
    <t>STYL-3A</t>
  </si>
  <si>
    <t>ESS-914A</t>
  </si>
  <si>
    <t>STYL-4A</t>
  </si>
  <si>
    <t>GSS-914B</t>
  </si>
  <si>
    <t>STYL-4B</t>
  </si>
  <si>
    <t>ESS-915S</t>
  </si>
  <si>
    <t>STYL-25A</t>
  </si>
  <si>
    <t>ISS-916S</t>
  </si>
  <si>
    <t>STYL-026S</t>
  </si>
  <si>
    <t>GSS-918S</t>
  </si>
  <si>
    <t>STYL-3B</t>
  </si>
  <si>
    <t>ESS-919A</t>
  </si>
  <si>
    <t>STYL-11A</t>
  </si>
  <si>
    <t>GSS--919B</t>
  </si>
  <si>
    <t>STYL-11B</t>
  </si>
  <si>
    <t>GSS-920B</t>
  </si>
  <si>
    <t>STYL-8B</t>
  </si>
  <si>
    <t>GSS-921S</t>
  </si>
  <si>
    <t>STYL-23B</t>
  </si>
  <si>
    <t>GSS-923S</t>
  </si>
  <si>
    <t>STYL-29B</t>
  </si>
  <si>
    <t>GSS-924S</t>
  </si>
  <si>
    <t>STYL-43S</t>
  </si>
  <si>
    <t>GSS-926B</t>
  </si>
  <si>
    <t>STYL-17B</t>
  </si>
  <si>
    <t>ESS-927A</t>
  </si>
  <si>
    <t>STYL-22A</t>
  </si>
  <si>
    <t>VSS-927B</t>
  </si>
  <si>
    <t>STYL-22B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</si>
  <si>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</si>
  <si>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</si>
  <si>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</si>
  <si>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</si>
  <si>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</si>
  <si>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VSS-932A</t>
  </si>
  <si>
    <t>INCO-4A</t>
  </si>
  <si>
    <t>NSS-932B</t>
  </si>
  <si>
    <t>INCO-4B</t>
  </si>
  <si>
    <t>VSS-934A</t>
  </si>
  <si>
    <t>INCO-12A</t>
  </si>
  <si>
    <t>VSS-935A</t>
  </si>
  <si>
    <t>INCO-23A</t>
  </si>
  <si>
    <t>NSS-935B</t>
  </si>
  <si>
    <t>INCO-23B</t>
  </si>
  <si>
    <t>VSS-938A</t>
  </si>
  <si>
    <t>INCO-2A</t>
  </si>
  <si>
    <t>NSS-938B</t>
  </si>
  <si>
    <t>INCO-2B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</si>
  <si>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</si>
  <si>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</si>
  <si>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</si>
  <si>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</si>
  <si>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</si>
  <si>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DUAS-950A</t>
  </si>
  <si>
    <t>UNGARO-1</t>
  </si>
  <si>
    <t>DSSS-950B</t>
  </si>
  <si>
    <t>UNGARO-2</t>
  </si>
  <si>
    <t>DUAS-951A</t>
  </si>
  <si>
    <t>UNGARO-3</t>
  </si>
  <si>
    <t>DSSS-951B</t>
  </si>
  <si>
    <t>UNGARO-4</t>
  </si>
  <si>
    <t>DUAS-952</t>
  </si>
  <si>
    <t>UNGARO-5</t>
  </si>
  <si>
    <t>DUAS-953</t>
  </si>
  <si>
    <t>UNGARO-6</t>
  </si>
  <si>
    <t>DUAS-954</t>
  </si>
  <si>
    <t>UNGARO-7</t>
  </si>
  <si>
    <t>DUAS-955</t>
  </si>
  <si>
    <t>UNGARO-8</t>
  </si>
  <si>
    <t>DSSS-956</t>
  </si>
  <si>
    <t>UNGARO-9</t>
  </si>
  <si>
    <t>ASS-957</t>
  </si>
  <si>
    <t>UNGARO-10</t>
  </si>
  <si>
    <t>ASS-958</t>
  </si>
  <si>
    <t>UNGARO-11</t>
  </si>
  <si>
    <t>ASS-961</t>
  </si>
  <si>
    <t>UNGARO-14</t>
  </si>
  <si>
    <t>ASS-962</t>
  </si>
  <si>
    <t>UNGARO-15</t>
  </si>
  <si>
    <t>ASS-963</t>
  </si>
  <si>
    <t>UNGARO-16</t>
  </si>
  <si>
    <t>ASS-964</t>
  </si>
  <si>
    <t>UNGARO-17</t>
  </si>
  <si>
    <t>DSSS-965</t>
  </si>
  <si>
    <t>UNGARO-18</t>
  </si>
  <si>
    <t>DSSS-966</t>
  </si>
  <si>
    <t>UNGARO-19</t>
  </si>
  <si>
    <t>ESS-967</t>
  </si>
  <si>
    <t>CARNET-20</t>
  </si>
  <si>
    <t>ESS-968</t>
  </si>
  <si>
    <t>CARNET-21</t>
  </si>
  <si>
    <t>ESS-969</t>
  </si>
  <si>
    <t>CARNET-22</t>
  </si>
  <si>
    <t>ESS-970</t>
  </si>
  <si>
    <t>CARNET-23</t>
  </si>
  <si>
    <t>ESS-971</t>
  </si>
  <si>
    <t>CARNET-24</t>
  </si>
  <si>
    <t>DSSS-972</t>
  </si>
  <si>
    <t>UNGARO-25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</si>
  <si>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</si>
  <si>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</si>
  <si>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</si>
  <si>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</si>
  <si>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</si>
  <si>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DUAS-981</t>
  </si>
  <si>
    <t>CAVA-02</t>
  </si>
  <si>
    <t>RASS-984</t>
  </si>
  <si>
    <t>TGM-95160</t>
  </si>
  <si>
    <t>VSS-984(0)</t>
  </si>
  <si>
    <t>TGM-63017</t>
  </si>
  <si>
    <t>ISS-987(1)</t>
  </si>
  <si>
    <t>TGM-S004A</t>
  </si>
  <si>
    <t>ISS-987(2)</t>
  </si>
  <si>
    <t>TGM-S004B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</si>
  <si>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</si>
  <si>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</si>
  <si>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</si>
  <si>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</si>
  <si>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</si>
  <si>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UASS-990</t>
  </si>
  <si>
    <t>RUFFO-C3872-0010-V3</t>
  </si>
  <si>
    <t>UASS-991</t>
  </si>
  <si>
    <t>UASS-992</t>
  </si>
  <si>
    <t>RUFFO-C3872-0004-V2</t>
  </si>
  <si>
    <t>UASS-993</t>
  </si>
  <si>
    <t>RUFFO-C3872-004-V1</t>
  </si>
  <si>
    <t>UASS-994</t>
  </si>
  <si>
    <t>RUFFO-C3872-0006-V2</t>
  </si>
  <si>
    <t>UASS-995</t>
  </si>
  <si>
    <t>RUFFO-C3872-0001-V2</t>
  </si>
  <si>
    <t>UASS-996</t>
  </si>
  <si>
    <t>RUFFO-C3872-0006-V3</t>
  </si>
  <si>
    <t>UASS-997</t>
  </si>
  <si>
    <t>RUFFO-C3872-0001-V1</t>
  </si>
  <si>
    <t>UASS-998</t>
  </si>
  <si>
    <t>RUFFO-C3872-0004-V3</t>
  </si>
  <si>
    <t>UASS-999</t>
  </si>
  <si>
    <t>RUFFO-C3872-0002-V3</t>
  </si>
  <si>
    <t>UASS-1000</t>
  </si>
  <si>
    <t>UASS-1001</t>
  </si>
  <si>
    <t>RUFFO-C3872-0001-V4</t>
  </si>
  <si>
    <t>UASS-1002</t>
  </si>
  <si>
    <t>RUFFO-C3872-0010-V1</t>
  </si>
  <si>
    <t>UASS-1003</t>
  </si>
  <si>
    <t>RUFFO-C3872-0011-V2</t>
  </si>
  <si>
    <t>UASS-1004</t>
  </si>
  <si>
    <t>RUFFO-C3872-0011-V3</t>
  </si>
  <si>
    <t>UASS-1005</t>
  </si>
  <si>
    <t>RUFFO-16</t>
  </si>
  <si>
    <t>UASS-1006</t>
  </si>
  <si>
    <t>RUFFO-C3872-0002-V2</t>
  </si>
  <si>
    <t>UASS-1007</t>
  </si>
  <si>
    <t>UASS-1008</t>
  </si>
  <si>
    <t>RUFFO-C3872-0001-V5</t>
  </si>
  <si>
    <t>UASS-1009</t>
  </si>
  <si>
    <t>RUFFO-20</t>
  </si>
  <si>
    <t>UASS-1010</t>
  </si>
  <si>
    <t>RSSS-1011</t>
  </si>
  <si>
    <t>RUFFO-22</t>
  </si>
  <si>
    <t>RSSS-1012</t>
  </si>
  <si>
    <t>RUFFO-23</t>
  </si>
  <si>
    <t>UASS-1015</t>
  </si>
  <si>
    <t>RUFFO-26</t>
  </si>
  <si>
    <t>UUAS-1016</t>
  </si>
  <si>
    <t>RUFFO-27</t>
  </si>
  <si>
    <t>UUAS-1017</t>
  </si>
  <si>
    <t>RUFFO-15115.0001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</si>
  <si>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</si>
  <si>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</si>
  <si>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</si>
  <si>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</si>
  <si>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</si>
  <si>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DSSS-1</t>
  </si>
  <si>
    <t>SETE-GR-01</t>
  </si>
  <si>
    <t>VSS-5</t>
  </si>
  <si>
    <t>SETE-GR-05</t>
  </si>
  <si>
    <t>NAS-7A</t>
  </si>
  <si>
    <t>SETE-GR-07A</t>
  </si>
  <si>
    <t>NAS-7B</t>
  </si>
  <si>
    <t>SETE-GR-07B</t>
  </si>
  <si>
    <t>NAS-8A</t>
  </si>
  <si>
    <t>SETE-GR-08A</t>
  </si>
  <si>
    <t>NAS-8B</t>
  </si>
  <si>
    <t>SETE-GR-08B</t>
  </si>
  <si>
    <t>NAS-9A</t>
  </si>
  <si>
    <t>SETE-GR-09A</t>
  </si>
  <si>
    <t>NAS-9B</t>
  </si>
  <si>
    <t>SETE-GR-09B</t>
  </si>
  <si>
    <t>VVS-10</t>
  </si>
  <si>
    <t>SETE-GR-10</t>
  </si>
  <si>
    <t>NAS-11A</t>
  </si>
  <si>
    <t>SETE-GR-11A</t>
  </si>
  <si>
    <t>NAS-11B</t>
  </si>
  <si>
    <t>SETE-GR-11B</t>
  </si>
  <si>
    <t>NAS-12A</t>
  </si>
  <si>
    <t>SETE-GR-12A</t>
  </si>
  <si>
    <t>NAS-12B</t>
  </si>
  <si>
    <t>SETE-GR-12B</t>
  </si>
  <si>
    <t>SETE-GR-13A</t>
  </si>
  <si>
    <t>ASS-13B</t>
  </si>
  <si>
    <t>SETE-GR-13B</t>
  </si>
  <si>
    <t>NAS-14A</t>
  </si>
  <si>
    <t>SETE-GR-14A</t>
  </si>
  <si>
    <t>NAS-14B</t>
  </si>
  <si>
    <t>SETE-GR-14B</t>
  </si>
  <si>
    <t>NSS-15A</t>
  </si>
  <si>
    <t>SETE-GR-15A</t>
  </si>
  <si>
    <t>NSS-15B</t>
  </si>
  <si>
    <t>SETE-GR-15B</t>
  </si>
  <si>
    <t>NAS-16A</t>
  </si>
  <si>
    <t>SETE-GR-16A</t>
  </si>
  <si>
    <t>NAS-16B</t>
  </si>
  <si>
    <t>SETE-GR-16B</t>
  </si>
  <si>
    <t>NAS-17A</t>
  </si>
  <si>
    <t>SETE-GR-17A</t>
  </si>
  <si>
    <t>NAS-17B</t>
  </si>
  <si>
    <t>SETE-GR-17B</t>
  </si>
  <si>
    <t>NAS-18A</t>
  </si>
  <si>
    <t>SETE-GR-18A</t>
  </si>
  <si>
    <t>NAS-18B</t>
  </si>
  <si>
    <t>SETE-GR-18B</t>
  </si>
  <si>
    <t>NAS-19A</t>
  </si>
  <si>
    <t>SETE-GR-19A</t>
  </si>
  <si>
    <t>NAS-19B</t>
  </si>
  <si>
    <t>SETE-GR-19B</t>
  </si>
  <si>
    <t>NAS-20A</t>
  </si>
  <si>
    <t>SETE-GR-20A</t>
  </si>
  <si>
    <t>NAS-20B</t>
  </si>
  <si>
    <t>SETE-GR-20B</t>
  </si>
  <si>
    <t>VSS-21</t>
  </si>
  <si>
    <t>SETE-GR-21</t>
  </si>
  <si>
    <t>VSS-22A</t>
  </si>
  <si>
    <t>SETE-GR-22A</t>
  </si>
  <si>
    <t>VSS-22B</t>
  </si>
  <si>
    <t>SETE-GR-22B</t>
  </si>
  <si>
    <t>VVS-23</t>
  </si>
  <si>
    <t>SETE-GR-23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</si>
  <si>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</si>
  <si>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</si>
  <si>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</si>
  <si>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</si>
  <si>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</si>
  <si>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NSS-01 B</t>
  </si>
  <si>
    <t>TESI-10 B</t>
  </si>
  <si>
    <t>VSS-02 A</t>
  </si>
  <si>
    <t>TESI-5 A</t>
  </si>
  <si>
    <t>NSS-02 B</t>
  </si>
  <si>
    <t>TESI-5 B</t>
  </si>
  <si>
    <t>NSS-03 B</t>
  </si>
  <si>
    <t>TESI-3 B</t>
  </si>
  <si>
    <t>VSS-04 A</t>
  </si>
  <si>
    <t>TESI-9 A</t>
  </si>
  <si>
    <t>NSS-04 B</t>
  </si>
  <si>
    <t>TESI-9 B</t>
  </si>
  <si>
    <t>VSS-05 A</t>
  </si>
  <si>
    <t>TESSI-164 A</t>
  </si>
  <si>
    <t>NSS-05 B</t>
  </si>
  <si>
    <t>TESSI-164 B</t>
  </si>
  <si>
    <t>VSS-06 A</t>
  </si>
  <si>
    <t>TESSI-159 A</t>
  </si>
  <si>
    <t>NSS-06 B</t>
  </si>
  <si>
    <t>TESSI-159 B</t>
  </si>
  <si>
    <t>VSS-07 A</t>
  </si>
  <si>
    <t>TESSI-163 A</t>
  </si>
  <si>
    <t>NSS-07 B</t>
  </si>
  <si>
    <t>TESSI-163 B</t>
  </si>
  <si>
    <t>VSS-08 A</t>
  </si>
  <si>
    <t>TESI-8 A</t>
  </si>
  <si>
    <t>NSS-08 B</t>
  </si>
  <si>
    <t>TESI-8 B</t>
  </si>
  <si>
    <t>VSS-09 S</t>
  </si>
  <si>
    <t>TESI-003 S</t>
  </si>
  <si>
    <t>VSS-11 S</t>
  </si>
  <si>
    <t>TESS-82 S</t>
  </si>
  <si>
    <t>ESS-13 S</t>
  </si>
  <si>
    <t>TESSI-79 S</t>
  </si>
  <si>
    <t>NSS-15 B</t>
  </si>
  <si>
    <t>TESS-162 B</t>
  </si>
  <si>
    <t>VSS-016 A</t>
  </si>
  <si>
    <t>TESI-7 A</t>
  </si>
  <si>
    <t>NSS-16 B</t>
  </si>
  <si>
    <t>TESI-7 B</t>
  </si>
  <si>
    <t>VSS-018 S</t>
  </si>
  <si>
    <t>TESI-05 S</t>
  </si>
  <si>
    <t>NSS-20</t>
  </si>
  <si>
    <t>TESI-1 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</si>
  <si>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</si>
  <si>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</si>
  <si>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</si>
  <si>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</si>
  <si>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</si>
  <si>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NSS-1</t>
  </si>
  <si>
    <t>QUO-03</t>
  </si>
  <si>
    <t>AAS-2</t>
  </si>
  <si>
    <t>QUO-APT-289</t>
  </si>
  <si>
    <t>QUO-1A</t>
  </si>
  <si>
    <t>AAS-3B</t>
  </si>
  <si>
    <t>QUO-1B</t>
  </si>
  <si>
    <t>AAS-4</t>
  </si>
  <si>
    <t>QUO-APT-291</t>
  </si>
  <si>
    <t>AAS-5</t>
  </si>
  <si>
    <t>QUO-032</t>
  </si>
  <si>
    <t>AAS-6A</t>
  </si>
  <si>
    <t>QUO-2A</t>
  </si>
  <si>
    <t>VSS-7</t>
  </si>
  <si>
    <t>QUO-07</t>
  </si>
  <si>
    <t>VSS-8</t>
  </si>
  <si>
    <t>QUO-APT-152</t>
  </si>
  <si>
    <t>VSS-9</t>
  </si>
  <si>
    <t>QUO-APT-29</t>
  </si>
  <si>
    <t>VSS-10</t>
  </si>
  <si>
    <t>QUO-005</t>
  </si>
  <si>
    <t>VSS-11</t>
  </si>
  <si>
    <t>QUO-6APT</t>
  </si>
  <si>
    <t>ESS-12A</t>
  </si>
  <si>
    <t>QUO-155A</t>
  </si>
  <si>
    <t>NSS-12B</t>
  </si>
  <si>
    <t>QUO-155B</t>
  </si>
  <si>
    <t>QUO-153A</t>
  </si>
  <si>
    <t>VSS-13B</t>
  </si>
  <si>
    <t>QUO-153B</t>
  </si>
  <si>
    <t>NSS-16</t>
  </si>
  <si>
    <t>QUO-186</t>
  </si>
  <si>
    <t>NSS-17</t>
  </si>
  <si>
    <t>QUO-185</t>
  </si>
  <si>
    <t>GAS-18</t>
  </si>
  <si>
    <t>QUO-156</t>
  </si>
  <si>
    <t>NSS-19</t>
  </si>
  <si>
    <t>QUO-APT-287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</si>
  <si>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</si>
  <si>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</si>
  <si>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</si>
  <si>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</si>
  <si>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</si>
  <si>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VSS-10 A</t>
  </si>
  <si>
    <t>SILKO-136 A</t>
  </si>
  <si>
    <t>NSS-10 B</t>
  </si>
  <si>
    <t>SILKO-136 B</t>
  </si>
  <si>
    <t>VSS-11 A</t>
  </si>
  <si>
    <t>SILKO-135 A</t>
  </si>
  <si>
    <t>NSS-11 B</t>
  </si>
  <si>
    <t>SILKO-135 B</t>
  </si>
  <si>
    <t>VSS-13 A</t>
  </si>
  <si>
    <t>SILKO-131 A</t>
  </si>
  <si>
    <t>NSS-13 B</t>
  </si>
  <si>
    <t>SILKO-131 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</si>
  <si>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</si>
  <si>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</si>
  <si>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</si>
  <si>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</si>
  <si>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</si>
  <si>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VSS-NC1A</t>
  </si>
  <si>
    <t>MAR-33A</t>
  </si>
  <si>
    <t>DSSS-NC1B</t>
  </si>
  <si>
    <t>MAR-33B</t>
  </si>
  <si>
    <t>NSS-NC3B</t>
  </si>
  <si>
    <t>TESS9086V1358B</t>
  </si>
  <si>
    <t>NSS-NC5B</t>
  </si>
  <si>
    <t>INCO-5B</t>
  </si>
  <si>
    <t>VSS-NC6A</t>
  </si>
  <si>
    <t>AVAV-15A</t>
  </si>
  <si>
    <t>NSS-NC7B</t>
  </si>
  <si>
    <t>AVAN-3B</t>
  </si>
  <si>
    <t>NSS-NC8B</t>
  </si>
  <si>
    <t>ALB-104B</t>
  </si>
  <si>
    <t>NSS-NC10B</t>
  </si>
  <si>
    <t>ALB-28B</t>
  </si>
  <si>
    <t>VSS-NC12A</t>
  </si>
  <si>
    <t>ALB-88A</t>
  </si>
  <si>
    <t>VVS-NC16A</t>
  </si>
  <si>
    <t>ALB-1A</t>
  </si>
  <si>
    <t>NSS-NC17B</t>
  </si>
  <si>
    <t>ALB-100B</t>
  </si>
  <si>
    <t>NSS-NC18B</t>
  </si>
  <si>
    <t>ALB-27B</t>
  </si>
  <si>
    <t>DDSS-NC19A</t>
  </si>
  <si>
    <t>ALB-93A</t>
  </si>
  <si>
    <t>NSS-NC-20B</t>
  </si>
  <si>
    <t>ALB-18B</t>
  </si>
  <si>
    <t>VSS-NC-22A</t>
  </si>
  <si>
    <t>LINEA-11A</t>
  </si>
  <si>
    <t>NSS-NC-22B</t>
  </si>
  <si>
    <t>LINEA-11B</t>
  </si>
  <si>
    <t>VSS-NC-23</t>
  </si>
  <si>
    <t>LINEA-9</t>
  </si>
  <si>
    <t>NSS-NC-25B</t>
  </si>
  <si>
    <t>LINEA-4B</t>
  </si>
  <si>
    <t>VSS-NC-29</t>
  </si>
  <si>
    <t>ALB-NC</t>
  </si>
  <si>
    <t>DSSS-NC-30</t>
  </si>
  <si>
    <t>VSS-NC-33</t>
  </si>
  <si>
    <t>MAR-090A</t>
  </si>
  <si>
    <t>DSSS-NC-35A</t>
  </si>
  <si>
    <t>MAR-023A</t>
  </si>
  <si>
    <t>VSS-NC-35B</t>
  </si>
  <si>
    <t>MAR-023B</t>
  </si>
  <si>
    <t>1054</t>
  </si>
  <si>
    <r>
      <rPr>
        <b/>
        <sz val="11"/>
        <color rgb="FF000000"/>
        <rFont val="Google Sans"/>
      </rPr>
      <t>PENDING</t>
    </r>
    <r>
      <rPr>
        <b/>
        <sz val="11"/>
        <color rgb="FFFF0000"/>
        <rFont val="Google Sans"/>
      </rPr>
      <t xml:space="preserve">-P </t>
    </r>
  </si>
  <si>
    <t>RESERVED (M-30+20)</t>
  </si>
  <si>
    <t>PENDING OUT OFFICE( C-30,K-4,S-9)</t>
  </si>
  <si>
    <t>NET PROFIT</t>
  </si>
  <si>
    <t>ARTICLE</t>
  </si>
  <si>
    <t>PRICE PER MT</t>
  </si>
  <si>
    <t xml:space="preserve">PRICE PER PIECE </t>
  </si>
  <si>
    <t>NET PRICE AFTER DISCOUNT</t>
  </si>
  <si>
    <t>COM %</t>
  </si>
  <si>
    <t>LESS COMMISSION PER PC</t>
  </si>
  <si>
    <t>COST PER PC</t>
  </si>
  <si>
    <t>NET PROFIT PER PC</t>
  </si>
  <si>
    <t>STYL-16A</t>
  </si>
  <si>
    <t>M</t>
  </si>
  <si>
    <t>NOO-22B</t>
  </si>
  <si>
    <t>STYL-16B</t>
  </si>
  <si>
    <t>VSS-23A</t>
  </si>
  <si>
    <t>STYL-1A</t>
  </si>
  <si>
    <t>NOO-23B</t>
  </si>
  <si>
    <t>STYL-1B</t>
  </si>
  <si>
    <t>VSS-27A</t>
  </si>
  <si>
    <t>STYL-13A</t>
  </si>
  <si>
    <t>NOO-27B</t>
  </si>
  <si>
    <t>STYL-13B</t>
  </si>
  <si>
    <t>VSS-28A</t>
  </si>
  <si>
    <t>STYL-33A</t>
  </si>
  <si>
    <t>RUG-28B</t>
  </si>
  <si>
    <t>STYL-33B</t>
  </si>
  <si>
    <t>VSS-29A</t>
  </si>
  <si>
    <t>STYL-35A</t>
  </si>
  <si>
    <t>RUG-29B</t>
  </si>
  <si>
    <t>STYL-35B</t>
  </si>
  <si>
    <t>VSS-24A</t>
  </si>
  <si>
    <t>STYL-5A</t>
  </si>
  <si>
    <t>RUG-24B</t>
  </si>
  <si>
    <t>STYL-5B</t>
  </si>
  <si>
    <t>VSS-2A</t>
  </si>
  <si>
    <t>AVAN-32A</t>
  </si>
  <si>
    <t>NOO-2B</t>
  </si>
  <si>
    <t>AVAN-32B</t>
  </si>
  <si>
    <t>VSS-8A</t>
  </si>
  <si>
    <t>AVAN-33A</t>
  </si>
  <si>
    <t>NOO-8B</t>
  </si>
  <si>
    <t>AVAN-33B</t>
  </si>
  <si>
    <t>VSS-11A</t>
  </si>
  <si>
    <t>INCO-17A</t>
  </si>
  <si>
    <t>NOO-11B</t>
  </si>
  <si>
    <t>INCO-17B</t>
  </si>
  <si>
    <t>VSS-14A</t>
  </si>
  <si>
    <t>INCO-7A</t>
  </si>
  <si>
    <t>NOO-14B</t>
  </si>
  <si>
    <t>INCO-7B</t>
  </si>
  <si>
    <t>VSS-18A</t>
  </si>
  <si>
    <t>INCO-11A</t>
  </si>
  <si>
    <t>VSS-21A</t>
  </si>
  <si>
    <t>INCO-8A</t>
  </si>
  <si>
    <t>VSS-26A</t>
  </si>
  <si>
    <t>STYL-9A</t>
  </si>
  <si>
    <t>RUG-26B</t>
  </si>
  <si>
    <t>STYL-9B</t>
  </si>
  <si>
    <t>VSS-30A</t>
  </si>
  <si>
    <t>STYL-34A</t>
  </si>
  <si>
    <t>RUG-30B</t>
  </si>
  <si>
    <t>STYL-34B</t>
  </si>
  <si>
    <t>VSS-31A</t>
  </si>
  <si>
    <t>STYL-2A</t>
  </si>
  <si>
    <t>RUG-31B</t>
  </si>
  <si>
    <t>STYL-2B</t>
  </si>
  <si>
    <t>ESS-33A</t>
  </si>
  <si>
    <t>TESSI-300A</t>
  </si>
  <si>
    <t>IUS-33B</t>
  </si>
  <si>
    <t>TESSI-300B</t>
  </si>
  <si>
    <t>VSS-34A</t>
  </si>
  <si>
    <t>TESSI-4A</t>
  </si>
  <si>
    <t>NOO-34B</t>
  </si>
  <si>
    <t>TESSI-4B</t>
  </si>
  <si>
    <t>VSS-35A</t>
  </si>
  <si>
    <t>ARGO-67A</t>
  </si>
  <si>
    <t>NOO-35B</t>
  </si>
  <si>
    <t>ARGO-67B</t>
  </si>
  <si>
    <t>IGS-59A</t>
  </si>
  <si>
    <t>ALB-60A</t>
  </si>
  <si>
    <t>NOO-3B</t>
  </si>
  <si>
    <t>AVAN-18B</t>
  </si>
  <si>
    <t>FK</t>
  </si>
  <si>
    <t>NOO-5B</t>
  </si>
  <si>
    <t>AVAN-16B</t>
  </si>
  <si>
    <t>NOO-10B</t>
  </si>
  <si>
    <t>INCO-24B</t>
  </si>
  <si>
    <t>VSS-12A</t>
  </si>
  <si>
    <t>INCO-10A</t>
  </si>
  <si>
    <t>NOO-12B</t>
  </si>
  <si>
    <t>INCO-10B</t>
  </si>
  <si>
    <t>NOO-17B</t>
  </si>
  <si>
    <t>INCO-6B</t>
  </si>
  <si>
    <t>NOO-18B</t>
  </si>
  <si>
    <t>INCO-11B</t>
  </si>
  <si>
    <t>NNS-59B</t>
  </si>
  <si>
    <t>ALB-60B</t>
  </si>
  <si>
    <t>DSSS-63A</t>
  </si>
  <si>
    <t>ALB-29A</t>
  </si>
  <si>
    <t>B</t>
  </si>
  <si>
    <t>NAS-63B</t>
  </si>
  <si>
    <t>ALB-29B</t>
  </si>
  <si>
    <t>VIS-54A</t>
  </si>
  <si>
    <t>ALB-13A</t>
  </si>
  <si>
    <t>ISS-69A</t>
  </si>
  <si>
    <t>ALB-5A</t>
  </si>
  <si>
    <t>NOO-69B</t>
  </si>
  <si>
    <t>ALB-5B</t>
  </si>
  <si>
    <t>VSS-9A</t>
  </si>
  <si>
    <t>AVAN-38A</t>
  </si>
  <si>
    <t>NOO-9B</t>
  </si>
  <si>
    <t>AVAN-38B</t>
  </si>
  <si>
    <t>VSS-47 A</t>
  </si>
  <si>
    <t>MAR-118 A</t>
  </si>
  <si>
    <t>RUG-47 B</t>
  </si>
  <si>
    <t>MAR-118 B</t>
  </si>
  <si>
    <t>VVS-67A</t>
  </si>
  <si>
    <t>ALB-20A</t>
  </si>
  <si>
    <t>NOO-67B</t>
  </si>
  <si>
    <t>ALB-20B</t>
  </si>
  <si>
    <t>VVS-57A</t>
  </si>
  <si>
    <t>ALB-12A</t>
  </si>
  <si>
    <t>NOO-32B</t>
  </si>
  <si>
    <t>QUORUM-154B</t>
  </si>
  <si>
    <t>IUS-53 B</t>
  </si>
  <si>
    <t>ALB-92 B</t>
  </si>
  <si>
    <t>NSS-54 B</t>
  </si>
  <si>
    <t>ALB-13 B</t>
  </si>
  <si>
    <t>VSS-49 A</t>
  </si>
  <si>
    <t>M&amp;M MAR-105 A</t>
  </si>
  <si>
    <t>NNS-57 B</t>
  </si>
  <si>
    <t>ALB-12 B</t>
  </si>
  <si>
    <t>NOO-1B</t>
  </si>
  <si>
    <t>M&amp;M ALB-103B</t>
  </si>
  <si>
    <t>NOO-21B</t>
  </si>
  <si>
    <t>INCO-8B</t>
  </si>
  <si>
    <t>NOO-58B</t>
  </si>
  <si>
    <t>ALB-4B</t>
  </si>
  <si>
    <t>VSS-62A</t>
  </si>
  <si>
    <t>ALB-121A</t>
  </si>
  <si>
    <t>ENS-62B</t>
  </si>
  <si>
    <t>ALB-121B</t>
  </si>
  <si>
    <t>ARGOMENTI (ARGO) SOLD</t>
  </si>
  <si>
    <t>LESS COM PER PC</t>
  </si>
  <si>
    <t>VVS-646</t>
  </si>
  <si>
    <t>ARGO-100</t>
  </si>
  <si>
    <t>NSS-642</t>
  </si>
  <si>
    <t>ARGO-099</t>
  </si>
  <si>
    <t>VVS-618</t>
  </si>
  <si>
    <t>ARGO-10A</t>
  </si>
  <si>
    <t>VSS-609</t>
  </si>
  <si>
    <t>ARGO-102</t>
  </si>
  <si>
    <t>VSS-659A</t>
  </si>
  <si>
    <t>ARGO-269A</t>
  </si>
  <si>
    <t>VSS-121A</t>
  </si>
  <si>
    <t>ARGO-51</t>
  </si>
  <si>
    <t>DSSS-635</t>
  </si>
  <si>
    <t>ARGO-14</t>
  </si>
  <si>
    <t>VSS-70S</t>
  </si>
  <si>
    <t>ARGO-210S</t>
  </si>
  <si>
    <t>VVS-658A</t>
  </si>
  <si>
    <t>ARGO-3A</t>
  </si>
  <si>
    <t>VVS-602B</t>
  </si>
  <si>
    <t>ARGO-49A</t>
  </si>
  <si>
    <t>VVS-613</t>
  </si>
  <si>
    <t>ARGO-34A</t>
  </si>
  <si>
    <t>DSSS-610</t>
  </si>
  <si>
    <t>ARGO-72</t>
  </si>
  <si>
    <t>DSSS-601 A</t>
  </si>
  <si>
    <t>ARGO-4</t>
  </si>
  <si>
    <t>S</t>
  </si>
  <si>
    <t>ESS-648</t>
  </si>
  <si>
    <t>ARGO-56</t>
  </si>
  <si>
    <t>ISS-649</t>
  </si>
  <si>
    <t>ARGO-209</t>
  </si>
  <si>
    <t>DSSS-116 A</t>
  </si>
  <si>
    <t>ARGO-39</t>
  </si>
  <si>
    <t>DSSS-631</t>
  </si>
  <si>
    <t>ARGO-26</t>
  </si>
  <si>
    <t>VSS-647</t>
  </si>
  <si>
    <t>ARGO-98</t>
  </si>
  <si>
    <t>DSSS-656</t>
  </si>
  <si>
    <t>ARGO-007</t>
  </si>
  <si>
    <t>VVS-102B</t>
  </si>
  <si>
    <t>ARGO-33A</t>
  </si>
  <si>
    <t>ALBERTI (ALB) SOLD</t>
  </si>
  <si>
    <t>COM  %</t>
  </si>
  <si>
    <t>LESS COM  PER PC</t>
  </si>
  <si>
    <t>VVS-324A</t>
  </si>
  <si>
    <t>ALB71A</t>
  </si>
  <si>
    <t>NSS-324B</t>
  </si>
  <si>
    <t>ALB71B</t>
  </si>
  <si>
    <t>VVS-</t>
  </si>
  <si>
    <t>ALB76A</t>
  </si>
  <si>
    <t>NSS-</t>
  </si>
  <si>
    <t>ALB76B</t>
  </si>
  <si>
    <t>VSS-325A</t>
  </si>
  <si>
    <t>ALB105A</t>
  </si>
  <si>
    <t>VSS-350</t>
  </si>
  <si>
    <t>ALB-240</t>
  </si>
  <si>
    <t>VSS-274</t>
  </si>
  <si>
    <t>ALB-149</t>
  </si>
  <si>
    <t>DSAS-211A</t>
  </si>
  <si>
    <t>ALB-26A</t>
  </si>
  <si>
    <t>VVS-205A</t>
  </si>
  <si>
    <t>ALB-6A</t>
  </si>
  <si>
    <t>NSS-330</t>
  </si>
  <si>
    <t>ALB-39B</t>
  </si>
  <si>
    <t>IVS-362S</t>
  </si>
  <si>
    <t>ALB-246S</t>
  </si>
  <si>
    <t>VSS-346S</t>
  </si>
  <si>
    <t>ALB-235</t>
  </si>
  <si>
    <t>ESS-266A</t>
  </si>
  <si>
    <t>ALB-148A</t>
  </si>
  <si>
    <t>NSS-356B</t>
  </si>
  <si>
    <t>ALB-119B</t>
  </si>
  <si>
    <t>VSS-360S</t>
  </si>
  <si>
    <t>ALB-244S</t>
  </si>
  <si>
    <t>ISS-361S</t>
  </si>
  <si>
    <t>ALB-245S</t>
  </si>
  <si>
    <t>NSS-205B</t>
  </si>
  <si>
    <t>ALB-6B</t>
  </si>
  <si>
    <t>NSS-266B</t>
  </si>
  <si>
    <t>VSS-287</t>
  </si>
  <si>
    <t>ALB-220</t>
  </si>
  <si>
    <t>A</t>
  </si>
  <si>
    <t>DSSS-318A</t>
  </si>
  <si>
    <t>ALB-145A</t>
  </si>
  <si>
    <t>DSSS-</t>
  </si>
  <si>
    <t>ALB-130A</t>
  </si>
  <si>
    <t>ALB-131A</t>
  </si>
  <si>
    <t>VSS-218A</t>
  </si>
  <si>
    <t>ALB-63</t>
  </si>
  <si>
    <t>ESS-297A</t>
  </si>
  <si>
    <t>ALB-44A</t>
  </si>
  <si>
    <t>NSS-331A</t>
  </si>
  <si>
    <t>ALB-87A</t>
  </si>
  <si>
    <t>NAS-253</t>
  </si>
  <si>
    <t>ALB-026</t>
  </si>
  <si>
    <t>DDSS-339</t>
  </si>
  <si>
    <t>ALB-144A</t>
  </si>
  <si>
    <t>VSS-286</t>
  </si>
  <si>
    <t>ALB-37</t>
  </si>
  <si>
    <t>DSSS-336</t>
  </si>
  <si>
    <t>ALB-125A</t>
  </si>
  <si>
    <t>DDSS-223A</t>
  </si>
  <si>
    <t>ALB-124A</t>
  </si>
  <si>
    <t>NSS-223B</t>
  </si>
  <si>
    <t>ALB-124B</t>
  </si>
  <si>
    <t>GIFT</t>
  </si>
  <si>
    <t>VSS-302</t>
  </si>
  <si>
    <t>ALB-006</t>
  </si>
  <si>
    <t>ISS-212A</t>
  </si>
  <si>
    <t>ALB-111A</t>
  </si>
  <si>
    <t>NNS-212B</t>
  </si>
  <si>
    <t>ALB-111B</t>
  </si>
  <si>
    <t>VAS-255</t>
  </si>
  <si>
    <t>ALB-115A</t>
  </si>
  <si>
    <t>ALB-71 B</t>
  </si>
  <si>
    <t>VSS-272S</t>
  </si>
  <si>
    <t>ALB-155</t>
  </si>
  <si>
    <t>VVS-275</t>
  </si>
  <si>
    <t>ALB-4A</t>
  </si>
  <si>
    <t>DSSS-277</t>
  </si>
  <si>
    <t>ALB-67A</t>
  </si>
  <si>
    <t>DSSS-280</t>
  </si>
  <si>
    <t>ALB-10A</t>
  </si>
  <si>
    <t>VSS-359A</t>
  </si>
  <si>
    <t>ALB-89A</t>
  </si>
  <si>
    <t>VVS-215 A</t>
  </si>
  <si>
    <t>ALB-35 A</t>
  </si>
  <si>
    <t>DDSS-352 A</t>
  </si>
  <si>
    <t>ALB-242 A</t>
  </si>
  <si>
    <t>DSSS-206A</t>
  </si>
  <si>
    <t>ALB-62A</t>
  </si>
  <si>
    <t>VSS-344</t>
  </si>
  <si>
    <t>ALB-0026</t>
  </si>
  <si>
    <t>VSS-343</t>
  </si>
  <si>
    <t>ALB-233</t>
  </si>
  <si>
    <t>NSS-320</t>
  </si>
  <si>
    <t>ALB-129 B</t>
  </si>
  <si>
    <t>NSS-324 B</t>
  </si>
  <si>
    <t>IAS-327</t>
  </si>
  <si>
    <t>ALB-1082</t>
  </si>
  <si>
    <t>NVS-331</t>
  </si>
  <si>
    <t>ALB-87 B</t>
  </si>
  <si>
    <t>NSS-359 B</t>
  </si>
  <si>
    <t>ALB-89 B</t>
  </si>
  <si>
    <t>NSS-203 B</t>
  </si>
  <si>
    <t>ALB-3 B</t>
  </si>
  <si>
    <t>NSS-210 B</t>
  </si>
  <si>
    <t>ALB-14 B</t>
  </si>
  <si>
    <t>NSS-213 B</t>
  </si>
  <si>
    <t>ALB-72 B</t>
  </si>
  <si>
    <t>NSS-216 B</t>
  </si>
  <si>
    <t>ALB-102 B</t>
  </si>
  <si>
    <t>ISS-363 S</t>
  </si>
  <si>
    <t>ALB-247 S</t>
  </si>
  <si>
    <t>MARITEX (MAR) SOLD</t>
  </si>
  <si>
    <t>VSS-</t>
  </si>
  <si>
    <t>MAR84A</t>
  </si>
  <si>
    <t>MAR84B</t>
  </si>
  <si>
    <t>MAR69A</t>
  </si>
  <si>
    <t>MAR69B</t>
  </si>
  <si>
    <t>MAR23313A</t>
  </si>
  <si>
    <t>MAR23313B</t>
  </si>
  <si>
    <t>VSS-443B</t>
  </si>
  <si>
    <t>MAR23A</t>
  </si>
  <si>
    <t>DSSS-443A</t>
  </si>
  <si>
    <t>MAR23B</t>
  </si>
  <si>
    <t>DSSS-428</t>
  </si>
  <si>
    <t>MAR-202</t>
  </si>
  <si>
    <t>VSS-500S</t>
  </si>
  <si>
    <t>MAR-102</t>
  </si>
  <si>
    <t>VSS-501S</t>
  </si>
  <si>
    <t>MAR-124</t>
  </si>
  <si>
    <t>NSS-499B</t>
  </si>
  <si>
    <t>MAR-56</t>
  </si>
  <si>
    <t>VSS-482</t>
  </si>
  <si>
    <t>MAR-79A</t>
  </si>
  <si>
    <t>DSSS-488A</t>
  </si>
  <si>
    <t>MAR-62</t>
  </si>
  <si>
    <t>VSS-469B</t>
  </si>
  <si>
    <t>MAR-41A</t>
  </si>
  <si>
    <t>VSS-481</t>
  </si>
  <si>
    <t>VSS-468B</t>
  </si>
  <si>
    <t>MAR-71A</t>
  </si>
  <si>
    <t>VSS-449B</t>
  </si>
  <si>
    <t>MAR-53A</t>
  </si>
  <si>
    <t>VSS-457B</t>
  </si>
  <si>
    <t>MAR-40A</t>
  </si>
  <si>
    <t>NSS-479B</t>
  </si>
  <si>
    <t>MAR-124B</t>
  </si>
  <si>
    <t>DSSS-444A</t>
  </si>
  <si>
    <t>MAR-82</t>
  </si>
  <si>
    <t>VSS-477B</t>
  </si>
  <si>
    <t>MAR-72A</t>
  </si>
  <si>
    <t>DSSS-489A</t>
  </si>
  <si>
    <t>MAR-19</t>
  </si>
  <si>
    <t>DSSS-419</t>
  </si>
  <si>
    <t>MAR-85</t>
  </si>
  <si>
    <t>DSSS-497S</t>
  </si>
  <si>
    <t>MAR-51</t>
  </si>
  <si>
    <t>VSS-409</t>
  </si>
  <si>
    <t>MAR-77</t>
  </si>
  <si>
    <t>VSS-498A</t>
  </si>
  <si>
    <t>MAR-54A</t>
  </si>
  <si>
    <t>MAR-60</t>
  </si>
  <si>
    <t>DSSS-455A</t>
  </si>
  <si>
    <t>MAR-37</t>
  </si>
  <si>
    <t>DSSS-470A</t>
  </si>
  <si>
    <t>MAR-10B</t>
  </si>
  <si>
    <t>MAR-22A</t>
  </si>
  <si>
    <t>MAR-22</t>
  </si>
  <si>
    <t>MAR-136</t>
  </si>
  <si>
    <t>MAR-135</t>
  </si>
  <si>
    <t>MAR-49</t>
  </si>
  <si>
    <t>MAR-74</t>
  </si>
  <si>
    <t>DSSS-506</t>
  </si>
  <si>
    <t>MAR-02</t>
  </si>
  <si>
    <t>MAR-16</t>
  </si>
  <si>
    <t>MAR-006</t>
  </si>
  <si>
    <t>DSSS-420</t>
  </si>
  <si>
    <t>MAR-98</t>
  </si>
  <si>
    <t>VSS-467B</t>
  </si>
  <si>
    <t>MAR-34A</t>
  </si>
  <si>
    <t>VSS-400</t>
  </si>
  <si>
    <t>MAR-116</t>
  </si>
  <si>
    <t>VSS-401</t>
  </si>
  <si>
    <t>MAR-1300</t>
  </si>
  <si>
    <t>DSSS-517S</t>
  </si>
  <si>
    <t>MAR-45</t>
  </si>
  <si>
    <t>DSSS-445 A</t>
  </si>
  <si>
    <t>MAR-81</t>
  </si>
  <si>
    <t>VSS-445 B</t>
  </si>
  <si>
    <t>MAR-81 A</t>
  </si>
  <si>
    <t>VSS-406</t>
  </si>
  <si>
    <t>MAR-94A</t>
  </si>
  <si>
    <t>VSS-444B</t>
  </si>
  <si>
    <t>MAR-82A</t>
  </si>
  <si>
    <t>VSS-453B</t>
  </si>
  <si>
    <t>MAR-11A</t>
  </si>
  <si>
    <t>VSS-490B</t>
  </si>
  <si>
    <t>MAR-61A</t>
  </si>
  <si>
    <t>VSS-492B</t>
  </si>
  <si>
    <t>MAR-44A</t>
  </si>
  <si>
    <t>VSS-495B</t>
  </si>
  <si>
    <t>MAR-63A</t>
  </si>
  <si>
    <t>DSSS-513 S</t>
  </si>
  <si>
    <t>MAR-134</t>
  </si>
  <si>
    <t>DSSS-505 S</t>
  </si>
  <si>
    <t>MAR-7</t>
  </si>
  <si>
    <t>DSSS-508 S</t>
  </si>
  <si>
    <t>MAR-24 (12)</t>
  </si>
  <si>
    <t>DSSS-509 S</t>
  </si>
  <si>
    <t>MAR-130</t>
  </si>
  <si>
    <t>DSSS-510 S</t>
  </si>
  <si>
    <t>MAR-131</t>
  </si>
  <si>
    <t>DSSS-515 S</t>
  </si>
  <si>
    <t>MAR-138</t>
  </si>
  <si>
    <t>DSSS-516 S</t>
  </si>
  <si>
    <t>MAR-139</t>
  </si>
  <si>
    <t>DSSS-469 A</t>
  </si>
  <si>
    <t>MAR-41</t>
  </si>
  <si>
    <t>DSSS-492 A</t>
  </si>
  <si>
    <t>MAR-44</t>
  </si>
  <si>
    <t>VSS-466 B</t>
  </si>
  <si>
    <t>MAR-25 A</t>
  </si>
  <si>
    <t>VSS-455 S</t>
  </si>
  <si>
    <t>MAR-37 B</t>
  </si>
  <si>
    <t>VSS-472</t>
  </si>
  <si>
    <t>MAR-13 A</t>
  </si>
  <si>
    <t>VSS-474</t>
  </si>
  <si>
    <t>MAR-18 A</t>
  </si>
  <si>
    <t>DSSS-493 A</t>
  </si>
  <si>
    <t>MAR-8</t>
  </si>
  <si>
    <t>DSSS-507 S</t>
  </si>
  <si>
    <t>MAR-24</t>
  </si>
  <si>
    <t>DSSS-511 S</t>
  </si>
  <si>
    <t>MAR-132</t>
  </si>
  <si>
    <t>VSS-407</t>
  </si>
  <si>
    <t>MAR-92 A</t>
  </si>
  <si>
    <t>DSSS-452 A</t>
  </si>
  <si>
    <t>DSSS-518 S</t>
  </si>
  <si>
    <t>MAR-0265</t>
  </si>
  <si>
    <t>VSS-403</t>
  </si>
  <si>
    <t>MAR-89 A</t>
  </si>
  <si>
    <t>VSS-413</t>
  </si>
  <si>
    <t>MAR-88 A</t>
  </si>
  <si>
    <t>DSSS-496 S</t>
  </si>
  <si>
    <t>MAR-47</t>
  </si>
  <si>
    <t>DSSS-495 A</t>
  </si>
  <si>
    <t>MAR-63</t>
  </si>
  <si>
    <t>S-GIFT</t>
  </si>
  <si>
    <t>DSSS-415</t>
  </si>
  <si>
    <t>MAR-70</t>
  </si>
  <si>
    <t>DSSS-440 A</t>
  </si>
  <si>
    <t>MAR-14</t>
  </si>
  <si>
    <t>DSSS-441 A</t>
  </si>
  <si>
    <t>MAR-95</t>
  </si>
  <si>
    <t>DSSS-442 A</t>
  </si>
  <si>
    <t>MAR-58</t>
  </si>
  <si>
    <t>VSS-454B</t>
  </si>
  <si>
    <t>MAR-21A</t>
  </si>
  <si>
    <t>DSSS-456 A</t>
  </si>
  <si>
    <t>MAR-83</t>
  </si>
  <si>
    <t>VSS-475</t>
  </si>
  <si>
    <t>MAR-31 A</t>
  </si>
  <si>
    <t>VSS-498S</t>
  </si>
  <si>
    <t>VSS-402A</t>
  </si>
  <si>
    <t>MAR-91A</t>
  </si>
  <si>
    <t>VSS-447B</t>
  </si>
  <si>
    <t>MAR-38A</t>
  </si>
  <si>
    <t>VSS-488B</t>
  </si>
  <si>
    <t>MAR-62A</t>
  </si>
  <si>
    <t>DSSS-490A</t>
  </si>
  <si>
    <t>MAR-61</t>
  </si>
  <si>
    <t>VSS-491A</t>
  </si>
  <si>
    <t>MAR-117</t>
  </si>
  <si>
    <t>NSS-402B</t>
  </si>
  <si>
    <t>MAR-91B</t>
  </si>
  <si>
    <t>RM180.00</t>
  </si>
  <si>
    <t>RM900.00</t>
  </si>
  <si>
    <t>RM765.00</t>
  </si>
  <si>
    <t>RM 765.00</t>
  </si>
  <si>
    <t>RM425.00</t>
  </si>
  <si>
    <t>RM 340.00</t>
  </si>
  <si>
    <t>NSS-424</t>
  </si>
  <si>
    <t>MAR-92</t>
  </si>
  <si>
    <t>RM350.00</t>
  </si>
  <si>
    <t>RM 415.00</t>
  </si>
  <si>
    <t>NELLA  SOLD</t>
  </si>
  <si>
    <t>VSS-730</t>
  </si>
  <si>
    <t>NELLA-103</t>
  </si>
  <si>
    <t>VSS-726</t>
  </si>
  <si>
    <t>NELLA-105</t>
  </si>
  <si>
    <t>NSS-742</t>
  </si>
  <si>
    <t>NELLA-035</t>
  </si>
  <si>
    <t>VSS-710</t>
  </si>
  <si>
    <t>NELLA-48S</t>
  </si>
  <si>
    <t>VSS-724</t>
  </si>
  <si>
    <t>NELLA-17APT</t>
  </si>
  <si>
    <t>VSS-744</t>
  </si>
  <si>
    <t>NELLA-028</t>
  </si>
  <si>
    <t>VSS-705</t>
  </si>
  <si>
    <t>NELLA-016 S</t>
  </si>
  <si>
    <t>AVANTGARD (AVAN) SOLD</t>
  </si>
  <si>
    <t>AVAN28A</t>
  </si>
  <si>
    <t>AVAN28B</t>
  </si>
  <si>
    <t>VSS-812</t>
  </si>
  <si>
    <t>AVAN-25A</t>
  </si>
  <si>
    <t>VSS-813</t>
  </si>
  <si>
    <t>AVAN-2A</t>
  </si>
  <si>
    <t>NSS-828</t>
  </si>
  <si>
    <t>AVAN-104</t>
  </si>
  <si>
    <t>NSS-824</t>
  </si>
  <si>
    <t>AVAN-148</t>
  </si>
  <si>
    <t>NSS-821B</t>
  </si>
  <si>
    <t>AVAN-26B</t>
  </si>
  <si>
    <t>NSS-819</t>
  </si>
  <si>
    <t>AVAN-42</t>
  </si>
  <si>
    <t>NSS-826</t>
  </si>
  <si>
    <t>AVAN-102</t>
  </si>
  <si>
    <t>VSS-811</t>
  </si>
  <si>
    <t>AVAN-10</t>
  </si>
  <si>
    <t>VSS-817</t>
  </si>
  <si>
    <t>AVAN-24</t>
  </si>
  <si>
    <t>VSS-808</t>
  </si>
  <si>
    <t>AVAN-14 A</t>
  </si>
  <si>
    <t>NSS-822</t>
  </si>
  <si>
    <t>AVAN-45</t>
  </si>
  <si>
    <t>VSS-832</t>
  </si>
  <si>
    <t>CASA DELLO (CASA) SOLD</t>
  </si>
  <si>
    <t>DSSS-865</t>
  </si>
  <si>
    <t>CASA-39</t>
  </si>
  <si>
    <t>ESS-868</t>
  </si>
  <si>
    <t>CASA-55</t>
  </si>
  <si>
    <t>ESS-852</t>
  </si>
  <si>
    <t>CASA-7</t>
  </si>
  <si>
    <t>VSS-884</t>
  </si>
  <si>
    <t>CASA-48</t>
  </si>
  <si>
    <t>ESS-853</t>
  </si>
  <si>
    <t>CASA-11</t>
  </si>
  <si>
    <t>ESS-047</t>
  </si>
  <si>
    <t>CASA-47</t>
  </si>
  <si>
    <t>VSS-057</t>
  </si>
  <si>
    <t>CASA-57</t>
  </si>
  <si>
    <t>VSS-060</t>
  </si>
  <si>
    <t>CASA-60</t>
  </si>
  <si>
    <t>ESS-086</t>
  </si>
  <si>
    <t>CASA-86</t>
  </si>
  <si>
    <t>VSS-850</t>
  </si>
  <si>
    <t>CASA-1</t>
  </si>
  <si>
    <t>ESS-851</t>
  </si>
  <si>
    <t>CASA-5</t>
  </si>
  <si>
    <t>ISS-854</t>
  </si>
  <si>
    <t>CASA-14</t>
  </si>
  <si>
    <t>ESS-855</t>
  </si>
  <si>
    <t>CASA-17</t>
  </si>
  <si>
    <t>ESS-856</t>
  </si>
  <si>
    <t>CASA-20</t>
  </si>
  <si>
    <t>ESS-857</t>
  </si>
  <si>
    <t>CASA-21</t>
  </si>
  <si>
    <t>ESS-859</t>
  </si>
  <si>
    <t>CASA-25</t>
  </si>
  <si>
    <t>VSS-871</t>
  </si>
  <si>
    <t>CASA-CD 1</t>
  </si>
  <si>
    <t>DSSS-873</t>
  </si>
  <si>
    <t>CASA-58</t>
  </si>
  <si>
    <t>VSS-879</t>
  </si>
  <si>
    <t>CASA-5 A</t>
  </si>
  <si>
    <t>VSS-882</t>
  </si>
  <si>
    <t>CASA-3 A</t>
  </si>
  <si>
    <t>VSS-883</t>
  </si>
  <si>
    <t>CASA-49</t>
  </si>
  <si>
    <t>DSSS-885</t>
  </si>
  <si>
    <t>CASA-1 A</t>
  </si>
  <si>
    <t>VSS-886</t>
  </si>
  <si>
    <t>CASA-2 A</t>
  </si>
  <si>
    <t>VSS-874</t>
  </si>
  <si>
    <t>CASA-171</t>
  </si>
  <si>
    <t>ESS-887</t>
  </si>
  <si>
    <t>CASA-C 23</t>
  </si>
  <si>
    <t>STYLE SILK (STYL) SOLD</t>
  </si>
  <si>
    <t>ESS-928(DUAS)</t>
  </si>
  <si>
    <t>STYL-178APT</t>
  </si>
  <si>
    <t>ESS-925A</t>
  </si>
  <si>
    <t>STYL-14A</t>
  </si>
  <si>
    <t>GAS-925B</t>
  </si>
  <si>
    <t>STYL-14B</t>
  </si>
  <si>
    <t>ISS-905B</t>
  </si>
  <si>
    <t>STYL-24B</t>
  </si>
  <si>
    <t>NSS-908A</t>
  </si>
  <si>
    <t>STYL-36A</t>
  </si>
  <si>
    <t>ESS-910S</t>
  </si>
  <si>
    <t>STYL-12A</t>
  </si>
  <si>
    <t>ESS-911A</t>
  </si>
  <si>
    <t>STYL-7A</t>
  </si>
  <si>
    <t>ISS-917S</t>
  </si>
  <si>
    <t>STYL-027S</t>
  </si>
  <si>
    <t>GSS-911B</t>
  </si>
  <si>
    <t>STYL-7B</t>
  </si>
  <si>
    <t xml:space="preserve"> INCOMO (INCO) SOLD</t>
  </si>
  <si>
    <t>INCO1A</t>
  </si>
  <si>
    <t>INCO1B</t>
  </si>
  <si>
    <t>VSS-937A</t>
  </si>
  <si>
    <t>INCO-9A</t>
  </si>
  <si>
    <t>NSS-937B</t>
  </si>
  <si>
    <t>INCO-9B</t>
  </si>
  <si>
    <t>VSS-930A</t>
  </si>
  <si>
    <t>INCO-14A</t>
  </si>
  <si>
    <t>VSS-17A</t>
  </si>
  <si>
    <t>INCO-6A</t>
  </si>
  <si>
    <t>VSS-931A</t>
  </si>
  <si>
    <t>INCO-13A</t>
  </si>
  <si>
    <t>NSS-934B</t>
  </si>
  <si>
    <t>INCO-12B</t>
  </si>
  <si>
    <t>NSS-936S</t>
  </si>
  <si>
    <t>INCO-26</t>
  </si>
  <si>
    <t>NSS-933B</t>
  </si>
  <si>
    <t>INCO-25</t>
  </si>
  <si>
    <t>NSS-931 B</t>
  </si>
  <si>
    <t>INCO-13 B</t>
  </si>
  <si>
    <t>CARNET (UG) SOLD</t>
  </si>
  <si>
    <t>ASS-012</t>
  </si>
  <si>
    <t>UG-12</t>
  </si>
  <si>
    <t>ASS-013</t>
  </si>
  <si>
    <t>UG-13</t>
  </si>
  <si>
    <t>DSSS-973</t>
  </si>
  <si>
    <t>UNGARO-27</t>
  </si>
  <si>
    <t>CAVALLI+TGM+ROTARY SOLD</t>
  </si>
  <si>
    <t>USSS-989</t>
  </si>
  <si>
    <t>ROTARY-82567DP</t>
  </si>
  <si>
    <t>DUAS-980</t>
  </si>
  <si>
    <t>CAVA-01</t>
  </si>
  <si>
    <t>DUAS-983</t>
  </si>
  <si>
    <t>CAVA-04</t>
  </si>
  <si>
    <t>NSS-985</t>
  </si>
  <si>
    <t>TGM-85522V3</t>
  </si>
  <si>
    <t>VSS-986</t>
  </si>
  <si>
    <t>TGM(TG-03)</t>
  </si>
  <si>
    <t>RUFFO (RUFF) SOLD</t>
  </si>
  <si>
    <t>RSSS-1014</t>
  </si>
  <si>
    <t>RUFFO-25</t>
  </si>
  <si>
    <t>RSSS-1013</t>
  </si>
  <si>
    <t>RUFFO-24</t>
  </si>
  <si>
    <t>SETERIE GR(SETE) SOLD</t>
  </si>
  <si>
    <t>VSS-24</t>
  </si>
  <si>
    <t>SETE-GR-24</t>
  </si>
  <si>
    <t>VSS-2</t>
  </si>
  <si>
    <t>SETE-GR-02</t>
  </si>
  <si>
    <t>VSS-3</t>
  </si>
  <si>
    <t>SETE-GR-03</t>
  </si>
  <si>
    <t>ESS-4</t>
  </si>
  <si>
    <t>SETE-GR-04</t>
  </si>
  <si>
    <t>VVS-6</t>
  </si>
  <si>
    <t>SETE-GR-06</t>
  </si>
  <si>
    <t>TESSILE(TESSI) SOLD</t>
  </si>
  <si>
    <t>VSS-14 S</t>
  </si>
  <si>
    <t>TESS-83</t>
  </si>
  <si>
    <t>VSS-15 A</t>
  </si>
  <si>
    <t>TESS-162 A</t>
  </si>
  <si>
    <t>DSSS-12 S</t>
  </si>
  <si>
    <t>TESS-84</t>
  </si>
  <si>
    <t>NSS-17 S</t>
  </si>
  <si>
    <t>TESS-11 B</t>
  </si>
  <si>
    <t>VSS-007</t>
  </si>
  <si>
    <t>TESS-007</t>
  </si>
  <si>
    <t>VSS-03 A</t>
  </si>
  <si>
    <t>TESI-3 A</t>
  </si>
  <si>
    <t>VSS-01 A</t>
  </si>
  <si>
    <t>TESI-10 A</t>
  </si>
  <si>
    <t>DSSS-10 S</t>
  </si>
  <si>
    <t>TESS-160 S</t>
  </si>
  <si>
    <t>6.0</t>
  </si>
  <si>
    <t>QUORUM(QUO) SOLD</t>
  </si>
  <si>
    <t>VSS-6B</t>
  </si>
  <si>
    <t>QUO-2B</t>
  </si>
  <si>
    <t>SILKOMO (SILKO) SOLD</t>
  </si>
  <si>
    <t>DSSS-16</t>
  </si>
  <si>
    <t>SILKO-9</t>
  </si>
  <si>
    <t>VSS-08</t>
  </si>
  <si>
    <t>SILKO-80</t>
  </si>
  <si>
    <t>VSS-05</t>
  </si>
  <si>
    <t>SILKO-064</t>
  </si>
  <si>
    <t>VSS-04</t>
  </si>
  <si>
    <t>SILKO-045</t>
  </si>
  <si>
    <t>GSS-02</t>
  </si>
  <si>
    <t>SILKO-4B</t>
  </si>
  <si>
    <t>DSSS-6</t>
  </si>
  <si>
    <t>SILKO-8</t>
  </si>
  <si>
    <t>VSS-75 S</t>
  </si>
  <si>
    <t>SILKO - 63</t>
  </si>
  <si>
    <t>SILKO-7 A</t>
  </si>
  <si>
    <t>GSS-15 B</t>
  </si>
  <si>
    <t>SILKO-7 B</t>
  </si>
  <si>
    <t>VSS-9 A</t>
  </si>
  <si>
    <t>SILKO-5 A</t>
  </si>
  <si>
    <t>GSS-9 B</t>
  </si>
  <si>
    <t>SILKO-5 B</t>
  </si>
  <si>
    <t>VSS-14 A</t>
  </si>
  <si>
    <t>SILKO-6 A</t>
  </si>
  <si>
    <t>GSS-14 B</t>
  </si>
  <si>
    <t>SILKO-6 B</t>
  </si>
  <si>
    <t>NO CODE (NC) SOLD</t>
  </si>
  <si>
    <t>NSS-NC 16B</t>
  </si>
  <si>
    <t>ALB-1B</t>
  </si>
  <si>
    <t>F</t>
  </si>
  <si>
    <t>VSS-NC-24A</t>
  </si>
  <si>
    <t>LINEA-3 A</t>
  </si>
  <si>
    <t>NSS-NC-24B</t>
  </si>
  <si>
    <t>LINEA-3 B</t>
  </si>
  <si>
    <t>NSS-NC-27</t>
  </si>
  <si>
    <t>MAR-NC</t>
  </si>
  <si>
    <t>VSS-NC-31</t>
  </si>
  <si>
    <t>VAS-NC 14A</t>
  </si>
  <si>
    <t>ALB-116A</t>
  </si>
  <si>
    <t>VVS-NC 17A</t>
  </si>
  <si>
    <t>ALB-100A</t>
  </si>
  <si>
    <t>VSS-NC 7A</t>
  </si>
  <si>
    <t>AVAN-3A</t>
  </si>
  <si>
    <t>VSS-NC 8A</t>
  </si>
  <si>
    <t>ALB-104A</t>
  </si>
  <si>
    <t>VSS-NC 11A</t>
  </si>
  <si>
    <t>ALB-108A</t>
  </si>
  <si>
    <t>VVS-NC 13A</t>
  </si>
  <si>
    <t>ALB-79A</t>
  </si>
  <si>
    <t>VSS-NC 15A</t>
  </si>
  <si>
    <t>ALB-55A</t>
  </si>
  <si>
    <t>VSS-NC-20A</t>
  </si>
  <si>
    <t>ALB-18A</t>
  </si>
  <si>
    <t>NSS-NC-34</t>
  </si>
  <si>
    <t>MAR-039 B</t>
  </si>
  <si>
    <t>VSS-NC10A</t>
  </si>
  <si>
    <t>ALB-28A</t>
  </si>
  <si>
    <t>VSS-NC3A</t>
  </si>
  <si>
    <t>TESS9086V1358A</t>
  </si>
  <si>
    <t>VSS-NC5A</t>
  </si>
  <si>
    <t>INCO-5A</t>
  </si>
  <si>
    <t>VSS-NC18A</t>
  </si>
  <si>
    <t>ALB-27A</t>
  </si>
  <si>
    <t>VSS-NC-36A</t>
  </si>
  <si>
    <t>INCO-014A</t>
  </si>
  <si>
    <t>VSS-NC-28</t>
  </si>
  <si>
    <t>ARGO-NC</t>
  </si>
  <si>
    <t>VSS-NC-19B</t>
  </si>
  <si>
    <t>ALB-93B</t>
  </si>
  <si>
    <t>6.3</t>
  </si>
  <si>
    <r>
      <rPr>
        <b/>
        <sz val="12"/>
        <color rgb="FF000000"/>
        <rFont val="Montserrat"/>
      </rPr>
      <t>PENDING</t>
    </r>
    <r>
      <rPr>
        <b/>
        <sz val="12"/>
        <color rgb="FFFF0000"/>
        <rFont val="Montserrat"/>
      </rPr>
      <t xml:space="preserve">-P </t>
    </r>
  </si>
  <si>
    <r>
      <rPr>
        <b/>
        <sz val="12"/>
        <color theme="1"/>
        <rFont val="Montserrat"/>
      </rPr>
      <t xml:space="preserve">COST PER MT  </t>
    </r>
    <r>
      <rPr>
        <b/>
        <sz val="12"/>
        <color theme="1"/>
        <rFont val="Montserrat"/>
      </rPr>
      <t>EURO</t>
    </r>
  </si>
  <si>
    <r>
      <rPr>
        <b/>
        <sz val="12"/>
        <color theme="1"/>
        <rFont val="Montserrat"/>
      </rPr>
      <t xml:space="preserve">COST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</si>
  <si>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</si>
  <si>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PIECE </t>
    </r>
    <r>
      <rPr>
        <b/>
        <sz val="12"/>
        <color theme="1"/>
        <rFont val="Montserrat"/>
      </rPr>
      <t>RM</t>
    </r>
  </si>
  <si>
    <r>
      <rPr>
        <b/>
        <sz val="12"/>
        <color theme="1"/>
        <rFont val="Montserrat"/>
      </rPr>
      <t xml:space="preserve">SELLING PIECE </t>
    </r>
    <r>
      <rPr>
        <b/>
        <sz val="12"/>
        <color theme="1"/>
        <rFont val="Montserrat"/>
      </rPr>
      <t>RM</t>
    </r>
  </si>
  <si>
    <t>EDS-68A</t>
  </si>
  <si>
    <t>ALB-110A</t>
  </si>
  <si>
    <t>P-C</t>
  </si>
  <si>
    <t>NOO-68B</t>
  </si>
  <si>
    <t>ALB-110B</t>
  </si>
  <si>
    <t>DDSS-70A</t>
  </si>
  <si>
    <t>ALB-122A</t>
  </si>
  <si>
    <t>IUS-70B</t>
  </si>
  <si>
    <t>ALB-122B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</si>
  <si>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</si>
  <si>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</si>
  <si>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</si>
  <si>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</si>
  <si>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</si>
  <si>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</si>
  <si>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</si>
  <si>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</si>
  <si>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</si>
  <si>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</si>
  <si>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DSSS-257S</t>
  </si>
  <si>
    <t>ALB-50A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</si>
  <si>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</si>
  <si>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</si>
  <si>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</si>
  <si>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</si>
  <si>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</si>
  <si>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</si>
  <si>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 xml:space="preserve">NELLA </t>
  </si>
  <si>
    <r>
      <rPr>
        <b/>
        <sz val="12"/>
        <color theme="1"/>
        <rFont val="Montserrat"/>
      </rPr>
      <t xml:space="preserve">COST PER MT  </t>
    </r>
    <r>
      <rPr>
        <b/>
        <sz val="12"/>
        <color theme="1"/>
        <rFont val="Montserrat"/>
      </rPr>
      <t>EURO</t>
    </r>
  </si>
  <si>
    <r>
      <rPr>
        <b/>
        <sz val="12"/>
        <color theme="1"/>
        <rFont val="Montserrat"/>
      </rPr>
      <t xml:space="preserve">COST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</si>
  <si>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</si>
  <si>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PIECE </t>
    </r>
    <r>
      <rPr>
        <b/>
        <sz val="12"/>
        <color theme="1"/>
        <rFont val="Montserrat"/>
      </rPr>
      <t>RM</t>
    </r>
  </si>
  <si>
    <r>
      <rPr>
        <b/>
        <sz val="12"/>
        <color theme="1"/>
        <rFont val="Montserrat"/>
      </rPr>
      <t xml:space="preserve">SELLING PIECE </t>
    </r>
    <r>
      <rPr>
        <b/>
        <sz val="12"/>
        <color theme="1"/>
        <rFont val="Montserrat"/>
      </rPr>
      <t>RM</t>
    </r>
  </si>
  <si>
    <t>VSS-745</t>
  </si>
  <si>
    <t>NELLA-045</t>
  </si>
  <si>
    <t>P-K</t>
  </si>
  <si>
    <t>VSS-721</t>
  </si>
  <si>
    <t>NELLA-193S</t>
  </si>
  <si>
    <r>
      <rPr>
        <b/>
        <sz val="12"/>
        <color theme="1"/>
        <rFont val="Montserrat"/>
      </rPr>
      <t xml:space="preserve">COST PER MT  </t>
    </r>
    <r>
      <rPr>
        <b/>
        <sz val="12"/>
        <color theme="1"/>
        <rFont val="Montserrat"/>
      </rPr>
      <t>EURO</t>
    </r>
  </si>
  <si>
    <r>
      <rPr>
        <b/>
        <sz val="12"/>
        <color theme="1"/>
        <rFont val="Montserrat"/>
      </rPr>
      <t xml:space="preserve">COST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</si>
  <si>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</si>
  <si>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PIECE </t>
    </r>
    <r>
      <rPr>
        <b/>
        <sz val="12"/>
        <color theme="1"/>
        <rFont val="Montserrat"/>
      </rPr>
      <t>RM</t>
    </r>
  </si>
  <si>
    <r>
      <rPr>
        <b/>
        <sz val="12"/>
        <color theme="1"/>
        <rFont val="Montserrat"/>
      </rPr>
      <t xml:space="preserve">SELLING PIECE </t>
    </r>
    <r>
      <rPr>
        <b/>
        <sz val="12"/>
        <color theme="1"/>
        <rFont val="Montserrat"/>
      </rPr>
      <t>RM</t>
    </r>
  </si>
  <si>
    <t>NSS-827</t>
  </si>
  <si>
    <t>AVAN-103</t>
  </si>
  <si>
    <t>NSS-830</t>
  </si>
  <si>
    <t>AVAN-001</t>
  </si>
  <si>
    <r>
      <rPr>
        <b/>
        <sz val="12"/>
        <color theme="1"/>
        <rFont val="Montserrat"/>
      </rPr>
      <t xml:space="preserve">COST PER MT  </t>
    </r>
    <r>
      <rPr>
        <b/>
        <sz val="12"/>
        <color theme="1"/>
        <rFont val="Montserrat"/>
      </rPr>
      <t>EURO</t>
    </r>
  </si>
  <si>
    <r>
      <rPr>
        <b/>
        <sz val="12"/>
        <color theme="1"/>
        <rFont val="Montserrat"/>
      </rPr>
      <t xml:space="preserve">COST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</si>
  <si>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</si>
  <si>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PIECE </t>
    </r>
    <r>
      <rPr>
        <b/>
        <sz val="12"/>
        <color theme="1"/>
        <rFont val="Montserrat"/>
      </rPr>
      <t>RM</t>
    </r>
  </si>
  <si>
    <r>
      <rPr>
        <b/>
        <sz val="12"/>
        <color theme="1"/>
        <rFont val="Montserrat"/>
      </rPr>
      <t xml:space="preserve">SELLING PIECE </t>
    </r>
    <r>
      <rPr>
        <b/>
        <sz val="12"/>
        <color theme="1"/>
        <rFont val="Montserrat"/>
      </rPr>
      <t>RM</t>
    </r>
  </si>
  <si>
    <t>VSS-869</t>
  </si>
  <si>
    <t>ASS-876</t>
  </si>
  <si>
    <t>CASA-91 A</t>
  </si>
  <si>
    <t>DDSS-877</t>
  </si>
  <si>
    <t>CASA-92</t>
  </si>
  <si>
    <t>ASS-880</t>
  </si>
  <si>
    <t>CASA-88</t>
  </si>
  <si>
    <r>
      <rPr>
        <b/>
        <sz val="12"/>
        <color theme="1"/>
        <rFont val="Montserrat"/>
      </rPr>
      <t xml:space="preserve">COST PER MT  </t>
    </r>
    <r>
      <rPr>
        <b/>
        <sz val="12"/>
        <color theme="1"/>
        <rFont val="Montserrat"/>
      </rPr>
      <t>EURO</t>
    </r>
  </si>
  <si>
    <r>
      <rPr>
        <b/>
        <sz val="12"/>
        <color theme="1"/>
        <rFont val="Montserrat"/>
      </rPr>
      <t xml:space="preserve">COST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</si>
  <si>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PER MT </t>
    </r>
    <r>
      <rPr>
        <b/>
        <sz val="12"/>
        <color theme="1"/>
        <rFont val="Montserrat"/>
      </rPr>
      <t>RM</t>
    </r>
    <r>
      <rPr>
        <b/>
        <sz val="12"/>
        <color theme="1"/>
        <rFont val="Montserrat"/>
      </rPr>
      <t xml:space="preserve">  </t>
    </r>
  </si>
  <si>
    <r>
      <rPr>
        <b/>
        <sz val="12"/>
        <color theme="1"/>
        <rFont val="Montserrat"/>
      </rPr>
      <t xml:space="preserve">V.I.P PIECE </t>
    </r>
    <r>
      <rPr>
        <b/>
        <sz val="12"/>
        <color theme="1"/>
        <rFont val="Montserrat"/>
      </rPr>
      <t>RM</t>
    </r>
  </si>
  <si>
    <r>
      <rPr>
        <b/>
        <sz val="12"/>
        <color theme="1"/>
        <rFont val="Montserrat"/>
      </rPr>
      <t xml:space="preserve">SELLING PIECE </t>
    </r>
    <r>
      <rPr>
        <b/>
        <sz val="12"/>
        <color theme="1"/>
        <rFont val="Montserrat"/>
      </rPr>
      <t>RM</t>
    </r>
  </si>
  <si>
    <t>GSS-922 S</t>
  </si>
  <si>
    <t>STYL-42 B</t>
  </si>
  <si>
    <t>ASS-908B</t>
  </si>
  <si>
    <t>STYL-36B</t>
  </si>
  <si>
    <t>ESS-920A</t>
  </si>
  <si>
    <t>STYL-8A</t>
  </si>
  <si>
    <t>ESS-926A</t>
  </si>
  <si>
    <t>STYL-17A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</si>
  <si>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</si>
  <si>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</si>
  <si>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</si>
  <si>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</si>
  <si>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</si>
  <si>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NSS-930B</t>
  </si>
  <si>
    <t>INCO-14B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</si>
  <si>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</si>
  <si>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</si>
  <si>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</si>
  <si>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</si>
  <si>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</si>
  <si>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</si>
  <si>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</si>
  <si>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</si>
  <si>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</si>
  <si>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</si>
  <si>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DUAS-982</t>
  </si>
  <si>
    <t>CAVA-03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</si>
  <si>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</si>
  <si>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</si>
  <si>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</si>
  <si>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</si>
  <si>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</si>
  <si>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</si>
  <si>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</si>
  <si>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</si>
  <si>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</si>
  <si>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</si>
  <si>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</si>
  <si>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</si>
  <si>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</si>
  <si>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</si>
  <si>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</si>
  <si>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NSS-19 S</t>
  </si>
  <si>
    <t>TESI-118 S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</si>
  <si>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</si>
  <si>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</si>
  <si>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</si>
  <si>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</si>
  <si>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</si>
  <si>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QUO-APT-294</t>
  </si>
  <si>
    <t>IAS-14</t>
  </si>
  <si>
    <t>QUO-008</t>
  </si>
  <si>
    <t>IAS-15</t>
  </si>
  <si>
    <t>QUO-190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</si>
  <si>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</si>
  <si>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</si>
  <si>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</si>
  <si>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</si>
  <si>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</si>
  <si>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GSS-1</t>
  </si>
  <si>
    <t>SILKO-1 B</t>
  </si>
  <si>
    <t>GSS-3</t>
  </si>
  <si>
    <t>SILKO-C 35</t>
  </si>
  <si>
    <t>NGS-7</t>
  </si>
  <si>
    <t>SILKO-132</t>
  </si>
  <si>
    <t>VSS-12 A</t>
  </si>
  <si>
    <t>SILKO-145 A</t>
  </si>
  <si>
    <t>NSS-12 B</t>
  </si>
  <si>
    <t>SILKO-145 B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</si>
  <si>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</si>
  <si>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</si>
  <si>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</si>
  <si>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</si>
  <si>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</si>
  <si>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VSS-NC2A</t>
  </si>
  <si>
    <t>MAR-25A</t>
  </si>
  <si>
    <t>DSSS-NC2B</t>
  </si>
  <si>
    <t>MAR-25B</t>
  </si>
  <si>
    <t>NSS-NC6B</t>
  </si>
  <si>
    <t>AVAV-15B</t>
  </si>
  <si>
    <t>VSS-NC9A</t>
  </si>
  <si>
    <t>ALB-25A</t>
  </si>
  <si>
    <t>NNS-NC9B</t>
  </si>
  <si>
    <t>ALB-25B</t>
  </si>
  <si>
    <t>NSS-NC11B</t>
  </si>
  <si>
    <t>ALB-108B</t>
  </si>
  <si>
    <t>NNS-NC12B</t>
  </si>
  <si>
    <t>ALB-88B</t>
  </si>
  <si>
    <t>NNS-NC13B</t>
  </si>
  <si>
    <t>ALB-79B</t>
  </si>
  <si>
    <t>IAS-NC14B</t>
  </si>
  <si>
    <t>ALB-116B</t>
  </si>
  <si>
    <t>VSS-NC15B</t>
  </si>
  <si>
    <t>ALB-55B</t>
  </si>
  <si>
    <t>VSS-NC-21</t>
  </si>
  <si>
    <t>NC</t>
  </si>
  <si>
    <t>VSS-NC-26</t>
  </si>
  <si>
    <t>VSS-NC-25A</t>
  </si>
  <si>
    <t>LINEA-4A</t>
  </si>
  <si>
    <t>VSS-NC-32</t>
  </si>
  <si>
    <t>LINEA-12</t>
  </si>
  <si>
    <t>NSS-NC-36B</t>
  </si>
  <si>
    <t>INCO-014B</t>
  </si>
  <si>
    <t>TOTAL VALUE IN OFFICE MYR</t>
  </si>
  <si>
    <t>TOTAL VALUE OF PENDING</t>
  </si>
  <si>
    <t>TOTAL VALUE MYR</t>
  </si>
  <si>
    <t>LACE</t>
  </si>
  <si>
    <r>
      <rPr>
        <b/>
        <sz val="11"/>
        <color rgb="FF000000"/>
        <rFont val="Montserrat"/>
      </rPr>
      <t>PENDING</t>
    </r>
    <r>
      <rPr>
        <b/>
        <sz val="11"/>
        <color rgb="FFFF0000"/>
        <rFont val="Montserrat"/>
      </rPr>
      <t xml:space="preserve">-P </t>
    </r>
  </si>
  <si>
    <t>LAGATOLA PLAN LACE (P.L)</t>
  </si>
  <si>
    <t>QTY (m)</t>
  </si>
  <si>
    <r>
      <rPr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</si>
  <si>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</si>
  <si>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</si>
  <si>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</si>
  <si>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</si>
  <si>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</si>
  <si>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</si>
  <si>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SOL-PL-EAS-2</t>
  </si>
  <si>
    <t>ML 007314-090-0</t>
  </si>
  <si>
    <t>BONIFICO</t>
  </si>
  <si>
    <t>SOL-PL-ESS-4</t>
  </si>
  <si>
    <t>SOL-PL-ESS-6</t>
  </si>
  <si>
    <t>BALZATO</t>
  </si>
  <si>
    <t>SOL-PL-ESS-8</t>
  </si>
  <si>
    <t>BLUE</t>
  </si>
  <si>
    <t>SOL-PL-DDSS-9</t>
  </si>
  <si>
    <t>RED</t>
  </si>
  <si>
    <t>SOL-PL-EAS-10</t>
  </si>
  <si>
    <t>SOL-PL-DSSS-13</t>
  </si>
  <si>
    <t>SOL-PL-EAS-14</t>
  </si>
  <si>
    <t>PIENO</t>
  </si>
  <si>
    <t>SOL-PL-VSS-18</t>
  </si>
  <si>
    <t>SOL-PL-VAS-19</t>
  </si>
  <si>
    <t>SOL-PL-ESS-21</t>
  </si>
  <si>
    <t>SOL-PL-EAS-24</t>
  </si>
  <si>
    <t>IVORY</t>
  </si>
  <si>
    <t>SOL-PL-ESS-25</t>
  </si>
  <si>
    <t>DEEP MEROON</t>
  </si>
  <si>
    <t>SOL-PL-ESS-27</t>
  </si>
  <si>
    <t>SOL-PL-VAS-29</t>
  </si>
  <si>
    <t>DARK GREEN</t>
  </si>
  <si>
    <t>SOL-PL-VAS-31</t>
  </si>
  <si>
    <t>BRONZE</t>
  </si>
  <si>
    <t>SOL-PL-DUSS-32</t>
  </si>
  <si>
    <t>7245.090.1</t>
  </si>
  <si>
    <t>ORANGE</t>
  </si>
  <si>
    <t>SOL-PL-DDSS-34</t>
  </si>
  <si>
    <t>BLACK / BROWN</t>
  </si>
  <si>
    <t>SOL-PL-DDSS-35</t>
  </si>
  <si>
    <t>SOL-PL-VAS-36</t>
  </si>
  <si>
    <t>GOLD/GREY</t>
  </si>
  <si>
    <t>SOL-PL-ESS-37</t>
  </si>
  <si>
    <t>GREEN/BLACK</t>
  </si>
  <si>
    <t>SOL-PL-DSAS-38</t>
  </si>
  <si>
    <t>SOL-PL-DSAS-39</t>
  </si>
  <si>
    <t>GOLD/PEACH</t>
  </si>
  <si>
    <t>SOL-PL-DUSS-40</t>
  </si>
  <si>
    <t>SOL-PL-DSSS-41</t>
  </si>
  <si>
    <t>BRONZE/GREEN</t>
  </si>
  <si>
    <t>SOL-PL-ESS-42</t>
  </si>
  <si>
    <t>SOL-PL-EAS-113</t>
  </si>
  <si>
    <t>43 007245 85 90</t>
  </si>
  <si>
    <t>PLAIN BALZATO</t>
  </si>
  <si>
    <t>SOL-PL-ESS-114</t>
  </si>
  <si>
    <t>44 007245 85 90</t>
  </si>
  <si>
    <t>SOL-PL-EAS-116</t>
  </si>
  <si>
    <t>SOL-PL-EAS-117</t>
  </si>
  <si>
    <t>SOL-PL-DSSS-119</t>
  </si>
  <si>
    <t>SOL-PL-VAS-120</t>
  </si>
  <si>
    <t>SOL-PL-DSSS-121</t>
  </si>
  <si>
    <t>SOL-PL-EAS-122</t>
  </si>
  <si>
    <t>SOL-PL-ESS-123</t>
  </si>
  <si>
    <t>SOL-PL-VSS-124</t>
  </si>
  <si>
    <t>45 007245 85 90</t>
  </si>
  <si>
    <t>FUCHSIA</t>
  </si>
  <si>
    <t>SOL-PL-EAS-126</t>
  </si>
  <si>
    <t>46 007245 85 90</t>
  </si>
  <si>
    <t>SOL-PL-EAS-127</t>
  </si>
  <si>
    <t>SOL-PL-VSS-128</t>
  </si>
  <si>
    <t>SOL-PL-VAS-129</t>
  </si>
  <si>
    <t>SOL-PL-ESS-163</t>
  </si>
  <si>
    <t>SOL-PL-DSSS-164</t>
  </si>
  <si>
    <t>SOL-PL-VSS-165</t>
  </si>
  <si>
    <t>LAGATOLALUREXLACE (L.L)</t>
  </si>
  <si>
    <r>
      <rPr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</si>
  <si>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</si>
  <si>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</si>
  <si>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</si>
  <si>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</si>
  <si>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</si>
  <si>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</si>
  <si>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SOL-LL-DSSS-243</t>
  </si>
  <si>
    <t>7001-140-0</t>
  </si>
  <si>
    <t>GOLD/BROWN</t>
  </si>
  <si>
    <t>SOL-LL-DUSS-244</t>
  </si>
  <si>
    <t>LUREXLACE</t>
  </si>
  <si>
    <t>SOL-LL-DASS-246</t>
  </si>
  <si>
    <t>SOL-LL-DGSS-247</t>
  </si>
  <si>
    <t>SILVER / PEACH</t>
  </si>
  <si>
    <t>SOL-LL-DGSS-248</t>
  </si>
  <si>
    <t>PIZZO</t>
  </si>
  <si>
    <t>SOL-LL-DASS-250</t>
  </si>
  <si>
    <t>7316-140-0</t>
  </si>
  <si>
    <t>SOL-LL-DGSS-251</t>
  </si>
  <si>
    <t>GOLD/ GOLD</t>
  </si>
  <si>
    <t>SOL-LL-DGSS-255</t>
  </si>
  <si>
    <t>SOL-LL-DASS-257</t>
  </si>
  <si>
    <t>SOL-LL-DGSS-258</t>
  </si>
  <si>
    <t>SOL-LL-DSAS-260</t>
  </si>
  <si>
    <t>7246.140.0</t>
  </si>
  <si>
    <t>SOL-LL-DNSS-262</t>
  </si>
  <si>
    <t>SOL-LL-DNSS-264</t>
  </si>
  <si>
    <t>SOL-LL-DASS-265</t>
  </si>
  <si>
    <t>7246.140.1</t>
  </si>
  <si>
    <t>SOL-LL-DASS-266</t>
  </si>
  <si>
    <t>SOL-LL-DASS-267</t>
  </si>
  <si>
    <t>SOL-LL-DUSS-268</t>
  </si>
  <si>
    <t>SOL-LL-DASS-269</t>
  </si>
  <si>
    <t>7051.120.0</t>
  </si>
  <si>
    <t>SOL-LL-DGSS-270</t>
  </si>
  <si>
    <t>SOL-LL-DRAS-271</t>
  </si>
  <si>
    <t>SOL-LL-DRAS-272</t>
  </si>
  <si>
    <t>SOL-LL-VSS-273</t>
  </si>
  <si>
    <t>SOL-LL-DGSS-274</t>
  </si>
  <si>
    <t>SOL-LL-DAAS-276</t>
  </si>
  <si>
    <t>SOL-LL-DAAS-277</t>
  </si>
  <si>
    <t>SOL-LL-DAAS-278</t>
  </si>
  <si>
    <t>SOL-LL-DAAS-279</t>
  </si>
  <si>
    <t>SOL-LL-DGSS-280</t>
  </si>
  <si>
    <t>7073.120.1</t>
  </si>
  <si>
    <t>SOL-LL-DAAS-281</t>
  </si>
  <si>
    <t>SOL-LL-DRAS-282</t>
  </si>
  <si>
    <t>SOL-LL-DNSS-283</t>
  </si>
  <si>
    <t>BONIFICO GREEN</t>
  </si>
  <si>
    <t>SOL-LL-DAAS-284</t>
  </si>
  <si>
    <t>SOL-LL-DUAS-285</t>
  </si>
  <si>
    <t>PIZZO RED</t>
  </si>
  <si>
    <t>SOL-LL-DASS-286</t>
  </si>
  <si>
    <t>7331.140.0</t>
  </si>
  <si>
    <t>SOL-LL-DASS-287</t>
  </si>
  <si>
    <t>SOL-LL-DRAS-288</t>
  </si>
  <si>
    <t>SOL-LL-DRSS-290</t>
  </si>
  <si>
    <t>GOLD</t>
  </si>
  <si>
    <t>SOL-LL-DRSS-293</t>
  </si>
  <si>
    <t>SOL-LL-DGAS-294</t>
  </si>
  <si>
    <t>SILVER</t>
  </si>
  <si>
    <t>SOL-LL-DRAS-295</t>
  </si>
  <si>
    <t>SOL-LL-DRSS-296</t>
  </si>
  <si>
    <t>SOL-LL-DASS-297</t>
  </si>
  <si>
    <t>SOL-LL-DUAS-298</t>
  </si>
  <si>
    <t>SOL-LL-DASS-299</t>
  </si>
  <si>
    <t>SOL-LL-DNSS-300</t>
  </si>
  <si>
    <t>SOL-LL-DRSS-301</t>
  </si>
  <si>
    <t>SOL-LL-DRSS-302</t>
  </si>
  <si>
    <t>SOL-LL-DASS-303</t>
  </si>
  <si>
    <t>SOL-LL-DNSS-304</t>
  </si>
  <si>
    <t>SOL-LL-DSAS-305</t>
  </si>
  <si>
    <t>CASA DELLO -SOLSTISS (CD)</t>
  </si>
  <si>
    <r>
      <rPr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</si>
  <si>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</si>
  <si>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</si>
  <si>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</si>
  <si>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</si>
  <si>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</si>
  <si>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</si>
  <si>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SOL-CD-DSSS-110</t>
  </si>
  <si>
    <t>33-B22726-PL</t>
  </si>
  <si>
    <t>RUST</t>
  </si>
  <si>
    <t>SOL-CD-DUSS-121</t>
  </si>
  <si>
    <t>50810369-LL</t>
  </si>
  <si>
    <t>KAKI / SUNDAE</t>
  </si>
  <si>
    <t>SOL-CD-DUSS-133</t>
  </si>
  <si>
    <t>102-LL</t>
  </si>
  <si>
    <t>SOL-CD-VSS-134</t>
  </si>
  <si>
    <t>SOL-CD-DUSS-135</t>
  </si>
  <si>
    <t>SOL-CD-DSSS-136</t>
  </si>
  <si>
    <t>BOURGOGNE / GOLD</t>
  </si>
  <si>
    <t>SOL-CD-DSSS-138</t>
  </si>
  <si>
    <t xml:space="preserve">DARK OLIVE </t>
  </si>
  <si>
    <t>SOL-CD-EAS-139</t>
  </si>
  <si>
    <t>SOL-CD-ESS-140</t>
  </si>
  <si>
    <t>BLACK / GOLD</t>
  </si>
  <si>
    <t>SOL-CD-ESS-141</t>
  </si>
  <si>
    <t>SOL-CD-DUSS-142</t>
  </si>
  <si>
    <t>SOL-CD-ESS-144</t>
  </si>
  <si>
    <t>SOL-CD-ESS-145</t>
  </si>
  <si>
    <t>SOL-CD-DUSS-147</t>
  </si>
  <si>
    <t>CRIMSON / GOLD</t>
  </si>
  <si>
    <t>SOL-CD-DUSS-148</t>
  </si>
  <si>
    <t>GLAZE / GOLD</t>
  </si>
  <si>
    <t>SOL-CD-DRSS-149</t>
  </si>
  <si>
    <t>KHAKI-LL</t>
  </si>
  <si>
    <t>5.6</t>
  </si>
  <si>
    <t>SOL-CD-ESS-150</t>
  </si>
  <si>
    <t>GREEN / PURPLE</t>
  </si>
  <si>
    <t>SOL-CD-DRSS-151</t>
  </si>
  <si>
    <t>BLUSH/EBENE-PL</t>
  </si>
  <si>
    <t>5.7</t>
  </si>
  <si>
    <t>SOL-CD-DSSS-152</t>
  </si>
  <si>
    <t>SARCELLE / COPPER</t>
  </si>
  <si>
    <t>SOL-CD-DDSS-154</t>
  </si>
  <si>
    <t>230360-LL</t>
  </si>
  <si>
    <t>SOL-CD-DDSS-155</t>
  </si>
  <si>
    <t>SOL-CD-DRAS-156</t>
  </si>
  <si>
    <t>30335-LL</t>
  </si>
  <si>
    <t>GOLD / DEEP GOLD</t>
  </si>
  <si>
    <t>SOL-CD-DDSS-157</t>
  </si>
  <si>
    <t>VERT DE GRIS</t>
  </si>
  <si>
    <t>SOL-CD-DUSS-158</t>
  </si>
  <si>
    <t>SOL-CD-DUSS-159</t>
  </si>
  <si>
    <t>102-PL</t>
  </si>
  <si>
    <t>PURPLE</t>
  </si>
  <si>
    <t>SOL-CD-DUSS-160</t>
  </si>
  <si>
    <t>1B12718-PL</t>
  </si>
  <si>
    <t>MIEL</t>
  </si>
  <si>
    <t>SOL-CD-DSSS-162</t>
  </si>
  <si>
    <t>49 B47542-LL</t>
  </si>
  <si>
    <t>RUST / SILVER</t>
  </si>
  <si>
    <t>SOL-CD-DDSS-163</t>
  </si>
  <si>
    <t>2376285-PL</t>
  </si>
  <si>
    <t>MAGENTA</t>
  </si>
  <si>
    <t>SOL-CD-DUSS-164</t>
  </si>
  <si>
    <t>4 410315-LL</t>
  </si>
  <si>
    <t>SOL-CD-ESS-166</t>
  </si>
  <si>
    <t>4410315-LL</t>
  </si>
  <si>
    <t>SOL-CD-EAS-167</t>
  </si>
  <si>
    <t>GOLD / MEROON</t>
  </si>
  <si>
    <t>SOL-CD-EAS-168</t>
  </si>
  <si>
    <t>BROWN / GOLD</t>
  </si>
  <si>
    <t>SOL-CD-ESS-169</t>
  </si>
  <si>
    <t>VIOLET / POUDRE</t>
  </si>
  <si>
    <t>SOL-CD-DSSS-171</t>
  </si>
  <si>
    <t>23.B39617-PL</t>
  </si>
  <si>
    <t>GREEN</t>
  </si>
  <si>
    <t>BEIRUT LACE  (BEI)</t>
  </si>
  <si>
    <r>
      <rPr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</si>
  <si>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</si>
  <si>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</si>
  <si>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</si>
  <si>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</si>
  <si>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</si>
  <si>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</si>
  <si>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DRSS 1</t>
  </si>
  <si>
    <t>FSH 538</t>
  </si>
  <si>
    <t>DRSS 2</t>
  </si>
  <si>
    <t>DRSS 3</t>
  </si>
  <si>
    <t>TURQUOISE</t>
  </si>
  <si>
    <t>DRSS 4</t>
  </si>
  <si>
    <t>GRAY</t>
  </si>
  <si>
    <t>DRSS 5</t>
  </si>
  <si>
    <t>BLACK</t>
  </si>
  <si>
    <t>DRSS 6</t>
  </si>
  <si>
    <t>DRSS 8</t>
  </si>
  <si>
    <t>AN35370</t>
  </si>
  <si>
    <t>DRSS 9</t>
  </si>
  <si>
    <t>DARK BLUE</t>
  </si>
  <si>
    <t>DRSS 10</t>
  </si>
  <si>
    <t>DRSS 11</t>
  </si>
  <si>
    <t>AN35369</t>
  </si>
  <si>
    <t>DRSS 12</t>
  </si>
  <si>
    <t>ROYAL BLUE</t>
  </si>
  <si>
    <t>DRSS 13</t>
  </si>
  <si>
    <t>NAVY</t>
  </si>
  <si>
    <t>DRSS 14</t>
  </si>
  <si>
    <t>AN38425</t>
  </si>
  <si>
    <t>DRSS 15</t>
  </si>
  <si>
    <t>DRSS 19</t>
  </si>
  <si>
    <t>FSH 509</t>
  </si>
  <si>
    <t>COPPER</t>
  </si>
  <si>
    <t>DRSS 20</t>
  </si>
  <si>
    <t>PINK</t>
  </si>
  <si>
    <t>DRSS 21</t>
  </si>
  <si>
    <t>FSH 118</t>
  </si>
  <si>
    <t>DRSS 22</t>
  </si>
  <si>
    <t>DRSS 23</t>
  </si>
  <si>
    <t>DRSS 24</t>
  </si>
  <si>
    <t>FSH 20B</t>
  </si>
  <si>
    <t>PETROL</t>
  </si>
  <si>
    <t>DRSS 25</t>
  </si>
  <si>
    <t>LILAC</t>
  </si>
  <si>
    <t>DRSS 26</t>
  </si>
  <si>
    <t>DRSS 27</t>
  </si>
  <si>
    <t>DUSS 28</t>
  </si>
  <si>
    <t>YELLOW</t>
  </si>
  <si>
    <t>DRSS 29</t>
  </si>
  <si>
    <t>DRSS 30</t>
  </si>
  <si>
    <t>PEACH</t>
  </si>
  <si>
    <t>DRSS 31</t>
  </si>
  <si>
    <t>FSH 37B</t>
  </si>
  <si>
    <t>DRSS 32</t>
  </si>
  <si>
    <t>DRSS 33</t>
  </si>
  <si>
    <t>DRSS 34</t>
  </si>
  <si>
    <t>DRSS 35</t>
  </si>
  <si>
    <t>DRSS 36</t>
  </si>
  <si>
    <t>FSH 813A</t>
  </si>
  <si>
    <t>DRSS 37</t>
  </si>
  <si>
    <t>DRSS 38</t>
  </si>
  <si>
    <t>DRSS 39</t>
  </si>
  <si>
    <t>STRIPE</t>
  </si>
  <si>
    <t xml:space="preserve">EMBROIUERY </t>
  </si>
  <si>
    <t>DRSS 40</t>
  </si>
  <si>
    <t>GRAY GREEN</t>
  </si>
  <si>
    <t>DRSS 41</t>
  </si>
  <si>
    <t>DEAS 42</t>
  </si>
  <si>
    <t>2215489 C</t>
  </si>
  <si>
    <t>DEAS 43</t>
  </si>
  <si>
    <t>DEAS 44</t>
  </si>
  <si>
    <t>DVSS 45</t>
  </si>
  <si>
    <t>AN38426</t>
  </si>
  <si>
    <t>LEMON</t>
  </si>
  <si>
    <t>DEAS 46</t>
  </si>
  <si>
    <t>BLACK | WHITE</t>
  </si>
  <si>
    <t>DEAS 47</t>
  </si>
  <si>
    <t>DEAS 48</t>
  </si>
  <si>
    <t>DEAS 49</t>
  </si>
  <si>
    <t>SKY BLUE</t>
  </si>
  <si>
    <t>DEAS 50</t>
  </si>
  <si>
    <t>AN35351</t>
  </si>
  <si>
    <t>DEAS 51</t>
  </si>
  <si>
    <t>DEAS 52</t>
  </si>
  <si>
    <t>DEAS 53</t>
  </si>
  <si>
    <t>7794 R</t>
  </si>
  <si>
    <t>QUNA</t>
  </si>
  <si>
    <t>DEAS 54</t>
  </si>
  <si>
    <t>UUSS 55</t>
  </si>
  <si>
    <t>FSH 13</t>
  </si>
  <si>
    <t>UUSS 56</t>
  </si>
  <si>
    <t>DARK GOLD</t>
  </si>
  <si>
    <t>UUSS 57</t>
  </si>
  <si>
    <t>SALMON</t>
  </si>
  <si>
    <t>UUSS 58</t>
  </si>
  <si>
    <t>UUAS 59</t>
  </si>
  <si>
    <t>PT 0647</t>
  </si>
  <si>
    <t>UUAS 60</t>
  </si>
  <si>
    <t>UUAS 61</t>
  </si>
  <si>
    <t>FUSHIA</t>
  </si>
  <si>
    <t>UUAS 62</t>
  </si>
  <si>
    <t>UUAS 63</t>
  </si>
  <si>
    <t>FSH 17</t>
  </si>
  <si>
    <t>UUAS 64</t>
  </si>
  <si>
    <t>AN 35336</t>
  </si>
  <si>
    <t>ANIS</t>
  </si>
  <si>
    <t>UUAS 65</t>
  </si>
  <si>
    <t>AN 35411</t>
  </si>
  <si>
    <t>UNSS 16</t>
  </si>
  <si>
    <t>AN-35411</t>
  </si>
  <si>
    <t>UUAS 18</t>
  </si>
  <si>
    <t>AN-35336</t>
  </si>
  <si>
    <t>UNSS 66</t>
  </si>
  <si>
    <t>UNSS 78</t>
  </si>
  <si>
    <t>JS 3443</t>
  </si>
  <si>
    <t>UNSS 79</t>
  </si>
  <si>
    <t>AN 38425</t>
  </si>
  <si>
    <t>UNSS 80</t>
  </si>
  <si>
    <t>UNSS 81</t>
  </si>
  <si>
    <t>FX 1264</t>
  </si>
  <si>
    <t>UNSS 82</t>
  </si>
  <si>
    <t>N 38368</t>
  </si>
  <si>
    <t>RED | BLACK</t>
  </si>
  <si>
    <t>UNSS 83</t>
  </si>
  <si>
    <t>SKIN</t>
  </si>
  <si>
    <t>UNSS 84</t>
  </si>
  <si>
    <t>SKIN | RED</t>
  </si>
  <si>
    <t>UNSS 85</t>
  </si>
  <si>
    <t>WHITE</t>
  </si>
  <si>
    <t>UGSS 86</t>
  </si>
  <si>
    <t>UGSS 87</t>
  </si>
  <si>
    <t>1077 150 PF 1086</t>
  </si>
  <si>
    <t>UGSS 88</t>
  </si>
  <si>
    <t>1006 U3 J 1029</t>
  </si>
  <si>
    <t>UGSS 89</t>
  </si>
  <si>
    <t>BLACK | YELLOW</t>
  </si>
  <si>
    <t>UGSS 90</t>
  </si>
  <si>
    <t>UGSS 91</t>
  </si>
  <si>
    <t>AN 38368</t>
  </si>
  <si>
    <t>NAVS</t>
  </si>
  <si>
    <t>UGSS 92</t>
  </si>
  <si>
    <t>UGSS 93</t>
  </si>
  <si>
    <t>UGSS 94</t>
  </si>
  <si>
    <t>DRSS-95</t>
  </si>
  <si>
    <t>RRAS 67</t>
  </si>
  <si>
    <t>1013 U3 TM4502</t>
  </si>
  <si>
    <t>RUSS 68</t>
  </si>
  <si>
    <t>FSH 47 A</t>
  </si>
  <si>
    <t>RUSS 69</t>
  </si>
  <si>
    <t>RUSS 70</t>
  </si>
  <si>
    <t>JS 3440 A</t>
  </si>
  <si>
    <t>RUSS 71</t>
  </si>
  <si>
    <t>RUSS 72</t>
  </si>
  <si>
    <t>JS 3445</t>
  </si>
  <si>
    <t>RUSS 73</t>
  </si>
  <si>
    <t>RUSS 74</t>
  </si>
  <si>
    <t>RUSS 75</t>
  </si>
  <si>
    <t>RUSS 76</t>
  </si>
  <si>
    <t>RUSS 77</t>
  </si>
  <si>
    <t>2 TONE</t>
  </si>
  <si>
    <t>RICCIARINI CORD LACE(PL-R)</t>
  </si>
  <si>
    <r>
      <rPr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</si>
  <si>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</si>
  <si>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</si>
  <si>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</si>
  <si>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</si>
  <si>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sz val="11"/>
        <color theme="1"/>
        <rFont val="Montserrat"/>
      </rPr>
      <t xml:space="preserve">  </t>
    </r>
  </si>
  <si>
    <r>
      <rPr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</si>
  <si>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PL -350</t>
  </si>
  <si>
    <t>RIC-F500</t>
  </si>
  <si>
    <t>PL -351</t>
  </si>
  <si>
    <t>PL -352</t>
  </si>
  <si>
    <t>PL -353</t>
  </si>
  <si>
    <t>PL -354</t>
  </si>
  <si>
    <t>B533</t>
  </si>
  <si>
    <t xml:space="preserve">PLAIN </t>
  </si>
  <si>
    <t>PL -355</t>
  </si>
  <si>
    <t>PL -356</t>
  </si>
  <si>
    <t>PL -357</t>
  </si>
  <si>
    <t>PL -358</t>
  </si>
  <si>
    <t>PL -359</t>
  </si>
  <si>
    <t>I233</t>
  </si>
  <si>
    <t>PL -360</t>
  </si>
  <si>
    <t>LT. GREY</t>
  </si>
  <si>
    <t>PL -361</t>
  </si>
  <si>
    <t>PL -362</t>
  </si>
  <si>
    <t>B796</t>
  </si>
  <si>
    <t>PL -363</t>
  </si>
  <si>
    <t>PL -364</t>
  </si>
  <si>
    <t>PL -365</t>
  </si>
  <si>
    <t>PL -366</t>
  </si>
  <si>
    <t>PL -367</t>
  </si>
  <si>
    <t>L508</t>
  </si>
  <si>
    <t xml:space="preserve">BLUE PLAIN </t>
  </si>
  <si>
    <t>PL -368</t>
  </si>
  <si>
    <t>PL -369</t>
  </si>
  <si>
    <t>PL -370</t>
  </si>
  <si>
    <t>B105</t>
  </si>
  <si>
    <t>PLAIN  ORANGE</t>
  </si>
  <si>
    <t>PL -371</t>
  </si>
  <si>
    <t>PL -372</t>
  </si>
  <si>
    <t>I532/VAR 421</t>
  </si>
  <si>
    <t>TESSUTO PIZZO UNITO H.CM 139</t>
  </si>
  <si>
    <t>PL -373</t>
  </si>
  <si>
    <t>N539</t>
  </si>
  <si>
    <t>TESSUTO PIZZO UNITO H.CM 140</t>
  </si>
  <si>
    <t>PL -374</t>
  </si>
  <si>
    <t xml:space="preserve">TURQUOISE </t>
  </si>
  <si>
    <t>PL -375</t>
  </si>
  <si>
    <t>PL -376</t>
  </si>
  <si>
    <t>PL -377</t>
  </si>
  <si>
    <t>PL -378</t>
  </si>
  <si>
    <t>PL -379</t>
  </si>
  <si>
    <t>H508</t>
  </si>
  <si>
    <t>GREY</t>
  </si>
  <si>
    <t>PL -380</t>
  </si>
  <si>
    <t>PL -381</t>
  </si>
  <si>
    <t>PL -382</t>
  </si>
  <si>
    <t>PL -383</t>
  </si>
  <si>
    <t>NO28</t>
  </si>
  <si>
    <t>DRAK GREEN</t>
  </si>
  <si>
    <t>PL -384</t>
  </si>
  <si>
    <t>PL -385</t>
  </si>
  <si>
    <t>PL -386</t>
  </si>
  <si>
    <t>PL -387</t>
  </si>
  <si>
    <t>PL -388</t>
  </si>
  <si>
    <t>PL -389</t>
  </si>
  <si>
    <t>PL -390</t>
  </si>
  <si>
    <t>B103</t>
  </si>
  <si>
    <t>PL -391</t>
  </si>
  <si>
    <t>PL -392</t>
  </si>
  <si>
    <t>E651</t>
  </si>
  <si>
    <t>PL -393</t>
  </si>
  <si>
    <t>PL -394</t>
  </si>
  <si>
    <t>PL -395</t>
  </si>
  <si>
    <t>PL -396</t>
  </si>
  <si>
    <t>P460</t>
  </si>
  <si>
    <t>DRAK RED</t>
  </si>
  <si>
    <t>PL -397</t>
  </si>
  <si>
    <t>DARK RED</t>
  </si>
  <si>
    <t>PL -398</t>
  </si>
  <si>
    <t>PL -399</t>
  </si>
  <si>
    <t>PL-400</t>
  </si>
  <si>
    <t>PL-401</t>
  </si>
  <si>
    <t>PL-402</t>
  </si>
  <si>
    <t>PL-403</t>
  </si>
  <si>
    <t>PL-404</t>
  </si>
  <si>
    <t>PL-405</t>
  </si>
  <si>
    <t>PL-406</t>
  </si>
  <si>
    <t>PL-407</t>
  </si>
  <si>
    <t>C448</t>
  </si>
  <si>
    <t xml:space="preserve">COFFEE PLAIN </t>
  </si>
  <si>
    <t>PL-408</t>
  </si>
  <si>
    <t>PL-409</t>
  </si>
  <si>
    <t>PL-410</t>
  </si>
  <si>
    <t>PL-411</t>
  </si>
  <si>
    <t>PL-412</t>
  </si>
  <si>
    <t>PL-413</t>
  </si>
  <si>
    <t>PL-414</t>
  </si>
  <si>
    <t>N245</t>
  </si>
  <si>
    <t xml:space="preserve">BOTTOL GREEN PLAIN </t>
  </si>
  <si>
    <t>PL-415</t>
  </si>
  <si>
    <t>PL-416</t>
  </si>
  <si>
    <t>PL-417</t>
  </si>
  <si>
    <t>PL-418</t>
  </si>
  <si>
    <t>PL-419</t>
  </si>
  <si>
    <t>TOTAL METER</t>
  </si>
  <si>
    <t xml:space="preserve">AVAILABLE		</t>
  </si>
  <si>
    <t>NOTED: FOR THE PENDING PCIECES PLEASE CHECK INVIOCE FOR THE GIVEN PRICES</t>
  </si>
  <si>
    <r>
      <rPr>
        <b/>
        <sz val="12"/>
        <color rgb="FF000000"/>
        <rFont val="Montserrat"/>
      </rPr>
      <t>PENDING</t>
    </r>
    <r>
      <rPr>
        <b/>
        <sz val="12"/>
        <color rgb="FFFF0000"/>
        <rFont val="Montserrat"/>
      </rPr>
      <t xml:space="preserve">-P </t>
    </r>
  </si>
  <si>
    <t>LAGATOLA PLAN LACE (P.L) PENDING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</si>
  <si>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</si>
  <si>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</si>
  <si>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</si>
  <si>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</si>
  <si>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</si>
  <si>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</si>
  <si>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</si>
  <si>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SOL-PL-ESS-15</t>
  </si>
  <si>
    <t>SOL-PL-VAS-23</t>
  </si>
  <si>
    <t>BEIGE</t>
  </si>
  <si>
    <t>SOL-PL-ESS-5</t>
  </si>
  <si>
    <t>LAGATOLALUREXLACE (L.L) PENDING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</si>
  <si>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</si>
  <si>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</si>
  <si>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</si>
  <si>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</si>
  <si>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</si>
  <si>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</si>
  <si>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</si>
  <si>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CASA DELLO -SOLSTISS (CD) PENDING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</si>
  <si>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</si>
  <si>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</si>
  <si>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</si>
  <si>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</si>
  <si>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</si>
  <si>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</si>
  <si>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</si>
  <si>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BEIRUT LACE  (BEI) PENDING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</si>
  <si>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</si>
  <si>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</si>
  <si>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</si>
  <si>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</si>
  <si>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</si>
  <si>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</si>
  <si>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</si>
  <si>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t>RICCIARINI CORD LACE(PL-R) PENDING</t>
  </si>
  <si>
    <r>
      <rPr>
        <b/>
        <sz val="11"/>
        <color theme="1"/>
        <rFont val="Montserrat"/>
      </rPr>
      <t xml:space="preserve">COST PER MT  </t>
    </r>
    <r>
      <rPr>
        <b/>
        <sz val="11"/>
        <color theme="1"/>
        <rFont val="Montserrat"/>
      </rPr>
      <t>EURO</t>
    </r>
  </si>
  <si>
    <r>
      <rPr>
        <b/>
        <sz val="11"/>
        <color theme="1"/>
        <rFont val="Montserrat"/>
      </rPr>
      <t xml:space="preserve">COST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</si>
  <si>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COST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</si>
  <si>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V.I.P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</si>
  <si>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V.I.P PIECE </t>
    </r>
    <r>
      <rPr>
        <b/>
        <sz val="11"/>
        <color theme="1"/>
        <rFont val="Montserrat"/>
      </rPr>
      <t>RM</t>
    </r>
  </si>
  <si>
    <r>
      <rPr>
        <b/>
        <sz val="11"/>
        <color theme="1"/>
        <rFont val="Montserrat"/>
      </rPr>
      <t xml:space="preserve">SELLING PER MT </t>
    </r>
    <r>
      <rPr>
        <b/>
        <sz val="11"/>
        <color theme="1"/>
        <rFont val="Montserrat"/>
      </rPr>
      <t>RM</t>
    </r>
    <r>
      <rPr>
        <b/>
        <sz val="11"/>
        <color theme="1"/>
        <rFont val="Montserrat"/>
      </rPr>
      <t xml:space="preserve">  </t>
    </r>
  </si>
  <si>
    <r>
      <rPr>
        <b/>
        <sz val="11"/>
        <color theme="1"/>
        <rFont val="Montserrat"/>
      </rPr>
      <t xml:space="preserve">SELLING PIECE </t>
    </r>
    <r>
      <rPr>
        <b/>
        <sz val="11"/>
        <color theme="1"/>
        <rFont val="Montserrat"/>
      </rPr>
      <t>RM</t>
    </r>
  </si>
  <si>
    <r>
      <rPr>
        <b/>
        <sz val="11"/>
        <color rgb="FF000000"/>
        <rFont val="Montserrat"/>
      </rPr>
      <t>PENDING</t>
    </r>
    <r>
      <rPr>
        <b/>
        <sz val="11"/>
        <color rgb="FFFF0000"/>
        <rFont val="Montserrat"/>
      </rPr>
      <t xml:space="preserve">-P </t>
    </r>
  </si>
  <si>
    <t>SOLD PLAN LACE (PL)</t>
  </si>
  <si>
    <t>COMMI %</t>
  </si>
  <si>
    <t xml:space="preserve">DSSS-1 </t>
  </si>
  <si>
    <t xml:space="preserve">ML 007314-090.0 </t>
  </si>
  <si>
    <t>ESS-3</t>
  </si>
  <si>
    <t>DSSS-12</t>
  </si>
  <si>
    <t>ESS-16</t>
  </si>
  <si>
    <t xml:space="preserve">ML 7314.090.0 </t>
  </si>
  <si>
    <t>ESS-20</t>
  </si>
  <si>
    <t>ESS-162</t>
  </si>
  <si>
    <t>43-007314-090.0</t>
  </si>
  <si>
    <t>FUXIA</t>
  </si>
  <si>
    <t>PL</t>
  </si>
  <si>
    <t>43-007314-090.1</t>
  </si>
  <si>
    <t>ESS-28</t>
  </si>
  <si>
    <t>ESS-26</t>
  </si>
  <si>
    <t>EAS-30</t>
  </si>
  <si>
    <t>ESS-112</t>
  </si>
  <si>
    <t>SOL-VAS-17</t>
  </si>
  <si>
    <t>SOL-ESS-22</t>
  </si>
  <si>
    <t>SOL-DSSS-33</t>
  </si>
  <si>
    <t>SOL-VSS-166</t>
  </si>
  <si>
    <t>SOL-PL-ESS-118</t>
  </si>
  <si>
    <t>PLENO</t>
  </si>
  <si>
    <t>SOLDLUREXLACE (L.L)</t>
  </si>
  <si>
    <t>DGGS-49</t>
  </si>
  <si>
    <t>7316-140.0</t>
  </si>
  <si>
    <t>GOLD / BALCK</t>
  </si>
  <si>
    <t>DASS-56</t>
  </si>
  <si>
    <t>7315-140.0</t>
  </si>
  <si>
    <t>FUXIA / PINK</t>
  </si>
  <si>
    <t>M (256)</t>
  </si>
  <si>
    <t>DASS-59</t>
  </si>
  <si>
    <t>RED / GREY</t>
  </si>
  <si>
    <t>DDSS-61</t>
  </si>
  <si>
    <t>7246-140.0</t>
  </si>
  <si>
    <t>DSSS-7</t>
  </si>
  <si>
    <t>207-LL</t>
  </si>
  <si>
    <t>ESSS-11</t>
  </si>
  <si>
    <t>211-LL</t>
  </si>
  <si>
    <t>DSSS-115</t>
  </si>
  <si>
    <t>215-LL</t>
  </si>
  <si>
    <t>DRSS-54</t>
  </si>
  <si>
    <t>254-LL</t>
  </si>
  <si>
    <t>DSSS-131</t>
  </si>
  <si>
    <t>DSSS-129</t>
  </si>
  <si>
    <t>SOL-DGSS-291</t>
  </si>
  <si>
    <t>SOL-DAAS-275</t>
  </si>
  <si>
    <t>SOL-LL-DGSS-252</t>
  </si>
  <si>
    <t>BONIFICO SILVER</t>
  </si>
  <si>
    <t>SOL-LL-DGSS-253</t>
  </si>
  <si>
    <t>SOL-LL-DNSS-263</t>
  </si>
  <si>
    <t>SOL-LL-DASS-289</t>
  </si>
  <si>
    <t>SOL-LL-DASS-292</t>
  </si>
  <si>
    <t>SOLD CASA DELLO (CD)</t>
  </si>
  <si>
    <t>ESS-111</t>
  </si>
  <si>
    <t>CASA -102</t>
  </si>
  <si>
    <t>PINK / ORANGE</t>
  </si>
  <si>
    <t>DSSS-116</t>
  </si>
  <si>
    <t>CASA- 30.B39617</t>
  </si>
  <si>
    <t>DEEP RED</t>
  </si>
  <si>
    <t>DUAS-120</t>
  </si>
  <si>
    <t>PINK / BROWN</t>
  </si>
  <si>
    <t>DRSS-122</t>
  </si>
  <si>
    <t>DDSS-125</t>
  </si>
  <si>
    <t>CASA-102</t>
  </si>
  <si>
    <t>BROWN</t>
  </si>
  <si>
    <t>EAS-137</t>
  </si>
  <si>
    <t>DUSS-132</t>
  </si>
  <si>
    <t>GOLD / LT BROWN</t>
  </si>
  <si>
    <t>VSS-123</t>
  </si>
  <si>
    <t>DDSS-123</t>
  </si>
  <si>
    <t>DUSS-146</t>
  </si>
  <si>
    <t>MEROON/GOLD</t>
  </si>
  <si>
    <t>ESS-143</t>
  </si>
  <si>
    <t>DUSS-127</t>
  </si>
  <si>
    <t>ROSE/GOLD</t>
  </si>
  <si>
    <t>DDAS-165</t>
  </si>
  <si>
    <t>ESS-173</t>
  </si>
  <si>
    <t>DSSS-130</t>
  </si>
  <si>
    <t>DSSS-170</t>
  </si>
  <si>
    <t>35-B33043</t>
  </si>
  <si>
    <t>SOL-DSSS-109</t>
  </si>
  <si>
    <t>23.B39618</t>
  </si>
  <si>
    <t>SOL-DSSS-153</t>
  </si>
  <si>
    <t>SARCELLE</t>
  </si>
  <si>
    <t>DDSS-117</t>
  </si>
  <si>
    <t>PLAIN LACE</t>
  </si>
  <si>
    <t>SOLD BEIRUT LACE  (BEI)</t>
  </si>
  <si>
    <t>COMMISSION  PERCENTAGE</t>
  </si>
  <si>
    <t>DRSS 17</t>
  </si>
  <si>
    <t>GIFT to Mr Warren</t>
  </si>
  <si>
    <t>W</t>
  </si>
  <si>
    <t>DRSS 7</t>
  </si>
  <si>
    <t>SOLD RICCIARINI CORD LACE(PL-R)</t>
  </si>
  <si>
    <t>TOTAL VALUE OF SOLD</t>
  </si>
  <si>
    <r>
      <rPr>
        <b/>
        <sz val="11"/>
        <color rgb="FF000000"/>
        <rFont val="Google Sans"/>
      </rPr>
      <t>PENDING</t>
    </r>
    <r>
      <rPr>
        <b/>
        <sz val="11"/>
        <color rgb="FFFF0000"/>
        <rFont val="Google Sans"/>
      </rPr>
      <t xml:space="preserve">-P </t>
    </r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</si>
  <si>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</si>
  <si>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</si>
  <si>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</si>
  <si>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</si>
  <si>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</si>
  <si>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</si>
  <si>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</si>
  <si>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 xml:space="preserve">SUPPLIER
</t>
  </si>
  <si>
    <t>40 - SE</t>
  </si>
  <si>
    <t>CEMB - 300</t>
  </si>
  <si>
    <t>GD - 7157</t>
  </si>
  <si>
    <t>CEMB - 301</t>
  </si>
  <si>
    <t>CEMB - 302</t>
  </si>
  <si>
    <t>CEMB - 303</t>
  </si>
  <si>
    <t>CEMB - 304</t>
  </si>
  <si>
    <t>CEMB - 305</t>
  </si>
  <si>
    <t>CEMB - 306</t>
  </si>
  <si>
    <t>GD - 7393</t>
  </si>
  <si>
    <t>CEMB - 307</t>
  </si>
  <si>
    <t>CEMB - 308</t>
  </si>
  <si>
    <t>CEMB - 309</t>
  </si>
  <si>
    <t>CEMB - 310</t>
  </si>
  <si>
    <t>CEMB - 311</t>
  </si>
  <si>
    <t>SILVER BLUE</t>
  </si>
  <si>
    <t>CEMB - 312</t>
  </si>
  <si>
    <t>CEMB - 313</t>
  </si>
  <si>
    <t>CEMB - 314</t>
  </si>
  <si>
    <t>CEMB - 315</t>
  </si>
  <si>
    <t>CEMB - 316</t>
  </si>
  <si>
    <t>CEMB - 317</t>
  </si>
  <si>
    <t>CEMB - 318</t>
  </si>
  <si>
    <t>LIME GREEN</t>
  </si>
  <si>
    <t>CEMB - 319</t>
  </si>
  <si>
    <t>CEMB - 320</t>
  </si>
  <si>
    <t>CEMB - 321</t>
  </si>
  <si>
    <t>LITE COFFEE</t>
  </si>
  <si>
    <t>CEMB - 322</t>
  </si>
  <si>
    <t>CEMB - 323</t>
  </si>
  <si>
    <t>DARK ORANGE</t>
  </si>
  <si>
    <t>CEMB - 324</t>
  </si>
  <si>
    <t>CEMB - 325</t>
  </si>
  <si>
    <t>CEMB - 326</t>
  </si>
  <si>
    <t>CEMB - 327</t>
  </si>
  <si>
    <t>CEMB - 328</t>
  </si>
  <si>
    <t>CEMB - 329</t>
  </si>
  <si>
    <t>CEMB - 330</t>
  </si>
  <si>
    <t>DACK COFFEE</t>
  </si>
  <si>
    <t>CEMB - 331</t>
  </si>
  <si>
    <t>CEMB - 332</t>
  </si>
  <si>
    <t>CEMB - 333</t>
  </si>
  <si>
    <t>CEMB - 334</t>
  </si>
  <si>
    <t>PINK / FUSHIA</t>
  </si>
  <si>
    <t>CEMB - 335</t>
  </si>
  <si>
    <t>CEMB - 336</t>
  </si>
  <si>
    <t>CEMB - 337</t>
  </si>
  <si>
    <t>CEMB - 338</t>
  </si>
  <si>
    <t>CEMB - 339</t>
  </si>
  <si>
    <t>CEMB - 340</t>
  </si>
  <si>
    <t>CEMB - 341</t>
  </si>
  <si>
    <t>CEMB - 343</t>
  </si>
  <si>
    <t>CEMB - 344</t>
  </si>
  <si>
    <t>CEMB - 345</t>
  </si>
  <si>
    <t>CEMB - 346</t>
  </si>
  <si>
    <t>DARK COFFEE</t>
  </si>
  <si>
    <t>CEMB - 347</t>
  </si>
  <si>
    <t>CEMB - 348</t>
  </si>
  <si>
    <t>CEMB - 349</t>
  </si>
  <si>
    <t>DESIGN 8</t>
  </si>
  <si>
    <t>CEMB - 350</t>
  </si>
  <si>
    <t>CEMB - 351</t>
  </si>
  <si>
    <t>CEMB - 352</t>
  </si>
  <si>
    <t>CEMB - 353</t>
  </si>
  <si>
    <t>CEMB - 354</t>
  </si>
  <si>
    <t>CEMB - 355</t>
  </si>
  <si>
    <t>CEMB - 356</t>
  </si>
  <si>
    <t>MAROON</t>
  </si>
  <si>
    <t>GD-7393B</t>
  </si>
  <si>
    <t>CEMB - 357</t>
  </si>
  <si>
    <t>CEMB - 358</t>
  </si>
  <si>
    <t>CEMB - 359</t>
  </si>
  <si>
    <t>CEMB - 360</t>
  </si>
  <si>
    <t>GD-7157</t>
  </si>
  <si>
    <t>CEMB - 361</t>
  </si>
  <si>
    <t>CEMB - 362</t>
  </si>
  <si>
    <t>CEMB - 363</t>
  </si>
  <si>
    <t>CEMB - 364</t>
  </si>
  <si>
    <t>CEMB - 365</t>
  </si>
  <si>
    <t>CEMB - 366</t>
  </si>
  <si>
    <t>DARK PINK</t>
  </si>
  <si>
    <t>CEMB - 367</t>
  </si>
  <si>
    <t>DRK PINK</t>
  </si>
  <si>
    <t>CEMB - 368</t>
  </si>
  <si>
    <t>COFFEE</t>
  </si>
  <si>
    <t>DESIGN 9</t>
  </si>
  <si>
    <t>CEMB - 369</t>
  </si>
  <si>
    <t>DEEP COFFEE</t>
  </si>
  <si>
    <t>CEMB - 370</t>
  </si>
  <si>
    <t>CEMB - 372</t>
  </si>
  <si>
    <t>CEMB - 374</t>
  </si>
  <si>
    <t>LIGHT PINK</t>
  </si>
  <si>
    <t>CEMB - 375</t>
  </si>
  <si>
    <t>CEMB - 376</t>
  </si>
  <si>
    <t>DESIGN 5</t>
  </si>
  <si>
    <t>CEMB - 377</t>
  </si>
  <si>
    <t>CEMB - 378</t>
  </si>
  <si>
    <t>DESIGN 1</t>
  </si>
  <si>
    <t>CEMB - 379</t>
  </si>
  <si>
    <t>CEMB - 380</t>
  </si>
  <si>
    <t>CEMB - 381</t>
  </si>
  <si>
    <t>CEMB - 383</t>
  </si>
  <si>
    <t>CEMB - 384</t>
  </si>
  <si>
    <t>CEMB - 385</t>
  </si>
  <si>
    <t>CEMB - 386</t>
  </si>
  <si>
    <t>CEMB - 387</t>
  </si>
  <si>
    <t>CEMB - 388</t>
  </si>
  <si>
    <t>CEMB - 389</t>
  </si>
  <si>
    <t>CEMB - 390</t>
  </si>
  <si>
    <t>CEMB - 391</t>
  </si>
  <si>
    <t>CEMB - 392</t>
  </si>
  <si>
    <t>CEMB - 393</t>
  </si>
  <si>
    <t>CEMB - 394</t>
  </si>
  <si>
    <t>CEMB - 395</t>
  </si>
  <si>
    <t>CEMB - 396</t>
  </si>
  <si>
    <t>CEMB - 397</t>
  </si>
  <si>
    <t>CEMB - 398</t>
  </si>
  <si>
    <t>CEMB - 399</t>
  </si>
  <si>
    <t>CEMB - 400</t>
  </si>
  <si>
    <t>CEMB - 401</t>
  </si>
  <si>
    <t>CEMB - 402</t>
  </si>
  <si>
    <t>CEMB - 403</t>
  </si>
  <si>
    <t>CEMB - 404</t>
  </si>
  <si>
    <t>CEMB - 405</t>
  </si>
  <si>
    <t>CEMB - 406</t>
  </si>
  <si>
    <t>CEMB - 407</t>
  </si>
  <si>
    <t>DESIGN 2</t>
  </si>
  <si>
    <t>CEMB - 408</t>
  </si>
  <si>
    <t>CEMB - 409</t>
  </si>
  <si>
    <t>CEMB - 410</t>
  </si>
  <si>
    <t>CEMB - 411</t>
  </si>
  <si>
    <t>CEMB - 412</t>
  </si>
  <si>
    <t>CEMB - 413</t>
  </si>
  <si>
    <t>CEMB - 414</t>
  </si>
  <si>
    <t>CEMB - 415</t>
  </si>
  <si>
    <t>CEMB - 416</t>
  </si>
  <si>
    <t>CEMB - 417</t>
  </si>
  <si>
    <t>DESIGN 3</t>
  </si>
  <si>
    <t>CEMB - 418</t>
  </si>
  <si>
    <t>CEMB - 419</t>
  </si>
  <si>
    <t>CEMB - 420</t>
  </si>
  <si>
    <t>CEMB - 421</t>
  </si>
  <si>
    <t>CEMB - 422</t>
  </si>
  <si>
    <t>CEMB - 423</t>
  </si>
  <si>
    <t>CEMB - 424</t>
  </si>
  <si>
    <t>CEMB - 425</t>
  </si>
  <si>
    <t>CEMB - 426</t>
  </si>
  <si>
    <t>CEMB - 427</t>
  </si>
  <si>
    <t>CEMB - 428</t>
  </si>
  <si>
    <t>CEMB - 429</t>
  </si>
  <si>
    <t>D.PURPLE</t>
  </si>
  <si>
    <t>CEMB - 430</t>
  </si>
  <si>
    <t>CEMB - 431</t>
  </si>
  <si>
    <t>CEMB - 432</t>
  </si>
  <si>
    <t>DARK PURPLE</t>
  </si>
  <si>
    <t>DESIGN 6</t>
  </si>
  <si>
    <t>CEMB - 433</t>
  </si>
  <si>
    <t>CEMB - 434</t>
  </si>
  <si>
    <t>CEMB - 435</t>
  </si>
  <si>
    <t>CEMB - 436</t>
  </si>
  <si>
    <t>CEMB - 437</t>
  </si>
  <si>
    <t>CEMB - 438</t>
  </si>
  <si>
    <t>CEMB - 439</t>
  </si>
  <si>
    <t>CEMB - 440</t>
  </si>
  <si>
    <t>CEMB - 441</t>
  </si>
  <si>
    <t>DESIGN 10</t>
  </si>
  <si>
    <t>CEMB - 442</t>
  </si>
  <si>
    <t>CEMB - 443</t>
  </si>
  <si>
    <t>CORAL | PEACH</t>
  </si>
  <si>
    <t>CEMB - 444</t>
  </si>
  <si>
    <t>CEMB - 445</t>
  </si>
  <si>
    <t>CEMB - 446</t>
  </si>
  <si>
    <t>CEMB - 447</t>
  </si>
  <si>
    <t>CEMB - 448</t>
  </si>
  <si>
    <t>CEMB - 449</t>
  </si>
  <si>
    <t>CEMB - 450</t>
  </si>
  <si>
    <t>DESIGN 4</t>
  </si>
  <si>
    <t>CEMB - 451</t>
  </si>
  <si>
    <t>CEMB - 452</t>
  </si>
  <si>
    <t>CEMB - 453</t>
  </si>
  <si>
    <t>CEMB - 454</t>
  </si>
  <si>
    <t>CEMB - 455</t>
  </si>
  <si>
    <t>CEMB - 456</t>
  </si>
  <si>
    <t>CEMB - 457</t>
  </si>
  <si>
    <t>CEMB - 458</t>
  </si>
  <si>
    <t>CEMB - 459</t>
  </si>
  <si>
    <t>CEMB - 460</t>
  </si>
  <si>
    <t>LT.PINK</t>
  </si>
  <si>
    <t>CEMB - 461</t>
  </si>
  <si>
    <t>L.T PINK</t>
  </si>
  <si>
    <t>CEMB - 462</t>
  </si>
  <si>
    <t xml:space="preserve">RED </t>
  </si>
  <si>
    <t>CEMB - 463</t>
  </si>
  <si>
    <t>CEMB - 465</t>
  </si>
  <si>
    <t>DEEP PEACH</t>
  </si>
  <si>
    <t>CEMB - 466</t>
  </si>
  <si>
    <t>CEMB - 467</t>
  </si>
  <si>
    <t>CEMB - 468</t>
  </si>
  <si>
    <t>DESIGN 18</t>
  </si>
  <si>
    <t>CEMB - 469</t>
  </si>
  <si>
    <t>CEMB - 470</t>
  </si>
  <si>
    <t>CEMB - 471</t>
  </si>
  <si>
    <t>CEMB - 472</t>
  </si>
  <si>
    <t>CEMB - 473</t>
  </si>
  <si>
    <t>CEMB - 474</t>
  </si>
  <si>
    <t>CEMB - 475</t>
  </si>
  <si>
    <t>FUSEHIA</t>
  </si>
  <si>
    <t>CEMB - 476</t>
  </si>
  <si>
    <t>CEMB - 477</t>
  </si>
  <si>
    <t>CEMB - 478</t>
  </si>
  <si>
    <t>CEMB - 479</t>
  </si>
  <si>
    <t>CEMB - 480</t>
  </si>
  <si>
    <t>CEMB - 481</t>
  </si>
  <si>
    <t>CEMB - 482</t>
  </si>
  <si>
    <t>CEMB - 483</t>
  </si>
  <si>
    <t>CEMB - 484</t>
  </si>
  <si>
    <t>CEMB - 485</t>
  </si>
  <si>
    <t>CEMB - 486</t>
  </si>
  <si>
    <t>CEMB - 487</t>
  </si>
  <si>
    <t>CEMB - 488</t>
  </si>
  <si>
    <t>CEMB - 489</t>
  </si>
  <si>
    <t>CEMB - 490</t>
  </si>
  <si>
    <t>CEMB - 491</t>
  </si>
  <si>
    <t>CEMB - 492</t>
  </si>
  <si>
    <t>CEMB - 493</t>
  </si>
  <si>
    <t>CEMB - 494</t>
  </si>
  <si>
    <t>CEMB - 495</t>
  </si>
  <si>
    <t>CEMB - 496</t>
  </si>
  <si>
    <t>CEMB - 497</t>
  </si>
  <si>
    <t>CEMB - 498</t>
  </si>
  <si>
    <t>CEMB - 499</t>
  </si>
  <si>
    <t>CEMB - 500</t>
  </si>
  <si>
    <t>CEMB - 501</t>
  </si>
  <si>
    <t>CEMB - 502</t>
  </si>
  <si>
    <t>CEMB - 503</t>
  </si>
  <si>
    <t>CEMB - 504</t>
  </si>
  <si>
    <t>CEMB - 505</t>
  </si>
  <si>
    <t>SOFT COFFEE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</si>
  <si>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</si>
  <si>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</si>
  <si>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</si>
  <si>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</si>
  <si>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</si>
  <si>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</si>
  <si>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</si>
  <si>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60-SC</t>
  </si>
  <si>
    <t>CEMB 1</t>
  </si>
  <si>
    <t>3D-EMBROIDERY</t>
  </si>
  <si>
    <t>CEMB 2</t>
  </si>
  <si>
    <t>CEMB 3</t>
  </si>
  <si>
    <t>CEMB 4</t>
  </si>
  <si>
    <t>CEMB 5</t>
  </si>
  <si>
    <t>CEMB 8</t>
  </si>
  <si>
    <t>CEMB 9</t>
  </si>
  <si>
    <t>CEMB 10</t>
  </si>
  <si>
    <t>CEMB 11</t>
  </si>
  <si>
    <t>CEMB 12</t>
  </si>
  <si>
    <t>CEMB 14</t>
  </si>
  <si>
    <t>CEMB 17</t>
  </si>
  <si>
    <t>CEMB 19</t>
  </si>
  <si>
    <t>CEMB 21</t>
  </si>
  <si>
    <t>CEMB 22</t>
  </si>
  <si>
    <t>CEMB 23</t>
  </si>
  <si>
    <t>CEMB 24</t>
  </si>
  <si>
    <t>CEMB 25</t>
  </si>
  <si>
    <t>CEMB 26</t>
  </si>
  <si>
    <t>CEMB 27</t>
  </si>
  <si>
    <t>CEMB 28</t>
  </si>
  <si>
    <t>CEMB 29</t>
  </si>
  <si>
    <t>CEMB 30</t>
  </si>
  <si>
    <t>CEMB 31</t>
  </si>
  <si>
    <t>CEMB 32</t>
  </si>
  <si>
    <t>CEMB 34</t>
  </si>
  <si>
    <t>CEMB 35</t>
  </si>
  <si>
    <t>CEMB 36</t>
  </si>
  <si>
    <t>CEMB 37</t>
  </si>
  <si>
    <t>CEMB 38</t>
  </si>
  <si>
    <t>CEMB 39</t>
  </si>
  <si>
    <t>CEMB 41</t>
  </si>
  <si>
    <t>SST</t>
  </si>
  <si>
    <t>CEMB 42</t>
  </si>
  <si>
    <t>CEMB 45</t>
  </si>
  <si>
    <t>ONK</t>
  </si>
  <si>
    <t>CEMB 46</t>
  </si>
  <si>
    <t>CEMB 47</t>
  </si>
  <si>
    <t>CEMB 48</t>
  </si>
  <si>
    <t>CEMB 49</t>
  </si>
  <si>
    <t>S.BAOYUE-598</t>
  </si>
  <si>
    <t>CEMB 50</t>
  </si>
  <si>
    <t>S.BAOYUE-6</t>
  </si>
  <si>
    <t>CEMB 51</t>
  </si>
  <si>
    <t>SST-24A</t>
  </si>
  <si>
    <t>CEMB 52</t>
  </si>
  <si>
    <t>SST-3</t>
  </si>
  <si>
    <t>CEMB 53</t>
  </si>
  <si>
    <t>SST-20</t>
  </si>
  <si>
    <t>CEMB 54</t>
  </si>
  <si>
    <t>SST-9</t>
  </si>
  <si>
    <t>CEMB 55</t>
  </si>
  <si>
    <t>SST-26</t>
  </si>
  <si>
    <t>CEMB 58</t>
  </si>
  <si>
    <t>SST-25</t>
  </si>
  <si>
    <t>CEMB 59</t>
  </si>
  <si>
    <t>ONK-13</t>
  </si>
  <si>
    <t>ONK-16</t>
  </si>
  <si>
    <t>CEMB 61</t>
  </si>
  <si>
    <t>S.BAOYUE-565</t>
  </si>
  <si>
    <t>CEMB 62</t>
  </si>
  <si>
    <t>S.BAOYUE-568</t>
  </si>
  <si>
    <t>CEMB 63</t>
  </si>
  <si>
    <t>CEMB 64</t>
  </si>
  <si>
    <t>SST-18</t>
  </si>
  <si>
    <t>CEMB 65</t>
  </si>
  <si>
    <t>SBT-12</t>
  </si>
  <si>
    <t>CEMB 66</t>
  </si>
  <si>
    <t>SBT-10</t>
  </si>
  <si>
    <t>CEMB 67</t>
  </si>
  <si>
    <t>SST-7</t>
  </si>
  <si>
    <t>CEMB 68</t>
  </si>
  <si>
    <t>SBT-11</t>
  </si>
  <si>
    <t>CEMB 69</t>
  </si>
  <si>
    <t>CASA DELLO</t>
  </si>
  <si>
    <t>CEMB 70</t>
  </si>
  <si>
    <t>SBT-20</t>
  </si>
  <si>
    <t>CEMB 71</t>
  </si>
  <si>
    <t>SBT-4</t>
  </si>
  <si>
    <t>CEMB 72</t>
  </si>
  <si>
    <t>SBT-7</t>
  </si>
  <si>
    <t>CEMB 73</t>
  </si>
  <si>
    <t>SBT-3</t>
  </si>
  <si>
    <t>CEMB 74</t>
  </si>
  <si>
    <t>SBT-18</t>
  </si>
  <si>
    <t>CEMB 75</t>
  </si>
  <si>
    <t>SBT-19</t>
  </si>
  <si>
    <t>CEMB 76</t>
  </si>
  <si>
    <t>CEMB 77</t>
  </si>
  <si>
    <t>T1-17-PX161242</t>
  </si>
  <si>
    <t>CEMB 78</t>
  </si>
  <si>
    <t>T1-17-PX161241</t>
  </si>
  <si>
    <t>CEMB 79</t>
  </si>
  <si>
    <t>T1-17-PX161242-B</t>
  </si>
  <si>
    <t>CEMB 80</t>
  </si>
  <si>
    <t>T1-17-PX161242-A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</si>
  <si>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</si>
  <si>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</si>
  <si>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</si>
  <si>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</si>
  <si>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</si>
  <si>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</si>
  <si>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</si>
  <si>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120-SE</t>
  </si>
  <si>
    <t>CEMB-100</t>
  </si>
  <si>
    <t>EMBROIDERY LACE</t>
  </si>
  <si>
    <t>DESIGN CHILI-2</t>
  </si>
  <si>
    <t>CEMB-101</t>
  </si>
  <si>
    <t>SHAOXING RINGDA GD-7187</t>
  </si>
  <si>
    <t>CEMB-102</t>
  </si>
  <si>
    <t>RT-ACC 8551-AW</t>
  </si>
  <si>
    <t>CEMB-103</t>
  </si>
  <si>
    <t>ONK-9</t>
  </si>
  <si>
    <t>CEMB-104</t>
  </si>
  <si>
    <t>ONK-11</t>
  </si>
  <si>
    <t>CEMB-105</t>
  </si>
  <si>
    <t>ONK-10</t>
  </si>
  <si>
    <t>CEMB-107</t>
  </si>
  <si>
    <t>SKT-9</t>
  </si>
  <si>
    <t>CEMB-108</t>
  </si>
  <si>
    <t>SKT-4</t>
  </si>
  <si>
    <t>CEMB-109</t>
  </si>
  <si>
    <t>SKT-13</t>
  </si>
  <si>
    <t>CEMB-111</t>
  </si>
  <si>
    <t>SKT-7</t>
  </si>
  <si>
    <t>CEMB-113</t>
  </si>
  <si>
    <t>MJSK-17219</t>
  </si>
  <si>
    <t>CEMB-114</t>
  </si>
  <si>
    <t>GTX-S17100-1 RICAMIFICIO TEX</t>
  </si>
  <si>
    <t>CEMB-115</t>
  </si>
  <si>
    <t>NO. SR-J-18</t>
  </si>
  <si>
    <t>CEMB-116</t>
  </si>
  <si>
    <t>SBT-13</t>
  </si>
  <si>
    <t>CEMB-117</t>
  </si>
  <si>
    <t>SBT-9</t>
  </si>
  <si>
    <t>CEMB-118</t>
  </si>
  <si>
    <t>CEMB-119</t>
  </si>
  <si>
    <t>CEMB-120</t>
  </si>
  <si>
    <t>T1-17-PX16525 -F</t>
  </si>
  <si>
    <t>CEMB-121</t>
  </si>
  <si>
    <t>T1-17-PX16525 -C</t>
  </si>
  <si>
    <t>CEMB-123</t>
  </si>
  <si>
    <t>GTX-S17164-1 RICAMIFICIO TEX</t>
  </si>
  <si>
    <t>CEMB-124</t>
  </si>
  <si>
    <t xml:space="preserve">RGD-01 </t>
  </si>
  <si>
    <t>CEMB-125</t>
  </si>
  <si>
    <t>CEMB-126</t>
  </si>
  <si>
    <t>DESIGN - CITI-7</t>
  </si>
  <si>
    <t>CEMB-128</t>
  </si>
  <si>
    <t>SBT-25</t>
  </si>
  <si>
    <t>CEMB-129</t>
  </si>
  <si>
    <t>MJSK - 17121</t>
  </si>
  <si>
    <t>CEMB-130</t>
  </si>
  <si>
    <t>MJSK - 17136</t>
  </si>
  <si>
    <t>CEMB-131</t>
  </si>
  <si>
    <t>MJSK - 17205</t>
  </si>
  <si>
    <t>CEMB-133</t>
  </si>
  <si>
    <t>MJSK - 17172</t>
  </si>
  <si>
    <t>CEMB-134</t>
  </si>
  <si>
    <t>KS - 2703</t>
  </si>
  <si>
    <t>CEMB-135</t>
  </si>
  <si>
    <t>2 PC = DESIGN - CITI 1</t>
  </si>
  <si>
    <t>CEMB-136</t>
  </si>
  <si>
    <t>CASA-19-PL/10</t>
  </si>
  <si>
    <t>CEMB-137</t>
  </si>
  <si>
    <t>CEMB-138</t>
  </si>
  <si>
    <t>VH -12</t>
  </si>
  <si>
    <t>CEMB-139</t>
  </si>
  <si>
    <t>VH - 16</t>
  </si>
  <si>
    <t>CEMB-140</t>
  </si>
  <si>
    <t>VH - 17</t>
  </si>
  <si>
    <t>CEMB-141</t>
  </si>
  <si>
    <t>VH - 5</t>
  </si>
  <si>
    <t>CEMB-142</t>
  </si>
  <si>
    <t>VH - 3 / VH - 11</t>
  </si>
  <si>
    <t>CEMB-143</t>
  </si>
  <si>
    <t>MJSK - 17219 A</t>
  </si>
  <si>
    <t>CEMB-144</t>
  </si>
  <si>
    <t>VH - 2</t>
  </si>
  <si>
    <t>CEMB-145</t>
  </si>
  <si>
    <t>VH - 4</t>
  </si>
  <si>
    <t>CEMB-146</t>
  </si>
  <si>
    <t>EMBROIDERY SOFT TULLE</t>
  </si>
  <si>
    <t>CHILI -13 VAR: 04</t>
  </si>
  <si>
    <t>CEMB-147</t>
  </si>
  <si>
    <t>CEMB-149</t>
  </si>
  <si>
    <t>CHILI -12 VAR: 02</t>
  </si>
  <si>
    <t>CEMB-150</t>
  </si>
  <si>
    <t>CHILI -12 VAR: 01</t>
  </si>
  <si>
    <t>CEMB-151</t>
  </si>
  <si>
    <t>CEMB-152</t>
  </si>
  <si>
    <t>CHILI -11 VAR: 01</t>
  </si>
  <si>
    <t>CEMB-153</t>
  </si>
  <si>
    <t>CEMB-154</t>
  </si>
  <si>
    <t>CHILI -11 VAR: 02</t>
  </si>
  <si>
    <t>CEMB-155</t>
  </si>
  <si>
    <t>CEMB-156</t>
  </si>
  <si>
    <t>CHILI -13 VAR: 03</t>
  </si>
  <si>
    <t>CEMB-157</t>
  </si>
  <si>
    <t>CEMB-158</t>
  </si>
  <si>
    <t>CHILI -13 VAR: 02</t>
  </si>
  <si>
    <t>CEMB-159</t>
  </si>
  <si>
    <t>CEMB-160</t>
  </si>
  <si>
    <t>CHILI -13 VAR: 01</t>
  </si>
  <si>
    <t>CEMB-161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</si>
  <si>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</si>
  <si>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</si>
  <si>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</si>
  <si>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</si>
  <si>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</si>
  <si>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</si>
  <si>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</si>
  <si>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180-SE A</t>
  </si>
  <si>
    <t>CEMB - 200 A</t>
  </si>
  <si>
    <t>BTX - 6</t>
  </si>
  <si>
    <t>180-SE B</t>
  </si>
  <si>
    <t>CEMB - 201 B</t>
  </si>
  <si>
    <t>BTX - 5</t>
  </si>
  <si>
    <t>CEMB - 202</t>
  </si>
  <si>
    <t>BTX - 10</t>
  </si>
  <si>
    <t>CEMB - 205</t>
  </si>
  <si>
    <t>BTX - 19</t>
  </si>
  <si>
    <t>CEMB - 206</t>
  </si>
  <si>
    <t>BTX - 14</t>
  </si>
  <si>
    <t>CEMB - 207</t>
  </si>
  <si>
    <t>BTX - 15</t>
  </si>
  <si>
    <t>CEMB - 208</t>
  </si>
  <si>
    <t>BTX - 8</t>
  </si>
  <si>
    <t>CEMB - 209</t>
  </si>
  <si>
    <t>BTX - 7</t>
  </si>
  <si>
    <t>CEMB - 210</t>
  </si>
  <si>
    <t>BTX - 21</t>
  </si>
  <si>
    <t>CEMB - 211</t>
  </si>
  <si>
    <t>CEMB - 212</t>
  </si>
  <si>
    <t>BTX - 16</t>
  </si>
  <si>
    <t>CEMB - 213</t>
  </si>
  <si>
    <t>BTX - 17</t>
  </si>
  <si>
    <t>CEMB - 214</t>
  </si>
  <si>
    <t>BTX - 9</t>
  </si>
  <si>
    <t>CEMB - 215</t>
  </si>
  <si>
    <t>CEMB - 216</t>
  </si>
  <si>
    <t>BTX - 1</t>
  </si>
  <si>
    <t>CEMB - 217</t>
  </si>
  <si>
    <t>BTX - 2</t>
  </si>
  <si>
    <t>CEMB - 218</t>
  </si>
  <si>
    <t>BTX - 3</t>
  </si>
  <si>
    <t>CEMB - 219</t>
  </si>
  <si>
    <t>BTX - 4</t>
  </si>
  <si>
    <t>180-SE</t>
  </si>
  <si>
    <t>CEMB - 220</t>
  </si>
  <si>
    <t>SBT - 6</t>
  </si>
  <si>
    <t>CEMB - 221</t>
  </si>
  <si>
    <t>SBT - 16</t>
  </si>
  <si>
    <t>CEMB - 222</t>
  </si>
  <si>
    <t>SKT - 1</t>
  </si>
  <si>
    <t>CEMB - 223</t>
  </si>
  <si>
    <t>CEMB - 224</t>
  </si>
  <si>
    <t>BXY - 7</t>
  </si>
  <si>
    <t>CEMB - 226</t>
  </si>
  <si>
    <t>SKT - 8</t>
  </si>
  <si>
    <t>CEMB - 228</t>
  </si>
  <si>
    <t>SBT - 14</t>
  </si>
  <si>
    <t>CEMB - 229</t>
  </si>
  <si>
    <t>CEMB - 232</t>
  </si>
  <si>
    <t>SBT - 8</t>
  </si>
  <si>
    <t>CEMB - 233</t>
  </si>
  <si>
    <t>SBT - 1</t>
  </si>
  <si>
    <t>CEMB - 234</t>
  </si>
  <si>
    <t>BTX - 13</t>
  </si>
  <si>
    <t>CEMB - 235</t>
  </si>
  <si>
    <t>CEMB - 236</t>
  </si>
  <si>
    <t>CEMB - 237</t>
  </si>
  <si>
    <t>KS - 3602</t>
  </si>
  <si>
    <t>CEMB - 238</t>
  </si>
  <si>
    <t>CEMB - 239</t>
  </si>
  <si>
    <t>KS - 3248</t>
  </si>
  <si>
    <t>CEMB - 240</t>
  </si>
  <si>
    <t>BURC 131416</t>
  </si>
  <si>
    <t>CEMB - 241</t>
  </si>
  <si>
    <t>SKT - 5</t>
  </si>
  <si>
    <t>CEMB - 242</t>
  </si>
  <si>
    <t>SKT - 10</t>
  </si>
  <si>
    <t>CEMB - 243</t>
  </si>
  <si>
    <t>SKT - 2</t>
  </si>
  <si>
    <t>CEMB - 244</t>
  </si>
  <si>
    <t>CEMB - 245</t>
  </si>
  <si>
    <t>CEMB - 246</t>
  </si>
  <si>
    <t>CEMB - 247</t>
  </si>
  <si>
    <t>CEMB - 248</t>
  </si>
  <si>
    <t>CEMB - 249</t>
  </si>
  <si>
    <t>CEMB - 250</t>
  </si>
  <si>
    <t>CEMB - 251</t>
  </si>
  <si>
    <r>
      <rPr>
        <b/>
        <sz val="12"/>
        <color rgb="FF000000"/>
        <rFont val="Google Sans"/>
      </rPr>
      <t>PENDING</t>
    </r>
    <r>
      <rPr>
        <b/>
        <sz val="12"/>
        <color rgb="FFFF0000"/>
        <rFont val="Google Sans"/>
      </rPr>
      <t xml:space="preserve">-P </t>
    </r>
  </si>
  <si>
    <t>CEMB 40 PENDING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</si>
  <si>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</si>
  <si>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</si>
  <si>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</si>
  <si>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</si>
  <si>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</si>
  <si>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</si>
  <si>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CEMB 60 PENDING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</si>
  <si>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</si>
  <si>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</si>
  <si>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</si>
  <si>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</si>
  <si>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</si>
  <si>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</si>
  <si>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CEMB 120 PENDING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</si>
  <si>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</si>
  <si>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</si>
  <si>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</si>
  <si>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</si>
  <si>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</si>
  <si>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</si>
  <si>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CEMB 180 PENDING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</si>
  <si>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</si>
  <si>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</si>
  <si>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</si>
  <si>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</si>
  <si>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</si>
  <si>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</si>
  <si>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r>
      <rPr>
        <b/>
        <sz val="11"/>
        <color rgb="FF000000"/>
        <rFont val="Google Sans"/>
      </rPr>
      <t>PENDING</t>
    </r>
    <r>
      <rPr>
        <b/>
        <sz val="11"/>
        <color rgb="FFFF0000"/>
        <rFont val="Google Sans"/>
      </rPr>
      <t xml:space="preserve">-P </t>
    </r>
  </si>
  <si>
    <t>SOLD CEMB - 40</t>
  </si>
  <si>
    <t>NET PRICE AFTER DISC</t>
  </si>
  <si>
    <t>COMMI  %</t>
  </si>
  <si>
    <t>LESS COMMI PER PC</t>
  </si>
  <si>
    <t>CEMB-371</t>
  </si>
  <si>
    <t>CEMB - 373</t>
  </si>
  <si>
    <t>Ms Rani</t>
  </si>
  <si>
    <t>R</t>
  </si>
  <si>
    <t>CEMB - 382</t>
  </si>
  <si>
    <t>CEMB - 342</t>
  </si>
  <si>
    <t>CEMB - 464</t>
  </si>
  <si>
    <t>SOLD CEMB - 60</t>
  </si>
  <si>
    <t>LESS COMM PER PC</t>
  </si>
  <si>
    <t>60-SE</t>
  </si>
  <si>
    <t>CEMB-16</t>
  </si>
  <si>
    <t>CASH</t>
  </si>
  <si>
    <t>CEMB-20</t>
  </si>
  <si>
    <t>CEMB-56</t>
  </si>
  <si>
    <t>CEMB-57</t>
  </si>
  <si>
    <t>CEMB  ( SST 9)</t>
  </si>
  <si>
    <t>CEMB 13</t>
  </si>
  <si>
    <t>CEMB 15</t>
  </si>
  <si>
    <t>CEMB 18</t>
  </si>
  <si>
    <t>CEMB 43</t>
  </si>
  <si>
    <t>CEMB 6</t>
  </si>
  <si>
    <t>CEMB 7</t>
  </si>
  <si>
    <t>CEMB 33</t>
  </si>
  <si>
    <t>CEMB 44</t>
  </si>
  <si>
    <t>SOLD CEMB-120</t>
  </si>
  <si>
    <t>CEMB-127</t>
  </si>
  <si>
    <t>CEMB-132</t>
  </si>
  <si>
    <t>CEMB-148</t>
  </si>
  <si>
    <t>CEMB-106</t>
  </si>
  <si>
    <t>CEMB-112</t>
  </si>
  <si>
    <t>CEMB-110</t>
  </si>
  <si>
    <t>CEMB-122</t>
  </si>
  <si>
    <t>SOLD CEMB-180</t>
  </si>
  <si>
    <t>CEMB - 203</t>
  </si>
  <si>
    <t>CEMB - 225</t>
  </si>
  <si>
    <t>CEMB - 227</t>
  </si>
  <si>
    <t>CEMB - 230</t>
  </si>
  <si>
    <t>CEMB - 231</t>
  </si>
  <si>
    <t>EMBROIDERY</t>
  </si>
  <si>
    <t>316</t>
  </si>
  <si>
    <r>
      <rPr>
        <b/>
        <sz val="11"/>
        <color rgb="FF000000"/>
        <rFont val="Google Sans"/>
      </rPr>
      <t>PENDING</t>
    </r>
    <r>
      <rPr>
        <b/>
        <sz val="11"/>
        <color rgb="FFFF0000"/>
        <rFont val="Google Sans"/>
      </rPr>
      <t xml:space="preserve">-P </t>
    </r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</si>
  <si>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</si>
  <si>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</si>
  <si>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</si>
  <si>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</si>
  <si>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</si>
  <si>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</si>
  <si>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</si>
  <si>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USSS-01</t>
  </si>
  <si>
    <t>ARGO-002</t>
  </si>
  <si>
    <t>BLACK / TURQ CADY SILK</t>
  </si>
  <si>
    <t>4.0</t>
  </si>
  <si>
    <t>GSSS-02</t>
  </si>
  <si>
    <t>ARGO-003</t>
  </si>
  <si>
    <t>BLACK / REU CADY SILK</t>
  </si>
  <si>
    <t>7.0</t>
  </si>
  <si>
    <t>RRSS-03</t>
  </si>
  <si>
    <t>ARGO-005</t>
  </si>
  <si>
    <t>GREEN/ PURPLE CADY SILK</t>
  </si>
  <si>
    <t>6.50</t>
  </si>
  <si>
    <t>GSSS-04</t>
  </si>
  <si>
    <t>BLAK/PURPLE CADY SILK</t>
  </si>
  <si>
    <t>7.20</t>
  </si>
  <si>
    <t>UVSS-05</t>
  </si>
  <si>
    <t>KHOS-01</t>
  </si>
  <si>
    <t>PINK/GREENCDCSILK</t>
  </si>
  <si>
    <t>5.0</t>
  </si>
  <si>
    <t>USSS-06</t>
  </si>
  <si>
    <t>ARGO-004</t>
  </si>
  <si>
    <t>BLACK TULLE</t>
  </si>
  <si>
    <t>USSS-07</t>
  </si>
  <si>
    <t>ARGO-006</t>
  </si>
  <si>
    <t>USSS-08</t>
  </si>
  <si>
    <t>USSS-09</t>
  </si>
  <si>
    <t>ARGO-008</t>
  </si>
  <si>
    <t>WHITE TULLE</t>
  </si>
  <si>
    <t>URSS-10</t>
  </si>
  <si>
    <t>ARGO-009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</si>
  <si>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</si>
  <si>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</si>
  <si>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</si>
  <si>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</si>
  <si>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</si>
  <si>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</si>
  <si>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</si>
  <si>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VUSS-11</t>
  </si>
  <si>
    <t>42140U03</t>
  </si>
  <si>
    <t xml:space="preserve">PURPLECDC100% SILK </t>
  </si>
  <si>
    <t>6.80</t>
  </si>
  <si>
    <t>VRSS-12</t>
  </si>
  <si>
    <t>42140U05</t>
  </si>
  <si>
    <t>ORANGECDC100% SILK</t>
  </si>
  <si>
    <t>6.9</t>
  </si>
  <si>
    <t>IASS-13</t>
  </si>
  <si>
    <t>42025B03</t>
  </si>
  <si>
    <t>7.1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</si>
  <si>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</si>
  <si>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</si>
  <si>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</si>
  <si>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</si>
  <si>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</si>
  <si>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</si>
  <si>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</si>
  <si>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GASS-16</t>
  </si>
  <si>
    <t>36760LU.VIR</t>
  </si>
  <si>
    <t xml:space="preserve">SKY BLUE ORGANZA ALL OVER </t>
  </si>
  <si>
    <t>4.5</t>
  </si>
  <si>
    <t>RASS-17</t>
  </si>
  <si>
    <t>34569L.LEK</t>
  </si>
  <si>
    <t>BANAN GREEN SILK</t>
  </si>
  <si>
    <t>3.5</t>
  </si>
  <si>
    <t>GASS-18</t>
  </si>
  <si>
    <t>36628.GUKS</t>
  </si>
  <si>
    <t>NAVY MODREN MACRAME</t>
  </si>
  <si>
    <t>GASS-19</t>
  </si>
  <si>
    <t>3668LB.GUKS</t>
  </si>
  <si>
    <t>BEIGE MODREN MACRAME</t>
  </si>
  <si>
    <t>GASS-20</t>
  </si>
  <si>
    <t>36350L.GAB</t>
  </si>
  <si>
    <t>PINK GOLUEN CLIQUE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</si>
  <si>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</si>
  <si>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</si>
  <si>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</si>
  <si>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</si>
  <si>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</si>
  <si>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</si>
  <si>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</si>
  <si>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EESS-21</t>
  </si>
  <si>
    <t>4659-MOD-TI-LX</t>
  </si>
  <si>
    <t>LILAC TULLE</t>
  </si>
  <si>
    <t>7.6</t>
  </si>
  <si>
    <t>EISS-22</t>
  </si>
  <si>
    <t>OLIVE TULLE</t>
  </si>
  <si>
    <t>7.4</t>
  </si>
  <si>
    <t>IASS-23</t>
  </si>
  <si>
    <t>PP8080-MOD-C14-LX</t>
  </si>
  <si>
    <t>BLUE PURPLE FRENCH LACE</t>
  </si>
  <si>
    <t>UUSS-24</t>
  </si>
  <si>
    <t>4653-MOD-CDC-LX</t>
  </si>
  <si>
    <t>TUEQUOISECDC100% SILK</t>
  </si>
  <si>
    <t>7.3</t>
  </si>
  <si>
    <t>EISS-25</t>
  </si>
  <si>
    <t>BLUE TULLE</t>
  </si>
  <si>
    <t>IVSS-27</t>
  </si>
  <si>
    <t>REU FRENCH LACE</t>
  </si>
  <si>
    <t>5.2</t>
  </si>
  <si>
    <t>IUSS-28</t>
  </si>
  <si>
    <t>PURPLE FRENCH LACE</t>
  </si>
  <si>
    <t>4.8</t>
  </si>
  <si>
    <t>UUSSS-29</t>
  </si>
  <si>
    <t>4644-MOD-TI-C01-LX</t>
  </si>
  <si>
    <t>PURPLE / GREEN TISSUE</t>
  </si>
  <si>
    <t>UUSSS-30</t>
  </si>
  <si>
    <t>GREENCDC100% SILK</t>
  </si>
  <si>
    <t>UUUSS-31</t>
  </si>
  <si>
    <t>SALMON GREEN TISSUE</t>
  </si>
  <si>
    <t>USASS-32</t>
  </si>
  <si>
    <t>REUCDC100% SILK</t>
  </si>
  <si>
    <t>7</t>
  </si>
  <si>
    <t>USASS-33</t>
  </si>
  <si>
    <t>4659-MOD-CDC-LX</t>
  </si>
  <si>
    <t>PINK PURPLE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</si>
  <si>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</si>
  <si>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</si>
  <si>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</si>
  <si>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</si>
  <si>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</si>
  <si>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</si>
  <si>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</si>
  <si>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RGSS-34</t>
  </si>
  <si>
    <t>3164-C</t>
  </si>
  <si>
    <t>PINK 100% SILKCDC</t>
  </si>
  <si>
    <t>6.70</t>
  </si>
  <si>
    <t>RGSS-35</t>
  </si>
  <si>
    <t>YELLOW 100% SILKCDC</t>
  </si>
  <si>
    <t>UESS-36</t>
  </si>
  <si>
    <t>3452-B</t>
  </si>
  <si>
    <t>V100-PURPLE TULLE</t>
  </si>
  <si>
    <t>UESS-37</t>
  </si>
  <si>
    <t>V101-PINK TULLE</t>
  </si>
  <si>
    <t>RUSS-38</t>
  </si>
  <si>
    <t>3865-B</t>
  </si>
  <si>
    <t>DARK PINK 100% SILKCDC</t>
  </si>
  <si>
    <t>GSSS-40</t>
  </si>
  <si>
    <t>3186-C</t>
  </si>
  <si>
    <t>TURQUOISE 100% SLIKCDC</t>
  </si>
  <si>
    <t>GUSS-43</t>
  </si>
  <si>
    <t>RED MACRAME</t>
  </si>
  <si>
    <t>7.30</t>
  </si>
  <si>
    <t>GRSS-44</t>
  </si>
  <si>
    <t>V104-PURPLE MACRAME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</si>
  <si>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</si>
  <si>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</si>
  <si>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</si>
  <si>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</si>
  <si>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</si>
  <si>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</si>
  <si>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</si>
  <si>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USSS-45</t>
  </si>
  <si>
    <t>Q82602-V2</t>
  </si>
  <si>
    <t>MACRME TURQUIOSE</t>
  </si>
  <si>
    <t>5</t>
  </si>
  <si>
    <t>USSS-46</t>
  </si>
  <si>
    <t>Q82602-V1</t>
  </si>
  <si>
    <t>MACRME PINK</t>
  </si>
  <si>
    <t>USSS-47</t>
  </si>
  <si>
    <t>5B QR/G5</t>
  </si>
  <si>
    <t>MACRME BLUE</t>
  </si>
  <si>
    <t>USSS-48</t>
  </si>
  <si>
    <t>4B QR/G4</t>
  </si>
  <si>
    <t>USSS-49</t>
  </si>
  <si>
    <t>1B QR/G1</t>
  </si>
  <si>
    <t>MACRME VIOLET-PINK</t>
  </si>
  <si>
    <t>USSS-50</t>
  </si>
  <si>
    <t>2B QR/G2</t>
  </si>
  <si>
    <t>MACRME GREEN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</si>
  <si>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</si>
  <si>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</si>
  <si>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</si>
  <si>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</si>
  <si>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</si>
  <si>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</si>
  <si>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</si>
  <si>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RUSS - 51</t>
  </si>
  <si>
    <t>RED 100 % SILKCDC</t>
  </si>
  <si>
    <t>RUSS - 52</t>
  </si>
  <si>
    <t>PURPLE 100 % SILKCDC</t>
  </si>
  <si>
    <t>RUSS - 53</t>
  </si>
  <si>
    <t>BLUETTE 100 % SILKCDC</t>
  </si>
  <si>
    <t>RUSS - 54</t>
  </si>
  <si>
    <t>BLACK NERO 100 % SILKCDC</t>
  </si>
  <si>
    <t>RICAMIFICIO CANDELLI(CAND)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</si>
  <si>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</si>
  <si>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</si>
  <si>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</si>
  <si>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</si>
  <si>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</si>
  <si>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</si>
  <si>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</si>
  <si>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UAUS-55</t>
  </si>
  <si>
    <t>M246864 P</t>
  </si>
  <si>
    <t>UASS-56</t>
  </si>
  <si>
    <t>M246864 R</t>
  </si>
  <si>
    <t>RED 100% SILKCDC</t>
  </si>
  <si>
    <t>6.2</t>
  </si>
  <si>
    <t>RRSS-57</t>
  </si>
  <si>
    <t>M126930 BL</t>
  </si>
  <si>
    <t>BLUETTE 100% SILKCDC</t>
  </si>
  <si>
    <t>6.5</t>
  </si>
  <si>
    <t>RGSS-58</t>
  </si>
  <si>
    <t>M126930 P</t>
  </si>
  <si>
    <t>LILAC 100% SILKCDC</t>
  </si>
  <si>
    <t>6.7</t>
  </si>
  <si>
    <t>UVSS-59</t>
  </si>
  <si>
    <t>M32145 RB</t>
  </si>
  <si>
    <t>ROYAL BLACK/BLUE 100% SILKCDC</t>
  </si>
  <si>
    <t>6.8</t>
  </si>
  <si>
    <t>UVSS-60</t>
  </si>
  <si>
    <t>M32145 R</t>
  </si>
  <si>
    <t>RED TULLE</t>
  </si>
  <si>
    <t>6.6</t>
  </si>
  <si>
    <t>URSS-61</t>
  </si>
  <si>
    <t>M246882 P</t>
  </si>
  <si>
    <t>PURPLE 100% SILKCDC</t>
  </si>
  <si>
    <t>URSS-62</t>
  </si>
  <si>
    <t>UVSS-63</t>
  </si>
  <si>
    <t>M248823 BL</t>
  </si>
  <si>
    <t>UVSS-64</t>
  </si>
  <si>
    <t>M248823 PU</t>
  </si>
  <si>
    <t>UAUS-65</t>
  </si>
  <si>
    <t>M246884 P</t>
  </si>
  <si>
    <t>UVSS-66</t>
  </si>
  <si>
    <t>M24779 G</t>
  </si>
  <si>
    <t>GREEN 100% SILKCDC</t>
  </si>
  <si>
    <t>UNSS-67</t>
  </si>
  <si>
    <t>M166655 R</t>
  </si>
  <si>
    <t>6.4</t>
  </si>
  <si>
    <t>RRSS-68</t>
  </si>
  <si>
    <t>M247075 R</t>
  </si>
  <si>
    <t>RED 100% LACE</t>
  </si>
  <si>
    <t>RGSS-69</t>
  </si>
  <si>
    <t>M247075 BL</t>
  </si>
  <si>
    <t>BLUETTE 100% LACE</t>
  </si>
  <si>
    <t xml:space="preserve"> UNICRAFT (UNI)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</si>
  <si>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</si>
  <si>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</si>
  <si>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</si>
  <si>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</si>
  <si>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</si>
  <si>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</si>
  <si>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</si>
  <si>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DVSS-70</t>
  </si>
  <si>
    <t>KET - 4392</t>
  </si>
  <si>
    <t>BEADED LACE (ROSE)</t>
  </si>
  <si>
    <t xml:space="preserve">5.40 </t>
  </si>
  <si>
    <t>DUSS-71</t>
  </si>
  <si>
    <t>KET - 5271</t>
  </si>
  <si>
    <t>BEADED LACE (EMERALD GREEN)</t>
  </si>
  <si>
    <t>DUSS-72</t>
  </si>
  <si>
    <t>BEADED LACE (RED -7320)</t>
  </si>
  <si>
    <t>4.80</t>
  </si>
  <si>
    <t>UISS-73</t>
  </si>
  <si>
    <t>KET - 7320</t>
  </si>
  <si>
    <t>BEADED LACE (ROYAL BLUE)</t>
  </si>
  <si>
    <t>DISS-74</t>
  </si>
  <si>
    <t>DISS-75</t>
  </si>
  <si>
    <t>BEADED LACE (RED)</t>
  </si>
  <si>
    <t>DESS-76</t>
  </si>
  <si>
    <t>KET - 4397</t>
  </si>
  <si>
    <t>BEADED LACE (BLUE)</t>
  </si>
  <si>
    <t>5.80</t>
  </si>
  <si>
    <t>UVAS-77</t>
  </si>
  <si>
    <t>KET - 4347</t>
  </si>
  <si>
    <t>BEADED LACE (SEA GREEN)</t>
  </si>
  <si>
    <t>5.70</t>
  </si>
  <si>
    <t>DRSS-78</t>
  </si>
  <si>
    <t>BEADED LACE (ROYAL BLDE)</t>
  </si>
  <si>
    <t>5.30</t>
  </si>
  <si>
    <t>UNSS-79</t>
  </si>
  <si>
    <t>KET - 3015</t>
  </si>
  <si>
    <t>BEADED LACE (GREEN)</t>
  </si>
  <si>
    <t>5.40</t>
  </si>
  <si>
    <t>UASS-80</t>
  </si>
  <si>
    <t>KET - 5217</t>
  </si>
  <si>
    <t>BEADED LACE (GRET BLUE ASIS)</t>
  </si>
  <si>
    <t>5.10</t>
  </si>
  <si>
    <t>DVSS-81</t>
  </si>
  <si>
    <t>KET - 5234</t>
  </si>
  <si>
    <t>4.70</t>
  </si>
  <si>
    <t>RUSS-82</t>
  </si>
  <si>
    <t>KET - 413</t>
  </si>
  <si>
    <t>BEADED LACE (MULTI - NUUE)</t>
  </si>
  <si>
    <t>DASS-83</t>
  </si>
  <si>
    <t>KET - 364</t>
  </si>
  <si>
    <t>DASS-84</t>
  </si>
  <si>
    <t>FDEMB 186</t>
  </si>
  <si>
    <t>BEADED LACE (PURPLE)</t>
  </si>
  <si>
    <t>USSS-85</t>
  </si>
  <si>
    <t>KET-5080</t>
  </si>
  <si>
    <t>BEADED LACE (BLUE/RED/MUILTI)</t>
  </si>
  <si>
    <t xml:space="preserve"> OKU TEX AG(OKU)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</si>
  <si>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</si>
  <si>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</si>
  <si>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</si>
  <si>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</si>
  <si>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</si>
  <si>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</si>
  <si>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</si>
  <si>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IUSS-86</t>
  </si>
  <si>
    <t>12954-EA</t>
  </si>
  <si>
    <t>MAROCAINE</t>
  </si>
  <si>
    <t>8</t>
  </si>
  <si>
    <t>IUSS-87</t>
  </si>
  <si>
    <t>12594-EA</t>
  </si>
  <si>
    <t>IUSS-88</t>
  </si>
  <si>
    <t>IUSS-89</t>
  </si>
  <si>
    <t>IUSS-90</t>
  </si>
  <si>
    <t>UUAS-91</t>
  </si>
  <si>
    <t>2.5</t>
  </si>
  <si>
    <t>IUSS-92</t>
  </si>
  <si>
    <t>VSSS-93</t>
  </si>
  <si>
    <t>12258/1</t>
  </si>
  <si>
    <t>IUSS-94</t>
  </si>
  <si>
    <t>IUSS-95</t>
  </si>
  <si>
    <t>IUSS-96</t>
  </si>
  <si>
    <t>UUAS-97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</si>
  <si>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</si>
  <si>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</si>
  <si>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</si>
  <si>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</si>
  <si>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</si>
  <si>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</si>
  <si>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</si>
  <si>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RASS-98 A</t>
  </si>
  <si>
    <t>18902/2 A</t>
  </si>
  <si>
    <t>RED BIG</t>
  </si>
  <si>
    <t>3.25</t>
  </si>
  <si>
    <t>RASS-98 B</t>
  </si>
  <si>
    <t>18902/2 B</t>
  </si>
  <si>
    <t>RDSS-99 A</t>
  </si>
  <si>
    <t>18902/1 A</t>
  </si>
  <si>
    <t>RED SMALL</t>
  </si>
  <si>
    <t>RDSS-99 B</t>
  </si>
  <si>
    <t>18902/1 B</t>
  </si>
  <si>
    <t>RNSS-100 A</t>
  </si>
  <si>
    <t>18902/2</t>
  </si>
  <si>
    <t>PINK BIG</t>
  </si>
  <si>
    <t>3.30</t>
  </si>
  <si>
    <t>RNSS-100 B</t>
  </si>
  <si>
    <t>RDSS-101 A</t>
  </si>
  <si>
    <t>18902/1</t>
  </si>
  <si>
    <t>PINK SMALL</t>
  </si>
  <si>
    <t>RDSS-101 B</t>
  </si>
  <si>
    <t>RASS-102 A</t>
  </si>
  <si>
    <t>BLUE BIG</t>
  </si>
  <si>
    <t>RASS-102 B</t>
  </si>
  <si>
    <t>RSSS-103 A</t>
  </si>
  <si>
    <t>BLUE SMALL</t>
  </si>
  <si>
    <t>RSSS-103 B</t>
  </si>
  <si>
    <t>RASS-104 A</t>
  </si>
  <si>
    <t>GREEN BIG</t>
  </si>
  <si>
    <t>RASS-104 B</t>
  </si>
  <si>
    <t>RDSS-105 A</t>
  </si>
  <si>
    <t>GREEN SMALL</t>
  </si>
  <si>
    <t>RDSS-105 B</t>
  </si>
  <si>
    <t>URSS-106</t>
  </si>
  <si>
    <t>7.2</t>
  </si>
  <si>
    <t>GGSS-107 A</t>
  </si>
  <si>
    <t>18171/2 A</t>
  </si>
  <si>
    <t>GGSS-107 B</t>
  </si>
  <si>
    <t>18171/2 B</t>
  </si>
  <si>
    <t>GGSS-108 A</t>
  </si>
  <si>
    <t>GGSS-108 B</t>
  </si>
  <si>
    <t>RUSS-109 A</t>
  </si>
  <si>
    <t>19013/1 A</t>
  </si>
  <si>
    <t>GREEN | RED</t>
  </si>
  <si>
    <t>RUSS-109 B</t>
  </si>
  <si>
    <t>19013/1 B</t>
  </si>
  <si>
    <t>3.3</t>
  </si>
  <si>
    <t>RRSS-110 A</t>
  </si>
  <si>
    <t>RRSS-110 B</t>
  </si>
  <si>
    <t>RASS-111</t>
  </si>
  <si>
    <t>19013/1</t>
  </si>
  <si>
    <t>RASS-112</t>
  </si>
  <si>
    <t>BLUE | GREEN</t>
  </si>
  <si>
    <t>RUSS-113</t>
  </si>
  <si>
    <t>GREY | TURQUIOSE</t>
  </si>
  <si>
    <t>UESS-114</t>
  </si>
  <si>
    <t>5.8</t>
  </si>
  <si>
    <t>RESS-115</t>
  </si>
  <si>
    <t>18568/1</t>
  </si>
  <si>
    <t>PURPLE LACE</t>
  </si>
  <si>
    <t>RESS-116</t>
  </si>
  <si>
    <t>GREY LACE</t>
  </si>
  <si>
    <t>RESS-117</t>
  </si>
  <si>
    <t>VERDE LACE</t>
  </si>
  <si>
    <t>UESS-118 A</t>
  </si>
  <si>
    <t>18719/3 A</t>
  </si>
  <si>
    <t>PINK CORAL</t>
  </si>
  <si>
    <t>3.6</t>
  </si>
  <si>
    <t>UESS-118 B</t>
  </si>
  <si>
    <t>18719/3 B</t>
  </si>
  <si>
    <t>UESS-119 A</t>
  </si>
  <si>
    <t xml:space="preserve">CORAL MACRAME </t>
  </si>
  <si>
    <t>4</t>
  </si>
  <si>
    <t>UESS-119 B</t>
  </si>
  <si>
    <t>UVSS-120 A</t>
  </si>
  <si>
    <t>PINK MACRAME</t>
  </si>
  <si>
    <t>UVSS-120 B</t>
  </si>
  <si>
    <t>UESS-121 A</t>
  </si>
  <si>
    <t xml:space="preserve">BLUE | YELLOW MACRAME </t>
  </si>
  <si>
    <t>UESS-121 B</t>
  </si>
  <si>
    <t>UESS-122</t>
  </si>
  <si>
    <t>19095/3</t>
  </si>
  <si>
    <t>RUSS-123</t>
  </si>
  <si>
    <t>RSSS-124</t>
  </si>
  <si>
    <t>UESS-125</t>
  </si>
  <si>
    <t>PINK | BROWN</t>
  </si>
  <si>
    <t>DISENO &amp; ELIESAAB (DIS)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</si>
  <si>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</si>
  <si>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</si>
  <si>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</si>
  <si>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</si>
  <si>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</si>
  <si>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</si>
  <si>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</si>
  <si>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IUSS-126</t>
  </si>
  <si>
    <t>BLUETTE LACE</t>
  </si>
  <si>
    <t>6</t>
  </si>
  <si>
    <t>GNAS-127</t>
  </si>
  <si>
    <t>GISS-128</t>
  </si>
  <si>
    <t>GOLD LACE</t>
  </si>
  <si>
    <t>NSSS-129</t>
  </si>
  <si>
    <t>DEEP GREYCHIFFON</t>
  </si>
  <si>
    <t>NRSS-130</t>
  </si>
  <si>
    <t>ELIESAAB</t>
  </si>
  <si>
    <t>YELLOW TULLE</t>
  </si>
  <si>
    <t>ISSS-131</t>
  </si>
  <si>
    <t>RED LACE</t>
  </si>
  <si>
    <t>ADSS-132</t>
  </si>
  <si>
    <t>ANSS-133</t>
  </si>
  <si>
    <t>OLIVECHIFFON</t>
  </si>
  <si>
    <t>NRSS-134</t>
  </si>
  <si>
    <t>GREY | GOLD TULLE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</si>
  <si>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</si>
  <si>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</si>
  <si>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</si>
  <si>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</si>
  <si>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</si>
  <si>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</si>
  <si>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</si>
  <si>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UASS-135</t>
  </si>
  <si>
    <t>35 G</t>
  </si>
  <si>
    <t>UASS-136</t>
  </si>
  <si>
    <t>35 H</t>
  </si>
  <si>
    <t>UASS-137</t>
  </si>
  <si>
    <t>35 F</t>
  </si>
  <si>
    <t>BLUETTE</t>
  </si>
  <si>
    <t>UISS-138</t>
  </si>
  <si>
    <t>35 E</t>
  </si>
  <si>
    <t>RSSS-139</t>
  </si>
  <si>
    <t>A 2238 F</t>
  </si>
  <si>
    <t>RSSS-140</t>
  </si>
  <si>
    <t>RGSS-141</t>
  </si>
  <si>
    <t>122238 109</t>
  </si>
  <si>
    <t>COPPER (LUREX)</t>
  </si>
  <si>
    <t>RGSS-142</t>
  </si>
  <si>
    <t>122239 110</t>
  </si>
  <si>
    <t>BLACK (LUREX)</t>
  </si>
  <si>
    <t>UISS-143</t>
  </si>
  <si>
    <t>A 2685 D</t>
  </si>
  <si>
    <t>UISS-144</t>
  </si>
  <si>
    <t>UUSS-145</t>
  </si>
  <si>
    <t>A 2685 A</t>
  </si>
  <si>
    <t>UUSS-146</t>
  </si>
  <si>
    <t>A 2685 B</t>
  </si>
  <si>
    <t>UUSS-147</t>
  </si>
  <si>
    <t>UISS-148</t>
  </si>
  <si>
    <t>A 2686 D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</si>
  <si>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</si>
  <si>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</si>
  <si>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</si>
  <si>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</si>
  <si>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</si>
  <si>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</si>
  <si>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</si>
  <si>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GGSS-149</t>
  </si>
  <si>
    <t>ROSE PINK</t>
  </si>
  <si>
    <t>GGSS-150</t>
  </si>
  <si>
    <t>GRSS-151</t>
  </si>
  <si>
    <t>GREEN / PINK</t>
  </si>
  <si>
    <t>4.4</t>
  </si>
  <si>
    <t>NRAS-152</t>
  </si>
  <si>
    <t>4.6</t>
  </si>
  <si>
    <t>NIAS-153</t>
  </si>
  <si>
    <t>NRSS-154</t>
  </si>
  <si>
    <t>NRSS-155</t>
  </si>
  <si>
    <t>RAAS-156</t>
  </si>
  <si>
    <t>4.7</t>
  </si>
  <si>
    <t>IDSS-157</t>
  </si>
  <si>
    <t>FUSCHIA</t>
  </si>
  <si>
    <t>NIAS-158</t>
  </si>
  <si>
    <t>NNSS-159</t>
  </si>
  <si>
    <t>NRSS-160</t>
  </si>
  <si>
    <t>NGASS-161</t>
  </si>
  <si>
    <t>GREY BLUE</t>
  </si>
  <si>
    <t>GUSS-162</t>
  </si>
  <si>
    <t>GUSS-163</t>
  </si>
  <si>
    <t>GUSS-164</t>
  </si>
  <si>
    <t>UISS-165</t>
  </si>
  <si>
    <t>4.3</t>
  </si>
  <si>
    <t>GDSS-166</t>
  </si>
  <si>
    <t>RNSS-167</t>
  </si>
  <si>
    <t>INAS-168</t>
  </si>
  <si>
    <t>BURGENDY PINK</t>
  </si>
  <si>
    <t>GASS-169</t>
  </si>
  <si>
    <t>GUSS-170</t>
  </si>
  <si>
    <t>RESS-171</t>
  </si>
  <si>
    <t>4.2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</si>
  <si>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</si>
  <si>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</si>
  <si>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</si>
  <si>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</si>
  <si>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</si>
  <si>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</si>
  <si>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</si>
  <si>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RGSS-172</t>
  </si>
  <si>
    <t>2018221/8</t>
  </si>
  <si>
    <t>CDCSILK EMBROIDERY</t>
  </si>
  <si>
    <t>RNSS-173</t>
  </si>
  <si>
    <t>5.3</t>
  </si>
  <si>
    <t>RGSS-174</t>
  </si>
  <si>
    <t>B7339/11</t>
  </si>
  <si>
    <t>RED | BLACKCDCSILK EMBROIDERY</t>
  </si>
  <si>
    <t>RGSS-175</t>
  </si>
  <si>
    <t>2016396/3</t>
  </si>
  <si>
    <t>REDCDCSILK EMBROIDERY</t>
  </si>
  <si>
    <t>RRAS-176</t>
  </si>
  <si>
    <t>2013044/4</t>
  </si>
  <si>
    <t>4.9</t>
  </si>
  <si>
    <t>RESS-177</t>
  </si>
  <si>
    <t>B7338/2</t>
  </si>
  <si>
    <t>BLACK | REDCDCSILK EMBROIDERY</t>
  </si>
  <si>
    <t>RGSS-178</t>
  </si>
  <si>
    <t>BLACK | PINKCDCSILK EMBROIDERY</t>
  </si>
  <si>
    <t>RRAS-179</t>
  </si>
  <si>
    <t>B7341</t>
  </si>
  <si>
    <t>GREENCDCSILK EMBROIDERY</t>
  </si>
  <si>
    <t>RRAS-180</t>
  </si>
  <si>
    <t>RRAS-181</t>
  </si>
  <si>
    <t>2013044/1</t>
  </si>
  <si>
    <t>RSSS-182</t>
  </si>
  <si>
    <t>G 5901 M</t>
  </si>
  <si>
    <t>BLACKCDCSILK EMBROIDERY</t>
  </si>
  <si>
    <t>RSSS-183</t>
  </si>
  <si>
    <t xml:space="preserve">G 5901 </t>
  </si>
  <si>
    <t>RASS-184</t>
  </si>
  <si>
    <t>43-000001-130-0</t>
  </si>
  <si>
    <t>4.1</t>
  </si>
  <si>
    <t>COST PER MT  EURO</t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</si>
  <si>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</si>
  <si>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</si>
  <si>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</si>
  <si>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</si>
  <si>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</si>
  <si>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</si>
  <si>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USSS-185</t>
  </si>
  <si>
    <t>SHREYA 9701</t>
  </si>
  <si>
    <t>TAFFY</t>
  </si>
  <si>
    <t>UASS-186</t>
  </si>
  <si>
    <t>SHREYA 9750</t>
  </si>
  <si>
    <t>LEMON YELLOW</t>
  </si>
  <si>
    <t>USSS-187</t>
  </si>
  <si>
    <t>SHREYA 9759</t>
  </si>
  <si>
    <t>RSSS-188</t>
  </si>
  <si>
    <t>SHREYA 9786</t>
  </si>
  <si>
    <t>RSSS-189</t>
  </si>
  <si>
    <t>SHREYA 9701L</t>
  </si>
  <si>
    <t>BUMBLE BEE</t>
  </si>
  <si>
    <t>RSSS-190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</si>
  <si>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</si>
  <si>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</si>
  <si>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</si>
  <si>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</si>
  <si>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</si>
  <si>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</si>
  <si>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</si>
  <si>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NRSS-191</t>
  </si>
  <si>
    <t>43-017054-090-085</t>
  </si>
  <si>
    <t>NRSS-193</t>
  </si>
  <si>
    <t>43-017054-090-0704</t>
  </si>
  <si>
    <t>NRSS-195</t>
  </si>
  <si>
    <t>43-017054-090-0700</t>
  </si>
  <si>
    <t>GSAS-197</t>
  </si>
  <si>
    <t>43-017054-090-070</t>
  </si>
  <si>
    <t>NASS-198</t>
  </si>
  <si>
    <t>92-015262-130-0</t>
  </si>
  <si>
    <t>AUSS-199</t>
  </si>
  <si>
    <t>45-011208-145-0</t>
  </si>
  <si>
    <t>MAROON-70 CM</t>
  </si>
  <si>
    <t>AVSS-200</t>
  </si>
  <si>
    <t>45-011210-085-0</t>
  </si>
  <si>
    <t>BLACK-70CM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</si>
  <si>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</si>
  <si>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</si>
  <si>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</si>
  <si>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</si>
  <si>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</si>
  <si>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</si>
  <si>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</si>
  <si>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DSSS-201</t>
  </si>
  <si>
    <t>CASA PL 06</t>
  </si>
  <si>
    <t>PURPLE TULLE</t>
  </si>
  <si>
    <t>DSSS-202</t>
  </si>
  <si>
    <t>CASA PL 07</t>
  </si>
  <si>
    <t>DSSS-203</t>
  </si>
  <si>
    <t>CASA PL 08</t>
  </si>
  <si>
    <t>DSSS-204</t>
  </si>
  <si>
    <t>CASA PL L5</t>
  </si>
  <si>
    <t>DASS-205</t>
  </si>
  <si>
    <t>KAS KAS</t>
  </si>
  <si>
    <t>7.5</t>
  </si>
  <si>
    <t>DGSS-206</t>
  </si>
  <si>
    <t>QUOROM</t>
  </si>
  <si>
    <t>DUAS-207</t>
  </si>
  <si>
    <t>ESS-208</t>
  </si>
  <si>
    <t>BURC GLTTER</t>
  </si>
  <si>
    <t>ESS-209</t>
  </si>
  <si>
    <t>NELLA BROCAUE</t>
  </si>
  <si>
    <t>BLACK | GOLD</t>
  </si>
  <si>
    <t>ESS-210</t>
  </si>
  <si>
    <t>DUSS-211</t>
  </si>
  <si>
    <t>QUORUM EMBR TULLE</t>
  </si>
  <si>
    <t>BLACK YELLOW</t>
  </si>
  <si>
    <t>DUAS-212</t>
  </si>
  <si>
    <t>ORGANZA</t>
  </si>
  <si>
    <t>DUAS-213</t>
  </si>
  <si>
    <t>VSS-214</t>
  </si>
  <si>
    <t>LUREXVELVET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</si>
  <si>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</si>
  <si>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</si>
  <si>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</si>
  <si>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</si>
  <si>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</si>
  <si>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</si>
  <si>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</si>
  <si>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UDSS-215</t>
  </si>
  <si>
    <t>3</t>
  </si>
  <si>
    <t>UDSS-216</t>
  </si>
  <si>
    <t>RASS-217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</si>
  <si>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</si>
  <si>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</si>
  <si>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</si>
  <si>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</si>
  <si>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</si>
  <si>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</si>
  <si>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</si>
  <si>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NASS-218</t>
  </si>
  <si>
    <t>IISS-219</t>
  </si>
  <si>
    <t>5.1</t>
  </si>
  <si>
    <t>VGSS-220</t>
  </si>
  <si>
    <t>ESSS-221</t>
  </si>
  <si>
    <t>IASS-222</t>
  </si>
  <si>
    <t>IISS-223</t>
  </si>
  <si>
    <t>IUSS-224</t>
  </si>
  <si>
    <t>IGSS-225</t>
  </si>
  <si>
    <t>IASS-226</t>
  </si>
  <si>
    <t>IASS-227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</si>
  <si>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</si>
  <si>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</si>
  <si>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</si>
  <si>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</si>
  <si>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</si>
  <si>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</si>
  <si>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</si>
  <si>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NGSS-228</t>
  </si>
  <si>
    <t>K336.48.T54(1)</t>
  </si>
  <si>
    <t>PECHE/PA</t>
  </si>
  <si>
    <t>NGSS-229</t>
  </si>
  <si>
    <t>704700.MSR(2)</t>
  </si>
  <si>
    <t>GREIGE/ORANGE/PSD</t>
  </si>
  <si>
    <t>ISAS-230</t>
  </si>
  <si>
    <t>703419.GZX(3)</t>
  </si>
  <si>
    <t>CHAIR/MU9</t>
  </si>
  <si>
    <t>3.7</t>
  </si>
  <si>
    <t>VDSS-231</t>
  </si>
  <si>
    <t>707626.MRB(4)</t>
  </si>
  <si>
    <t>PETROLE /NUAGE/BL</t>
  </si>
  <si>
    <t>NASS-232</t>
  </si>
  <si>
    <t>788466.MSL(8)</t>
  </si>
  <si>
    <t>AZUR/NOIR/MA</t>
  </si>
  <si>
    <t>5.4</t>
  </si>
  <si>
    <t>NNSS-234</t>
  </si>
  <si>
    <t>745220.GYV(9)</t>
  </si>
  <si>
    <t>LAC/GRENAT/BL1</t>
  </si>
  <si>
    <t>VVSS-235</t>
  </si>
  <si>
    <t>739450.NWU(12)</t>
  </si>
  <si>
    <t>FICELLE ARDOISE</t>
  </si>
  <si>
    <t>NASS-236</t>
  </si>
  <si>
    <t>745220.GYV(10)</t>
  </si>
  <si>
    <t>NOIR/GREIGE ARGENT</t>
  </si>
  <si>
    <t>NGSS-237</t>
  </si>
  <si>
    <t>18550PM|02(11)</t>
  </si>
  <si>
    <t>HAND PRINDTED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</si>
  <si>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</si>
  <si>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</si>
  <si>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</si>
  <si>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</si>
  <si>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</si>
  <si>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</si>
  <si>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</si>
  <si>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RASS-238</t>
  </si>
  <si>
    <t>TURQUOISECDCSILK</t>
  </si>
  <si>
    <t>RASS-239</t>
  </si>
  <si>
    <t>CASA 9</t>
  </si>
  <si>
    <t>BLACK | GOLDCDCSILK</t>
  </si>
  <si>
    <t>RASS-240</t>
  </si>
  <si>
    <t>RASS-241</t>
  </si>
  <si>
    <t>CASA 8</t>
  </si>
  <si>
    <t>BLACK YELLOWCHIFFON</t>
  </si>
  <si>
    <t>GSSS-242</t>
  </si>
  <si>
    <t>TURQUOISELUREXSILK</t>
  </si>
  <si>
    <t>GSSS-243</t>
  </si>
  <si>
    <t>ROYAL BLUELUREXSILK</t>
  </si>
  <si>
    <t>GSSS-244</t>
  </si>
  <si>
    <t>SKY BLUELUREXSILK</t>
  </si>
  <si>
    <t>GSSS-245</t>
  </si>
  <si>
    <t>BLACKLUREXSILK</t>
  </si>
  <si>
    <t>TGM WITH BORDER (TGM-B)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</si>
  <si>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</si>
  <si>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</si>
  <si>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</si>
  <si>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</si>
  <si>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</si>
  <si>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</si>
  <si>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</si>
  <si>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GISS-246</t>
  </si>
  <si>
    <t>86502 PERUGIA</t>
  </si>
  <si>
    <t>BEIGECDCBORDER SILK</t>
  </si>
  <si>
    <t>GVSS-247</t>
  </si>
  <si>
    <t>PINKCDCBORDER SILK</t>
  </si>
  <si>
    <t>GESS-248</t>
  </si>
  <si>
    <t>GREENCDCBORDER SILK</t>
  </si>
  <si>
    <t>GISS-249</t>
  </si>
  <si>
    <t>PURPLE V4CDCBORDER SILK</t>
  </si>
  <si>
    <t>GVAS-250</t>
  </si>
  <si>
    <t>86503 PERUGIA</t>
  </si>
  <si>
    <t>BLUECDCBORDER SILK</t>
  </si>
  <si>
    <t>GSSS-251</t>
  </si>
  <si>
    <t>AASS-252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</si>
  <si>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</si>
  <si>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</si>
  <si>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</si>
  <si>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</si>
  <si>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</si>
  <si>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</si>
  <si>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</si>
  <si>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NSSS-253</t>
  </si>
  <si>
    <t>NEC 1</t>
  </si>
  <si>
    <t>GREY TULLE</t>
  </si>
  <si>
    <t>NSSS-254</t>
  </si>
  <si>
    <t>NEC 2</t>
  </si>
  <si>
    <t>GREEN TULLE</t>
  </si>
  <si>
    <t>NSSS-255</t>
  </si>
  <si>
    <t>NEC 3</t>
  </si>
  <si>
    <t>BROWN TULLE</t>
  </si>
  <si>
    <t>NSSS-256</t>
  </si>
  <si>
    <t>NEC 4</t>
  </si>
  <si>
    <t>NSSS-257</t>
  </si>
  <si>
    <t>NEC 6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</si>
  <si>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</si>
  <si>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</si>
  <si>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</si>
  <si>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</si>
  <si>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</si>
  <si>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</si>
  <si>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</si>
  <si>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UASS-258 (1)</t>
  </si>
  <si>
    <t>14083.0001.130</t>
  </si>
  <si>
    <t>BLACK | RED</t>
  </si>
  <si>
    <t>RVSS-259</t>
  </si>
  <si>
    <t>07359.1009.120</t>
  </si>
  <si>
    <t>PAULINE GREEN</t>
  </si>
  <si>
    <t>RESS-260</t>
  </si>
  <si>
    <t>14583.0001.082</t>
  </si>
  <si>
    <t xml:space="preserve">ROSA 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</si>
  <si>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</si>
  <si>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</si>
  <si>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</si>
  <si>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</si>
  <si>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</si>
  <si>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</si>
  <si>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</si>
  <si>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UDSS-261</t>
  </si>
  <si>
    <t>QUO 8</t>
  </si>
  <si>
    <t xml:space="preserve">SALMON EMBROIDERY LACE </t>
  </si>
  <si>
    <t>UDSS-262</t>
  </si>
  <si>
    <t>QUO 9</t>
  </si>
  <si>
    <t>BLUE EMBROIDERY LACE</t>
  </si>
  <si>
    <t>UDSS-263</t>
  </si>
  <si>
    <t>QUO 10</t>
  </si>
  <si>
    <t>GREEN EMBROIDERY LACE</t>
  </si>
  <si>
    <t>UDSS-264</t>
  </si>
  <si>
    <t>QUO 7</t>
  </si>
  <si>
    <t>PING EMBROIDERY LACE</t>
  </si>
  <si>
    <t>ALB 6, MAR 1, EMB 17, STY 2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</si>
  <si>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</si>
  <si>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</si>
  <si>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</si>
  <si>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</si>
  <si>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</si>
  <si>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</si>
  <si>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</si>
  <si>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USSS-265</t>
  </si>
  <si>
    <t>BLUE / GREEN EMBROIDERY ONCDCSILK</t>
  </si>
  <si>
    <t>UNSS-266</t>
  </si>
  <si>
    <t>STY-1</t>
  </si>
  <si>
    <t>PURPLE PINK EMBROIDERY ONCDCSILK</t>
  </si>
  <si>
    <t>UNSS-267</t>
  </si>
  <si>
    <t>STY-2</t>
  </si>
  <si>
    <t>GREEN / RED EMBROIDERY ONCDCSILK</t>
  </si>
  <si>
    <t>UIAS-268</t>
  </si>
  <si>
    <t>ALB-5</t>
  </si>
  <si>
    <t>EMBROIDERY ONCDCSILK</t>
  </si>
  <si>
    <t>UISS-269</t>
  </si>
  <si>
    <t>ALB-6</t>
  </si>
  <si>
    <t>PINK-GREEN EMBROIDERY ONCDCSILK</t>
  </si>
  <si>
    <t>UVSS-270</t>
  </si>
  <si>
    <t>ALB-4</t>
  </si>
  <si>
    <t>MULTI EMBROIDERY ONCDCSILK</t>
  </si>
  <si>
    <t>UVSS-271</t>
  </si>
  <si>
    <t>ALB-2</t>
  </si>
  <si>
    <t>UIAS-272</t>
  </si>
  <si>
    <t>ALB-3</t>
  </si>
  <si>
    <t>YELLOW-RED EMBROIDERY ONCDCSILK</t>
  </si>
  <si>
    <t>UVSS-273</t>
  </si>
  <si>
    <t>ALB-1</t>
  </si>
  <si>
    <t>USSS-275</t>
  </si>
  <si>
    <t>CDC-EMB-9</t>
  </si>
  <si>
    <t>RED EMBROIDERY ONCDCSILK</t>
  </si>
  <si>
    <t>DESS-276</t>
  </si>
  <si>
    <t>CDC-EMB-16</t>
  </si>
  <si>
    <t>PURPLE -BROWN EMBROIDERY ONCDCSILK</t>
  </si>
  <si>
    <t>USAS-277</t>
  </si>
  <si>
    <t>CDC-EMB-14</t>
  </si>
  <si>
    <t>UDAS-278</t>
  </si>
  <si>
    <t>CDC-EMB-2</t>
  </si>
  <si>
    <t>BLACK-GOLD EMBROIDERY ONCDCSILK</t>
  </si>
  <si>
    <t>USSS-279</t>
  </si>
  <si>
    <t>CDC-EMB-13</t>
  </si>
  <si>
    <t>BLACK-RED EMBROIDERY ONCDCSILK</t>
  </si>
  <si>
    <t>USSS-280</t>
  </si>
  <si>
    <t>CDC-EMB-06</t>
  </si>
  <si>
    <t>BLUE PINK EMBROIDERY ONCDCSILK</t>
  </si>
  <si>
    <t>DASS-281</t>
  </si>
  <si>
    <t>CDC-EMB-12</t>
  </si>
  <si>
    <t>USAS-282</t>
  </si>
  <si>
    <t>CDC-EMB-1</t>
  </si>
  <si>
    <t>ORANGE-RED EMBROIDERY ONCDCSILK</t>
  </si>
  <si>
    <t>USSS-285</t>
  </si>
  <si>
    <t>CDC-EMB-18</t>
  </si>
  <si>
    <t>LIGHT PURPLE EMBROIDERY ONCDCSILK</t>
  </si>
  <si>
    <t>USAS-286</t>
  </si>
  <si>
    <t>CDC-EMB-3</t>
  </si>
  <si>
    <t>GREEN-YELLOW EMBROIDERY ONCDCSILK</t>
  </si>
  <si>
    <t>USSS-287</t>
  </si>
  <si>
    <t>CDC-EMB-17</t>
  </si>
  <si>
    <t>GREEN PINK EMBROIDERY ONCDCSILK</t>
  </si>
  <si>
    <t>USSS-288</t>
  </si>
  <si>
    <t>CDC-EMB-7</t>
  </si>
  <si>
    <t>PINK | YELLOW EMBROIDERY ONCDCSILK</t>
  </si>
  <si>
    <t>USAS-289</t>
  </si>
  <si>
    <t>CDC-EMB-5</t>
  </si>
  <si>
    <t>UASS-290</t>
  </si>
  <si>
    <t>CDC-EMB-10</t>
  </si>
  <si>
    <t xml:space="preserve"> TOTAL COST</t>
  </si>
  <si>
    <r>
      <rPr>
        <b/>
        <sz val="11"/>
        <color theme="1"/>
        <rFont val="Google Sans"/>
      </rPr>
      <t xml:space="preserve">COST PER MT  </t>
    </r>
    <r>
      <rPr>
        <b/>
        <sz val="11"/>
        <color theme="1"/>
        <rFont val="Google Sans"/>
      </rPr>
      <t>EURO</t>
    </r>
  </si>
  <si>
    <r>
      <rPr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EURO</t>
    </r>
  </si>
  <si>
    <r>
      <rPr>
        <b/>
        <sz val="11"/>
        <color theme="1"/>
        <rFont val="Google Sans"/>
      </rPr>
      <t xml:space="preserve">COST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</si>
  <si>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COST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</si>
  <si>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V.I.P PER MT </t>
    </r>
    <r>
      <rPr>
        <b/>
        <sz val="11"/>
        <color theme="1"/>
        <rFont val="Google Sans"/>
      </rPr>
      <t>RM</t>
    </r>
    <r>
      <rPr>
        <b/>
        <sz val="11"/>
        <color theme="1"/>
        <rFont val="Google Sans"/>
      </rPr>
      <t xml:space="preserve">  </t>
    </r>
  </si>
  <si>
    <r>
      <rPr>
        <b/>
        <sz val="11"/>
        <color theme="1"/>
        <rFont val="Google Sans"/>
      </rPr>
      <t xml:space="preserve">V.I.P PIECE </t>
    </r>
    <r>
      <rPr>
        <b/>
        <sz val="11"/>
        <color theme="1"/>
        <rFont val="Google Sans"/>
      </rPr>
      <t>RM</t>
    </r>
  </si>
  <si>
    <r>
      <rPr>
        <b/>
        <sz val="11"/>
        <color theme="1"/>
        <rFont val="Google Sans"/>
      </rPr>
      <t xml:space="preserve">SELLING PIECE </t>
    </r>
    <r>
      <rPr>
        <b/>
        <sz val="11"/>
        <color theme="1"/>
        <rFont val="Google Sans"/>
      </rPr>
      <t>RM</t>
    </r>
  </si>
  <si>
    <t>DUSS-291</t>
  </si>
  <si>
    <t>QUO 1</t>
  </si>
  <si>
    <t>BLACK | GREEN EMBROIDERY LACE</t>
  </si>
  <si>
    <t>DGSS-292</t>
  </si>
  <si>
    <t>QUO 2</t>
  </si>
  <si>
    <t>BLACK | PINK EMBROIDERY LACE</t>
  </si>
  <si>
    <t>ESS-293</t>
  </si>
  <si>
    <t>QUO 3</t>
  </si>
  <si>
    <t>BLACK | WHITE EMBROIDERY LACE</t>
  </si>
  <si>
    <t>ESS-294</t>
  </si>
  <si>
    <t>QUO 4</t>
  </si>
  <si>
    <t>BLACK | BRWON EMBROIDERY LACE</t>
  </si>
  <si>
    <t>DSSS-295</t>
  </si>
  <si>
    <t>QUO 5</t>
  </si>
  <si>
    <t>DSSS-296</t>
  </si>
  <si>
    <t>QUO 6</t>
  </si>
  <si>
    <t xml:space="preserve">YELLOW | RED EMBROIDERY LACE </t>
  </si>
  <si>
    <t>DESS-297</t>
  </si>
  <si>
    <t>QUO 11</t>
  </si>
  <si>
    <t>MULTI EMBROIDERY LACE</t>
  </si>
  <si>
    <t>DESS-298</t>
  </si>
  <si>
    <t>QUO 12</t>
  </si>
  <si>
    <t>UISS-299</t>
  </si>
  <si>
    <t>QUO 13</t>
  </si>
  <si>
    <t>DESS-300</t>
  </si>
  <si>
    <t>QUO 14</t>
  </si>
  <si>
    <t>UDSS-301</t>
  </si>
  <si>
    <t>QUO 15</t>
  </si>
  <si>
    <t>UDSS-302</t>
  </si>
  <si>
    <t>QUO 16</t>
  </si>
  <si>
    <t>UDSS-303</t>
  </si>
  <si>
    <t>QUO 17</t>
  </si>
  <si>
    <t>UDSS-304</t>
  </si>
  <si>
    <t>QUO 18</t>
  </si>
  <si>
    <r>
      <rPr>
        <b/>
        <sz val="11"/>
        <color rgb="FF000000"/>
        <rFont val="Montserrat"/>
      </rPr>
      <t>PENDING</t>
    </r>
    <r>
      <rPr>
        <b/>
        <sz val="11"/>
        <color rgb="FFFF0000"/>
        <rFont val="Montserrat"/>
      </rPr>
      <t xml:space="preserve">-P </t>
    </r>
  </si>
  <si>
    <t>COMM %</t>
  </si>
  <si>
    <t>RICAMIFICIO PAOLO (RIC-P) SOLD</t>
  </si>
  <si>
    <t>ISSS-14</t>
  </si>
  <si>
    <t>42534A05</t>
  </si>
  <si>
    <t>ACIUCDC100% SILK</t>
  </si>
  <si>
    <t>NVSS-15</t>
  </si>
  <si>
    <t>42534A06</t>
  </si>
  <si>
    <t>BABY PINK CDC 100% SILK</t>
  </si>
  <si>
    <t>RM2,250.00</t>
  </si>
  <si>
    <t>RM15,300.00</t>
  </si>
  <si>
    <t>RM13,005.00</t>
  </si>
  <si>
    <t>RM 13,005.00</t>
  </si>
  <si>
    <t>RM 6,885.00</t>
  </si>
  <si>
    <t>HOFERHECHT (HOFE) SOLD</t>
  </si>
  <si>
    <t>ALDOBIANCHI (ALDO) SOLD</t>
  </si>
  <si>
    <t>EESS-26</t>
  </si>
  <si>
    <t>BLACK-PINK TULLE</t>
  </si>
  <si>
    <t>RICAMIFICIO GUEGAIN (RIC-G) SOLD</t>
  </si>
  <si>
    <t>RUSS-39</t>
  </si>
  <si>
    <t>3844-C</t>
  </si>
  <si>
    <t>GUSS-41</t>
  </si>
  <si>
    <t>3797-B</t>
  </si>
  <si>
    <t>RUSS-42</t>
  </si>
  <si>
    <t>QUORUM (QUO) SOLD</t>
  </si>
  <si>
    <t>RICAMIFICIO BRAGA &amp; ASPESI (ASPE) SOLD</t>
  </si>
  <si>
    <t>RICAMIFICIO CANDELLI(CAND) SOLD</t>
  </si>
  <si>
    <t xml:space="preserve"> UNICRAFT (UNI) SOLD</t>
  </si>
  <si>
    <t xml:space="preserve"> OKU TEX AG(OKU) SOLD</t>
  </si>
  <si>
    <t>RICAMIFICIO GIMAR (RIC-GIM) SOLD</t>
  </si>
  <si>
    <t>DISENO &amp; ELIESAAB (DIS) SOLD</t>
  </si>
  <si>
    <t>RICAMIFICIO BRAGA (R-BR) SOLD</t>
  </si>
  <si>
    <t>VEMA (VEM) SOLD</t>
  </si>
  <si>
    <t>TGM EMBROIDERY BORDER (TGM-B) SOLD</t>
  </si>
  <si>
    <t>MURARAKA (MURA) SOLD</t>
  </si>
  <si>
    <t>LAGATOLA (LAGA) SOLD</t>
  </si>
  <si>
    <t>SHAGUN (SHA) SOLD</t>
  </si>
  <si>
    <t>SOLSTISS (SID) SOLD</t>
  </si>
  <si>
    <t>SOLSTISS (ORIGINAL) SOLD</t>
  </si>
  <si>
    <t>IVSS-233</t>
  </si>
  <si>
    <t>EMB 713N01.GPL(11)</t>
  </si>
  <si>
    <t>CHANVRE/MUB</t>
  </si>
  <si>
    <t>TGM SILK (TGM) SOLD</t>
  </si>
  <si>
    <t>TGM WITH BORDER SOLD</t>
  </si>
  <si>
    <t>NEC EMBROIDERY (NEC) SOLD</t>
  </si>
  <si>
    <t>RUFFO COLI (RUFF) SOLD</t>
  </si>
  <si>
    <t>QUORUM EMBROIDERY SOLD</t>
  </si>
  <si>
    <t>ALB 6, MAR 1, EMB 17, STY 2 SOLD</t>
  </si>
  <si>
    <t>USSS-274</t>
  </si>
  <si>
    <t>CDC-EMB-8</t>
  </si>
  <si>
    <t>GREEN EMBROIDERY ONCDCSILK</t>
  </si>
  <si>
    <t>USAS-283</t>
  </si>
  <si>
    <t>CDC-EMB-19</t>
  </si>
  <si>
    <t>YELLOW EMBROIDERY ONCDCSILK</t>
  </si>
  <si>
    <t>USSS-284</t>
  </si>
  <si>
    <t>CDC-EMB-4</t>
  </si>
  <si>
    <t>RED-BLACK EMBROIDERY ONCDCSILK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</si>
</sst>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$MYR  ]#,##0.00"/>
    <numFmt numFmtId="165" formatCode="[$MYR ]#,##0.00"/>
    <numFmt numFmtId="166" formatCode="[$RM ]#,##0.00"/>
    <numFmt numFmtId="167" formatCode="[$M$ ]#,##0.00"/>
    <numFmt numFmtId="168" formatCode="0.0"/>
    <numFmt numFmtId="169" formatCode="[$€]#,##0.00"/>
    <numFmt numFmtId="170" formatCode="[$RM]#,##0.00"/>
    <numFmt numFmtId="171" formatCode="[$RM  ]#,##0.00"/>
    <numFmt numFmtId="172" formatCode="[$RM-4409]#,##0.00"/>
    <numFmt numFmtId="173" formatCode="[$RM-43E]#,##0.00"/>
    <numFmt numFmtId="174" formatCode="[$RM-4409]#,##0.00;[Red]\-[$RM-4409]#,##0.00"/>
    <numFmt numFmtId="175" formatCode="yyyy/m"/>
  </numFmts>
  <fonts count="62">
    <font>
      <sz val="10"/>
      <color rgb="FF000000"/>
      <name val="Arial"/>
      <scheme val="minor"/>
    </font>
    <font>
      <sz val="10"/>
      <color rgb="FFE8E6E3"/>
      <name val="Arial"/>
      <scheme val="minor"/>
    </font>
    <font>
      <b/>
      <sz val="15"/>
      <color theme="1"/>
      <name val="Montserrat"/>
    </font>
    <font>
      <i/>
      <u/>
      <sz val="15"/>
      <color rgb="FF0000FF"/>
      <name val="Montserrat"/>
    </font>
    <font>
      <sz val="15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000000"/>
      <name val="Montserrat"/>
    </font>
    <font>
      <sz val="10"/>
      <color theme="1"/>
      <name val="Montserrat"/>
    </font>
    <font>
      <b/>
      <sz val="10"/>
      <color theme="1"/>
      <name val="Montserrat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0"/>
      <name val="Montserrat"/>
    </font>
    <font>
      <sz val="10"/>
      <color theme="0"/>
      <name val="Montserrat"/>
    </font>
    <font>
      <b/>
      <sz val="11"/>
      <color theme="1"/>
      <name val="Montserrat"/>
    </font>
    <font>
      <sz val="10"/>
      <name val="Arial"/>
    </font>
    <font>
      <sz val="11"/>
      <color theme="1"/>
      <name val="Montserrat"/>
    </font>
    <font>
      <b/>
      <sz val="11"/>
      <color rgb="FF1F1F1F"/>
      <name val="Montserrat"/>
    </font>
    <font>
      <b/>
      <sz val="11"/>
      <color rgb="FFFF0000"/>
      <name val="Montserrat"/>
    </font>
    <font>
      <b/>
      <sz val="16"/>
      <color theme="1"/>
      <name val="Montserrat"/>
    </font>
    <font>
      <b/>
      <sz val="13"/>
      <color theme="1"/>
      <name val="Montserrat"/>
    </font>
    <font>
      <b/>
      <sz val="11"/>
      <color rgb="FF000000"/>
      <name val="Montserrat"/>
    </font>
    <font>
      <b/>
      <sz val="12"/>
      <color theme="1"/>
      <name val="Google Sans"/>
    </font>
    <font>
      <sz val="11"/>
      <color theme="1"/>
      <name val="Google Sans"/>
    </font>
    <font>
      <b/>
      <sz val="11"/>
      <color theme="1"/>
      <name val="Google Sans"/>
    </font>
    <font>
      <b/>
      <sz val="12"/>
      <color rgb="FF1F1F1F"/>
      <name val="Google Sans"/>
    </font>
    <font>
      <b/>
      <sz val="11"/>
      <color rgb="FFFF0000"/>
      <name val="Google Sans"/>
    </font>
    <font>
      <b/>
      <sz val="19"/>
      <color theme="1"/>
      <name val="Google Sans"/>
    </font>
    <font>
      <sz val="10"/>
      <color theme="1"/>
      <name val="Google Sans"/>
    </font>
    <font>
      <b/>
      <sz val="15"/>
      <color theme="1"/>
      <name val="Google Sans"/>
    </font>
    <font>
      <b/>
      <sz val="13"/>
      <color theme="1"/>
      <name val="Google Sans"/>
    </font>
    <font>
      <sz val="12"/>
      <color theme="1"/>
      <name val="Google Sans"/>
    </font>
    <font>
      <sz val="13"/>
      <color theme="1"/>
      <name val="Google Sans"/>
    </font>
    <font>
      <sz val="12"/>
      <color theme="1"/>
      <name val="Montserrat"/>
    </font>
    <font>
      <b/>
      <sz val="12"/>
      <color theme="1"/>
      <name val="Montserrat"/>
    </font>
    <font>
      <b/>
      <sz val="12"/>
      <color rgb="FFFF0000"/>
      <name val="Montserrat"/>
    </font>
    <font>
      <b/>
      <sz val="12"/>
      <color rgb="FF1F1F1F"/>
      <name val="Montserrat"/>
    </font>
    <font>
      <sz val="12"/>
      <color rgb="FFFF0000"/>
      <name val="Montserrat"/>
    </font>
    <font>
      <sz val="11"/>
      <color rgb="FFFF0000"/>
      <name val="Montserrat"/>
    </font>
    <font>
      <sz val="10"/>
      <color rgb="FFFF0000"/>
      <name val="Montserrat"/>
    </font>
    <font>
      <b/>
      <sz val="10"/>
      <color rgb="FFFF0000"/>
      <name val="Montserrat"/>
    </font>
    <font>
      <b/>
      <sz val="19"/>
      <color theme="1"/>
      <name val="Montserrat"/>
    </font>
    <font>
      <b/>
      <sz val="18"/>
      <color theme="1"/>
      <name val="Montserrat"/>
    </font>
    <font>
      <sz val="11"/>
      <color rgb="FF000000"/>
      <name val="Montserrat"/>
    </font>
    <font>
      <b/>
      <sz val="23"/>
      <color theme="1"/>
      <name val="Google Sans"/>
    </font>
    <font>
      <b/>
      <sz val="13"/>
      <color rgb="FFFF0000"/>
      <name val="Google Sans"/>
    </font>
    <font>
      <b/>
      <sz val="14"/>
      <color theme="1"/>
      <name val="Google Sans"/>
    </font>
    <font>
      <b/>
      <sz val="14"/>
      <color rgb="FFFF0000"/>
      <name val="Google Sans"/>
    </font>
    <font>
      <sz val="10"/>
      <color theme="1"/>
      <name val="Arial"/>
    </font>
    <font>
      <b/>
      <sz val="11"/>
      <color rgb="FF434343"/>
      <name val="Montserrat"/>
    </font>
    <font>
      <sz val="11"/>
      <color rgb="FF434343"/>
      <name val="Montserrat"/>
    </font>
    <font>
      <sz val="36"/>
      <color theme="1"/>
      <name val="Google Sans"/>
    </font>
    <font>
      <b/>
      <sz val="12"/>
      <color rgb="FFFF0000"/>
      <name val="Google Sans"/>
    </font>
    <font>
      <sz val="11"/>
      <color theme="1"/>
      <name val="Calibri"/>
    </font>
    <font>
      <b/>
      <sz val="11"/>
      <color theme="1"/>
      <name val="Calibri"/>
    </font>
    <font>
      <b/>
      <sz val="23"/>
      <color rgb="FF000000"/>
      <name val="Google Sans"/>
    </font>
    <font>
      <b/>
      <sz val="16"/>
      <color theme="1"/>
      <name val="Google Sans"/>
    </font>
    <font>
      <b/>
      <sz val="16"/>
      <color rgb="FFFF0000"/>
      <name val="Google Sans"/>
    </font>
    <font>
      <b/>
      <sz val="12"/>
      <color rgb="FF000000"/>
      <name val="Google Sans"/>
    </font>
    <font>
      <b/>
      <sz val="13"/>
      <color rgb="FF000000"/>
      <name val="Google Sans"/>
    </font>
    <font>
      <b/>
      <sz val="11"/>
      <color rgb="FF000000"/>
      <name val="Google Sans"/>
    </font>
    <font>
      <b/>
      <sz val="12"/>
      <color rgb="FF000000"/>
      <name val="Montserrat"/>
    </font>
  </fonts>
  <fills count="20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FEF8E3"/>
        <bgColor rgb="FFFEF8E3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FBBC04"/>
        <bgColor rgb="FFFBBC04"/>
      </patternFill>
    </fill>
    <fill>
      <patternFill patternType="solid">
        <fgColor rgb="FFB7E1CD"/>
        <bgColor rgb="FFB7E1CD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1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3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 wrapText="1"/>
    </xf>
    <xf numFmtId="164" fontId="4" fillId="4" borderId="0" xfId="0" applyNumberFormat="1" applyFont="1" applyFill="1" applyAlignment="1">
      <alignment horizontal="center"/>
    </xf>
    <xf numFmtId="0" fontId="4" fillId="6" borderId="0" xfId="0" applyFont="1" applyFill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4" borderId="0" xfId="0" applyFont="1" applyFill="1"/>
    <xf numFmtId="165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0" fontId="4" fillId="6" borderId="0" xfId="0" applyFont="1" applyFill="1"/>
    <xf numFmtId="3" fontId="4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166" fontId="4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 wrapText="1"/>
    </xf>
    <xf numFmtId="165" fontId="4" fillId="4" borderId="0" xfId="0" applyNumberFormat="1" applyFont="1" applyFill="1" applyAlignment="1">
      <alignment horizontal="center" wrapText="1"/>
    </xf>
    <xf numFmtId="166" fontId="4" fillId="6" borderId="0" xfId="0" applyNumberFormat="1" applyFont="1" applyFill="1" applyAlignment="1">
      <alignment horizontal="center" wrapText="1"/>
    </xf>
    <xf numFmtId="0" fontId="2" fillId="6" borderId="0" xfId="0" applyFont="1" applyFill="1"/>
    <xf numFmtId="3" fontId="2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 wrapText="1"/>
    </xf>
    <xf numFmtId="165" fontId="2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2" fillId="4" borderId="0" xfId="0" applyFont="1" applyFill="1"/>
    <xf numFmtId="3" fontId="2" fillId="4" borderId="0" xfId="0" applyNumberFormat="1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3" borderId="4" xfId="0" applyFont="1" applyFill="1" applyBorder="1" applyAlignment="1">
      <alignment horizontal="left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7" borderId="9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left" vertical="center" wrapText="1"/>
    </xf>
    <xf numFmtId="3" fontId="6" fillId="7" borderId="10" xfId="0" applyNumberFormat="1" applyFont="1" applyFill="1" applyBorder="1" applyAlignment="1">
      <alignment horizontal="center" vertical="center" wrapText="1"/>
    </xf>
    <xf numFmtId="164" fontId="6" fillId="7" borderId="10" xfId="0" applyNumberFormat="1" applyFont="1" applyFill="1" applyBorder="1" applyAlignment="1">
      <alignment horizontal="center" vertical="center" wrapText="1"/>
    </xf>
    <xf numFmtId="164" fontId="6" fillId="7" borderId="10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left" vertical="center" wrapText="1"/>
    </xf>
    <xf numFmtId="3" fontId="6" fillId="8" borderId="10" xfId="0" applyNumberFormat="1" applyFont="1" applyFill="1" applyBorder="1" applyAlignment="1">
      <alignment horizontal="center" vertical="center" wrapText="1"/>
    </xf>
    <xf numFmtId="164" fontId="6" fillId="8" borderId="10" xfId="0" applyNumberFormat="1" applyFont="1" applyFill="1" applyBorder="1" applyAlignment="1">
      <alignment horizontal="center" vertical="center" wrapText="1"/>
    </xf>
    <xf numFmtId="164" fontId="5" fillId="8" borderId="10" xfId="0" applyNumberFormat="1" applyFont="1" applyFill="1" applyBorder="1" applyAlignment="1">
      <alignment horizontal="center" vertical="center"/>
    </xf>
    <xf numFmtId="3" fontId="5" fillId="8" borderId="10" xfId="0" applyNumberFormat="1" applyFont="1" applyFill="1" applyBorder="1" applyAlignment="1">
      <alignment horizontal="center" vertical="center" wrapText="1"/>
    </xf>
    <xf numFmtId="164" fontId="5" fillId="8" borderId="10" xfId="0" applyNumberFormat="1" applyFont="1" applyFill="1" applyBorder="1" applyAlignment="1">
      <alignment horizontal="center" vertical="center" wrapText="1"/>
    </xf>
    <xf numFmtId="166" fontId="5" fillId="8" borderId="10" xfId="0" applyNumberFormat="1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left" vertical="center" wrapText="1"/>
    </xf>
    <xf numFmtId="3" fontId="6" fillId="9" borderId="10" xfId="0" applyNumberFormat="1" applyFont="1" applyFill="1" applyBorder="1" applyAlignment="1">
      <alignment horizontal="center" vertical="center" wrapText="1"/>
    </xf>
    <xf numFmtId="164" fontId="6" fillId="9" borderId="10" xfId="0" applyNumberFormat="1" applyFont="1" applyFill="1" applyBorder="1" applyAlignment="1">
      <alignment horizontal="center" vertical="center" wrapText="1"/>
    </xf>
    <xf numFmtId="166" fontId="6" fillId="9" borderId="10" xfId="0" applyNumberFormat="1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left" vertical="center" wrapText="1"/>
    </xf>
    <xf numFmtId="166" fontId="6" fillId="8" borderId="10" xfId="0" applyNumberFormat="1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left" vertical="center" wrapText="1"/>
    </xf>
    <xf numFmtId="3" fontId="6" fillId="10" borderId="10" xfId="0" applyNumberFormat="1" applyFont="1" applyFill="1" applyBorder="1" applyAlignment="1">
      <alignment horizontal="center" vertical="center" wrapText="1"/>
    </xf>
    <xf numFmtId="165" fontId="6" fillId="10" borderId="10" xfId="0" applyNumberFormat="1" applyFont="1" applyFill="1" applyBorder="1" applyAlignment="1">
      <alignment horizontal="center" vertical="center" wrapText="1"/>
    </xf>
    <xf numFmtId="166" fontId="6" fillId="10" borderId="10" xfId="0" applyNumberFormat="1" applyFont="1" applyFill="1" applyBorder="1" applyAlignment="1">
      <alignment horizontal="center" vertical="center"/>
    </xf>
    <xf numFmtId="165" fontId="6" fillId="8" borderId="10" xfId="0" applyNumberFormat="1" applyFont="1" applyFill="1" applyBorder="1" applyAlignment="1">
      <alignment horizontal="center" vertical="center" wrapText="1"/>
    </xf>
    <xf numFmtId="165" fontId="5" fillId="8" borderId="10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3" fontId="5" fillId="0" borderId="10" xfId="0" applyNumberFormat="1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 wrapText="1"/>
    </xf>
    <xf numFmtId="166" fontId="5" fillId="0" borderId="10" xfId="0" applyNumberFormat="1" applyFont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center" vertical="center"/>
    </xf>
    <xf numFmtId="3" fontId="6" fillId="11" borderId="10" xfId="0" applyNumberFormat="1" applyFont="1" applyFill="1" applyBorder="1" applyAlignment="1">
      <alignment horizontal="center" vertical="center" wrapText="1"/>
    </xf>
    <xf numFmtId="165" fontId="6" fillId="11" borderId="10" xfId="0" applyNumberFormat="1" applyFont="1" applyFill="1" applyBorder="1" applyAlignment="1">
      <alignment horizontal="center" vertical="center" wrapText="1"/>
    </xf>
    <xf numFmtId="165" fontId="6" fillId="11" borderId="10" xfId="0" applyNumberFormat="1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left"/>
    </xf>
    <xf numFmtId="0" fontId="8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  <xf numFmtId="166" fontId="5" fillId="8" borderId="10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5" fillId="7" borderId="8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3" fontId="5" fillId="3" borderId="2" xfId="0" applyNumberFormat="1" applyFont="1" applyFill="1" applyBorder="1" applyAlignment="1">
      <alignment horizontal="center"/>
    </xf>
    <xf numFmtId="0" fontId="9" fillId="3" borderId="2" xfId="0" applyFont="1" applyFill="1" applyBorder="1"/>
    <xf numFmtId="0" fontId="9" fillId="3" borderId="3" xfId="0" applyFont="1" applyFill="1" applyBorder="1"/>
    <xf numFmtId="0" fontId="5" fillId="6" borderId="10" xfId="0" applyFont="1" applyFill="1" applyBorder="1" applyAlignment="1">
      <alignment horizontal="left" vertical="center" wrapText="1"/>
    </xf>
    <xf numFmtId="3" fontId="6" fillId="6" borderId="10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167" fontId="6" fillId="6" borderId="10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9" xfId="0" applyFont="1" applyBorder="1" applyAlignment="1">
      <alignment wrapText="1"/>
    </xf>
    <xf numFmtId="3" fontId="5" fillId="6" borderId="10" xfId="0" applyNumberFormat="1" applyFont="1" applyFill="1" applyBorder="1" applyAlignment="1">
      <alignment horizontal="center" vertical="center" wrapText="1"/>
    </xf>
    <xf numFmtId="3" fontId="5" fillId="6" borderId="10" xfId="0" applyNumberFormat="1" applyFont="1" applyFill="1" applyBorder="1" applyAlignment="1">
      <alignment horizontal="left" vertical="center" wrapText="1"/>
    </xf>
    <xf numFmtId="166" fontId="5" fillId="6" borderId="10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 wrapText="1"/>
    </xf>
    <xf numFmtId="168" fontId="5" fillId="0" borderId="1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13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9" fillId="5" borderId="11" xfId="0" applyFont="1" applyFill="1" applyBorder="1" applyAlignment="1">
      <alignment horizontal="left" vertical="center"/>
    </xf>
    <xf numFmtId="3" fontId="5" fillId="5" borderId="0" xfId="0" applyNumberFormat="1" applyFont="1" applyFill="1" applyAlignment="1">
      <alignment horizontal="center" vertical="center"/>
    </xf>
    <xf numFmtId="3" fontId="5" fillId="5" borderId="13" xfId="0" applyNumberFormat="1" applyFont="1" applyFill="1" applyBorder="1" applyAlignment="1">
      <alignment horizontal="center" vertical="center"/>
    </xf>
    <xf numFmtId="168" fontId="5" fillId="5" borderId="0" xfId="0" applyNumberFormat="1" applyFont="1" applyFill="1" applyAlignment="1">
      <alignment horizontal="center" vertical="center"/>
    </xf>
    <xf numFmtId="168" fontId="5" fillId="5" borderId="13" xfId="0" applyNumberFormat="1" applyFont="1" applyFill="1" applyBorder="1" applyAlignment="1">
      <alignment horizontal="center" vertical="center"/>
    </xf>
    <xf numFmtId="165" fontId="5" fillId="5" borderId="12" xfId="0" applyNumberFormat="1" applyFont="1" applyFill="1" applyBorder="1" applyAlignment="1">
      <alignment horizontal="center" vertical="center"/>
    </xf>
    <xf numFmtId="165" fontId="5" fillId="5" borderId="13" xfId="0" applyNumberFormat="1" applyFont="1" applyFill="1" applyBorder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/>
    </xf>
    <xf numFmtId="168" fontId="6" fillId="0" borderId="13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7" borderId="11" xfId="0" applyFont="1" applyFill="1" applyBorder="1" applyAlignment="1">
      <alignment horizontal="left" vertical="center"/>
    </xf>
    <xf numFmtId="3" fontId="5" fillId="7" borderId="0" xfId="0" applyNumberFormat="1" applyFont="1" applyFill="1" applyAlignment="1">
      <alignment horizontal="center" vertical="center"/>
    </xf>
    <xf numFmtId="3" fontId="5" fillId="7" borderId="13" xfId="0" applyNumberFormat="1" applyFont="1" applyFill="1" applyBorder="1" applyAlignment="1">
      <alignment horizontal="center" vertical="center"/>
    </xf>
    <xf numFmtId="168" fontId="5" fillId="7" borderId="0" xfId="0" applyNumberFormat="1" applyFont="1" applyFill="1" applyAlignment="1">
      <alignment horizontal="center" vertical="center"/>
    </xf>
    <xf numFmtId="168" fontId="5" fillId="7" borderId="13" xfId="0" applyNumberFormat="1" applyFont="1" applyFill="1" applyBorder="1" applyAlignment="1">
      <alignment horizontal="center" vertical="center"/>
    </xf>
    <xf numFmtId="165" fontId="5" fillId="7" borderId="12" xfId="0" applyNumberFormat="1" applyFont="1" applyFill="1" applyBorder="1" applyAlignment="1">
      <alignment horizontal="center" vertical="center"/>
    </xf>
    <xf numFmtId="165" fontId="5" fillId="7" borderId="13" xfId="0" applyNumberFormat="1" applyFont="1" applyFill="1" applyBorder="1" applyAlignment="1">
      <alignment horizontal="center" vertical="center"/>
    </xf>
    <xf numFmtId="165" fontId="5" fillId="7" borderId="0" xfId="0" applyNumberFormat="1" applyFont="1" applyFill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8" fontId="5" fillId="0" borderId="13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left" vertical="center" wrapText="1"/>
    </xf>
    <xf numFmtId="3" fontId="9" fillId="7" borderId="0" xfId="0" applyNumberFormat="1" applyFont="1" applyFill="1" applyAlignment="1">
      <alignment horizontal="center" vertical="center"/>
    </xf>
    <xf numFmtId="3" fontId="9" fillId="7" borderId="13" xfId="0" applyNumberFormat="1" applyFont="1" applyFill="1" applyBorder="1" applyAlignment="1">
      <alignment horizontal="center" vertical="center"/>
    </xf>
    <xf numFmtId="168" fontId="9" fillId="7" borderId="0" xfId="0" applyNumberFormat="1" applyFont="1" applyFill="1" applyAlignment="1">
      <alignment horizontal="center" vertical="center"/>
    </xf>
    <xf numFmtId="168" fontId="9" fillId="7" borderId="13" xfId="0" applyNumberFormat="1" applyFont="1" applyFill="1" applyBorder="1" applyAlignment="1">
      <alignment horizontal="center" vertical="center"/>
    </xf>
    <xf numFmtId="165" fontId="9" fillId="7" borderId="12" xfId="0" applyNumberFormat="1" applyFont="1" applyFill="1" applyBorder="1" applyAlignment="1">
      <alignment horizontal="center" vertical="center"/>
    </xf>
    <xf numFmtId="165" fontId="9" fillId="7" borderId="13" xfId="0" applyNumberFormat="1" applyFont="1" applyFill="1" applyBorder="1" applyAlignment="1">
      <alignment horizontal="center" vertical="center"/>
    </xf>
    <xf numFmtId="165" fontId="9" fillId="7" borderId="0" xfId="0" applyNumberFormat="1" applyFont="1" applyFill="1" applyAlignment="1">
      <alignment horizontal="center" vertical="center"/>
    </xf>
    <xf numFmtId="0" fontId="12" fillId="6" borderId="11" xfId="0" applyFont="1" applyFill="1" applyBorder="1" applyAlignment="1">
      <alignment horizontal="left" vertical="center" wrapText="1"/>
    </xf>
    <xf numFmtId="3" fontId="13" fillId="6" borderId="0" xfId="0" applyNumberFormat="1" applyFont="1" applyFill="1" applyAlignment="1">
      <alignment horizontal="center" vertical="center"/>
    </xf>
    <xf numFmtId="3" fontId="13" fillId="6" borderId="13" xfId="0" applyNumberFormat="1" applyFont="1" applyFill="1" applyBorder="1" applyAlignment="1">
      <alignment horizontal="center" vertical="center"/>
    </xf>
    <xf numFmtId="168" fontId="13" fillId="6" borderId="0" xfId="0" applyNumberFormat="1" applyFont="1" applyFill="1" applyAlignment="1">
      <alignment horizontal="center" vertical="center"/>
    </xf>
    <xf numFmtId="168" fontId="13" fillId="6" borderId="13" xfId="0" applyNumberFormat="1" applyFont="1" applyFill="1" applyBorder="1" applyAlignment="1">
      <alignment horizontal="center" vertical="center"/>
    </xf>
    <xf numFmtId="165" fontId="13" fillId="6" borderId="12" xfId="0" applyNumberFormat="1" applyFont="1" applyFill="1" applyBorder="1" applyAlignment="1">
      <alignment horizontal="center" vertical="center"/>
    </xf>
    <xf numFmtId="165" fontId="13" fillId="6" borderId="13" xfId="0" applyNumberFormat="1" applyFont="1" applyFill="1" applyBorder="1" applyAlignment="1">
      <alignment horizontal="center" vertical="center"/>
    </xf>
    <xf numFmtId="165" fontId="13" fillId="6" borderId="0" xfId="0" applyNumberFormat="1" applyFont="1" applyFill="1" applyAlignment="1">
      <alignment horizontal="center" vertical="center"/>
    </xf>
    <xf numFmtId="0" fontId="8" fillId="6" borderId="11" xfId="0" applyFont="1" applyFill="1" applyBorder="1" applyAlignment="1">
      <alignment horizontal="left" vertical="center"/>
    </xf>
    <xf numFmtId="3" fontId="8" fillId="6" borderId="0" xfId="0" applyNumberFormat="1" applyFont="1" applyFill="1" applyAlignment="1">
      <alignment horizontal="center" vertical="center"/>
    </xf>
    <xf numFmtId="3" fontId="8" fillId="6" borderId="13" xfId="0" applyNumberFormat="1" applyFont="1" applyFill="1" applyBorder="1" applyAlignment="1">
      <alignment horizontal="center" vertical="center"/>
    </xf>
    <xf numFmtId="168" fontId="8" fillId="6" borderId="0" xfId="0" applyNumberFormat="1" applyFont="1" applyFill="1" applyAlignment="1">
      <alignment horizontal="center" vertical="center"/>
    </xf>
    <xf numFmtId="168" fontId="8" fillId="6" borderId="13" xfId="0" applyNumberFormat="1" applyFont="1" applyFill="1" applyBorder="1" applyAlignment="1">
      <alignment horizontal="center" vertical="center"/>
    </xf>
    <xf numFmtId="165" fontId="8" fillId="6" borderId="0" xfId="0" applyNumberFormat="1" applyFont="1" applyFill="1" applyAlignment="1">
      <alignment horizontal="center" vertical="center"/>
    </xf>
    <xf numFmtId="165" fontId="8" fillId="6" borderId="13" xfId="0" applyNumberFormat="1" applyFont="1" applyFill="1" applyBorder="1" applyAlignment="1">
      <alignment horizontal="center" vertical="center"/>
    </xf>
    <xf numFmtId="165" fontId="8" fillId="6" borderId="12" xfId="0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 wrapText="1"/>
    </xf>
    <xf numFmtId="3" fontId="5" fillId="6" borderId="0" xfId="0" applyNumberFormat="1" applyFont="1" applyFill="1" applyAlignment="1">
      <alignment horizontal="center" vertical="center"/>
    </xf>
    <xf numFmtId="3" fontId="5" fillId="6" borderId="13" xfId="0" applyNumberFormat="1" applyFont="1" applyFill="1" applyBorder="1" applyAlignment="1">
      <alignment horizontal="center" vertical="center"/>
    </xf>
    <xf numFmtId="168" fontId="5" fillId="6" borderId="0" xfId="0" applyNumberFormat="1" applyFont="1" applyFill="1" applyAlignment="1">
      <alignment horizontal="center" vertical="center"/>
    </xf>
    <xf numFmtId="168" fontId="5" fillId="6" borderId="13" xfId="0" applyNumberFormat="1" applyFont="1" applyFill="1" applyBorder="1" applyAlignment="1">
      <alignment horizontal="center" vertical="center"/>
    </xf>
    <xf numFmtId="165" fontId="5" fillId="6" borderId="12" xfId="0" applyNumberFormat="1" applyFont="1" applyFill="1" applyBorder="1" applyAlignment="1">
      <alignment horizontal="center" vertical="center"/>
    </xf>
    <xf numFmtId="165" fontId="5" fillId="6" borderId="13" xfId="0" applyNumberFormat="1" applyFont="1" applyFill="1" applyBorder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5" fillId="6" borderId="11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wrapText="1"/>
    </xf>
    <xf numFmtId="3" fontId="9" fillId="7" borderId="0" xfId="0" applyNumberFormat="1" applyFont="1" applyFill="1" applyAlignment="1">
      <alignment horizontal="center"/>
    </xf>
    <xf numFmtId="3" fontId="9" fillId="7" borderId="13" xfId="0" applyNumberFormat="1" applyFont="1" applyFill="1" applyBorder="1" applyAlignment="1">
      <alignment horizontal="center"/>
    </xf>
    <xf numFmtId="168" fontId="9" fillId="7" borderId="0" xfId="0" applyNumberFormat="1" applyFont="1" applyFill="1" applyAlignment="1">
      <alignment horizontal="center"/>
    </xf>
    <xf numFmtId="168" fontId="9" fillId="7" borderId="13" xfId="0" applyNumberFormat="1" applyFont="1" applyFill="1" applyBorder="1" applyAlignment="1">
      <alignment horizontal="center"/>
    </xf>
    <xf numFmtId="165" fontId="9" fillId="7" borderId="14" xfId="0" applyNumberFormat="1" applyFont="1" applyFill="1" applyBorder="1" applyAlignment="1">
      <alignment horizontal="center"/>
    </xf>
    <xf numFmtId="165" fontId="9" fillId="7" borderId="13" xfId="0" applyNumberFormat="1" applyFont="1" applyFill="1" applyBorder="1" applyAlignment="1">
      <alignment horizontal="center"/>
    </xf>
    <xf numFmtId="165" fontId="9" fillId="7" borderId="0" xfId="0" applyNumberFormat="1" applyFont="1" applyFill="1" applyAlignment="1">
      <alignment horizontal="center"/>
    </xf>
    <xf numFmtId="0" fontId="9" fillId="6" borderId="11" xfId="0" applyFont="1" applyFill="1" applyBorder="1" applyAlignment="1">
      <alignment wrapText="1"/>
    </xf>
    <xf numFmtId="3" fontId="9" fillId="6" borderId="0" xfId="0" applyNumberFormat="1" applyFont="1" applyFill="1" applyAlignment="1">
      <alignment horizontal="center"/>
    </xf>
    <xf numFmtId="3" fontId="9" fillId="6" borderId="13" xfId="0" applyNumberFormat="1" applyFont="1" applyFill="1" applyBorder="1" applyAlignment="1">
      <alignment horizontal="center"/>
    </xf>
    <xf numFmtId="168" fontId="9" fillId="6" borderId="0" xfId="0" applyNumberFormat="1" applyFont="1" applyFill="1" applyAlignment="1">
      <alignment horizontal="center"/>
    </xf>
    <xf numFmtId="168" fontId="9" fillId="6" borderId="13" xfId="0" applyNumberFormat="1" applyFont="1" applyFill="1" applyBorder="1" applyAlignment="1">
      <alignment horizontal="center"/>
    </xf>
    <xf numFmtId="165" fontId="9" fillId="6" borderId="12" xfId="0" applyNumberFormat="1" applyFont="1" applyFill="1" applyBorder="1" applyAlignment="1">
      <alignment horizontal="center"/>
    </xf>
    <xf numFmtId="165" fontId="9" fillId="6" borderId="13" xfId="0" applyNumberFormat="1" applyFont="1" applyFill="1" applyBorder="1" applyAlignment="1">
      <alignment horizontal="center"/>
    </xf>
    <xf numFmtId="165" fontId="9" fillId="6" borderId="0" xfId="0" applyNumberFormat="1" applyFont="1" applyFill="1" applyAlignment="1">
      <alignment horizontal="center"/>
    </xf>
    <xf numFmtId="0" fontId="8" fillId="6" borderId="11" xfId="0" applyFont="1" applyFill="1" applyBorder="1" applyAlignment="1">
      <alignment horizontal="left" wrapText="1"/>
    </xf>
    <xf numFmtId="0" fontId="8" fillId="4" borderId="11" xfId="0" applyFont="1" applyFill="1" applyBorder="1" applyAlignment="1">
      <alignment horizontal="left" wrapText="1"/>
    </xf>
    <xf numFmtId="3" fontId="8" fillId="7" borderId="13" xfId="0" applyNumberFormat="1" applyFont="1" applyFill="1" applyBorder="1" applyAlignment="1">
      <alignment horizontal="center"/>
    </xf>
    <xf numFmtId="3" fontId="8" fillId="7" borderId="0" xfId="0" applyNumberFormat="1" applyFont="1" applyFill="1" applyAlignment="1">
      <alignment horizontal="center"/>
    </xf>
    <xf numFmtId="168" fontId="8" fillId="7" borderId="0" xfId="0" applyNumberFormat="1" applyFont="1" applyFill="1" applyAlignment="1">
      <alignment horizontal="center"/>
    </xf>
    <xf numFmtId="168" fontId="8" fillId="7" borderId="13" xfId="0" applyNumberFormat="1" applyFont="1" applyFill="1" applyBorder="1" applyAlignment="1">
      <alignment horizontal="center"/>
    </xf>
    <xf numFmtId="165" fontId="8" fillId="7" borderId="13" xfId="0" applyNumberFormat="1" applyFont="1" applyFill="1" applyBorder="1" applyAlignment="1">
      <alignment horizontal="center"/>
    </xf>
    <xf numFmtId="165" fontId="8" fillId="7" borderId="0" xfId="0" applyNumberFormat="1" applyFont="1" applyFill="1" applyAlignment="1">
      <alignment horizontal="center"/>
    </xf>
    <xf numFmtId="3" fontId="8" fillId="6" borderId="13" xfId="0" applyNumberFormat="1" applyFont="1" applyFill="1" applyBorder="1" applyAlignment="1">
      <alignment horizontal="center"/>
    </xf>
    <xf numFmtId="3" fontId="8" fillId="6" borderId="0" xfId="0" applyNumberFormat="1" applyFont="1" applyFill="1" applyAlignment="1">
      <alignment horizontal="center"/>
    </xf>
    <xf numFmtId="168" fontId="8" fillId="6" borderId="0" xfId="0" applyNumberFormat="1" applyFont="1" applyFill="1" applyAlignment="1">
      <alignment horizontal="center"/>
    </xf>
    <xf numFmtId="168" fontId="8" fillId="6" borderId="13" xfId="0" applyNumberFormat="1" applyFont="1" applyFill="1" applyBorder="1" applyAlignment="1">
      <alignment horizontal="center"/>
    </xf>
    <xf numFmtId="165" fontId="8" fillId="6" borderId="13" xfId="0" applyNumberFormat="1" applyFont="1" applyFill="1" applyBorder="1" applyAlignment="1">
      <alignment horizontal="center"/>
    </xf>
    <xf numFmtId="165" fontId="8" fillId="6" borderId="0" xfId="0" applyNumberFormat="1" applyFont="1" applyFill="1" applyAlignment="1">
      <alignment horizontal="center"/>
    </xf>
    <xf numFmtId="0" fontId="8" fillId="6" borderId="11" xfId="0" applyFont="1" applyFill="1" applyBorder="1" applyAlignment="1">
      <alignment wrapText="1"/>
    </xf>
    <xf numFmtId="3" fontId="8" fillId="6" borderId="0" xfId="0" applyNumberFormat="1" applyFont="1" applyFill="1"/>
    <xf numFmtId="3" fontId="8" fillId="6" borderId="13" xfId="0" applyNumberFormat="1" applyFont="1" applyFill="1" applyBorder="1"/>
    <xf numFmtId="168" fontId="8" fillId="6" borderId="0" xfId="0" applyNumberFormat="1" applyFont="1" applyFill="1"/>
    <xf numFmtId="168" fontId="8" fillId="6" borderId="13" xfId="0" applyNumberFormat="1" applyFont="1" applyFill="1" applyBorder="1"/>
    <xf numFmtId="165" fontId="8" fillId="6" borderId="12" xfId="0" applyNumberFormat="1" applyFont="1" applyFill="1" applyBorder="1"/>
    <xf numFmtId="165" fontId="8" fillId="6" borderId="13" xfId="0" applyNumberFormat="1" applyFont="1" applyFill="1" applyBorder="1"/>
    <xf numFmtId="165" fontId="8" fillId="6" borderId="0" xfId="0" applyNumberFormat="1" applyFont="1" applyFill="1"/>
    <xf numFmtId="3" fontId="6" fillId="6" borderId="13" xfId="0" applyNumberFormat="1" applyFont="1" applyFill="1" applyBorder="1" applyAlignment="1">
      <alignment horizontal="center" vertical="center"/>
    </xf>
    <xf numFmtId="3" fontId="6" fillId="6" borderId="0" xfId="0" applyNumberFormat="1" applyFont="1" applyFill="1" applyAlignment="1">
      <alignment horizontal="center" vertical="center"/>
    </xf>
    <xf numFmtId="168" fontId="6" fillId="6" borderId="0" xfId="0" applyNumberFormat="1" applyFont="1" applyFill="1" applyAlignment="1">
      <alignment horizontal="center" vertical="center"/>
    </xf>
    <xf numFmtId="168" fontId="6" fillId="6" borderId="13" xfId="0" applyNumberFormat="1" applyFont="1" applyFill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center" vertical="center"/>
    </xf>
    <xf numFmtId="165" fontId="6" fillId="6" borderId="13" xfId="0" applyNumberFormat="1" applyFont="1" applyFill="1" applyBorder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8" fillId="4" borderId="11" xfId="0" applyFont="1" applyFill="1" applyBorder="1" applyAlignment="1">
      <alignment wrapText="1"/>
    </xf>
    <xf numFmtId="3" fontId="6" fillId="4" borderId="13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68" fontId="6" fillId="4" borderId="0" xfId="0" applyNumberFormat="1" applyFont="1" applyFill="1" applyAlignment="1">
      <alignment horizontal="center" vertical="center"/>
    </xf>
    <xf numFmtId="168" fontId="6" fillId="4" borderId="13" xfId="0" applyNumberFormat="1" applyFon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9" fillId="5" borderId="7" xfId="0" applyFont="1" applyFill="1" applyBorder="1" applyAlignment="1">
      <alignment horizontal="left" vertical="center"/>
    </xf>
    <xf numFmtId="3" fontId="5" fillId="5" borderId="8" xfId="0" applyNumberFormat="1" applyFont="1" applyFill="1" applyBorder="1" applyAlignment="1">
      <alignment horizontal="center" vertical="center"/>
    </xf>
    <xf numFmtId="168" fontId="5" fillId="5" borderId="8" xfId="0" applyNumberFormat="1" applyFont="1" applyFill="1" applyBorder="1" applyAlignment="1">
      <alignment horizontal="center" vertical="center"/>
    </xf>
    <xf numFmtId="165" fontId="5" fillId="5" borderId="10" xfId="0" applyNumberFormat="1" applyFont="1" applyFill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7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14" fillId="0" borderId="10" xfId="0" applyNumberFormat="1" applyFont="1" applyBorder="1" applyAlignment="1">
      <alignment horizontal="center" vertical="center" wrapText="1"/>
    </xf>
    <xf numFmtId="169" fontId="16" fillId="0" borderId="0" xfId="0" applyNumberFormat="1" applyFont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1" fontId="21" fillId="2" borderId="0" xfId="0" applyNumberFormat="1" applyFont="1" applyFill="1" applyAlignment="1">
      <alignment horizontal="center" vertical="center" wrapText="1"/>
    </xf>
    <xf numFmtId="166" fontId="21" fillId="2" borderId="9" xfId="0" applyNumberFormat="1" applyFont="1" applyFill="1" applyBorder="1" applyAlignment="1">
      <alignment horizontal="center" vertical="center" wrapText="1"/>
    </xf>
    <xf numFmtId="170" fontId="21" fillId="2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168" fontId="16" fillId="4" borderId="10" xfId="0" applyNumberFormat="1" applyFont="1" applyFill="1" applyBorder="1" applyAlignment="1">
      <alignment horizontal="center" vertical="center" wrapText="1"/>
    </xf>
    <xf numFmtId="169" fontId="16" fillId="4" borderId="10" xfId="0" applyNumberFormat="1" applyFont="1" applyFill="1" applyBorder="1" applyAlignment="1">
      <alignment horizontal="center" vertical="center" wrapText="1"/>
    </xf>
    <xf numFmtId="170" fontId="16" fillId="4" borderId="10" xfId="0" applyNumberFormat="1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168" fontId="16" fillId="6" borderId="10" xfId="0" applyNumberFormat="1" applyFont="1" applyFill="1" applyBorder="1" applyAlignment="1">
      <alignment horizontal="center" vertical="center" wrapText="1"/>
    </xf>
    <xf numFmtId="169" fontId="16" fillId="6" borderId="10" xfId="0" applyNumberFormat="1" applyFont="1" applyFill="1" applyBorder="1" applyAlignment="1">
      <alignment horizontal="center" vertical="center" wrapText="1"/>
    </xf>
    <xf numFmtId="170" fontId="16" fillId="6" borderId="10" xfId="0" applyNumberFormat="1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168" fontId="14" fillId="5" borderId="10" xfId="0" applyNumberFormat="1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170" fontId="14" fillId="5" borderId="10" xfId="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170" fontId="14" fillId="0" borderId="9" xfId="0" applyNumberFormat="1" applyFont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168" fontId="16" fillId="0" borderId="10" xfId="0" applyNumberFormat="1" applyFont="1" applyBorder="1" applyAlignment="1">
      <alignment horizontal="center" vertical="center" wrapText="1"/>
    </xf>
    <xf numFmtId="169" fontId="16" fillId="0" borderId="10" xfId="0" applyNumberFormat="1" applyFont="1" applyBorder="1" applyAlignment="1">
      <alignment horizontal="center" vertical="center" wrapText="1"/>
    </xf>
    <xf numFmtId="170" fontId="16" fillId="0" borderId="10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68" fontId="16" fillId="0" borderId="9" xfId="0" applyNumberFormat="1" applyFont="1" applyBorder="1" applyAlignment="1">
      <alignment horizontal="center" vertical="center" wrapText="1"/>
    </xf>
    <xf numFmtId="169" fontId="16" fillId="0" borderId="9" xfId="0" applyNumberFormat="1" applyFont="1" applyBorder="1" applyAlignment="1">
      <alignment horizontal="center" vertical="center" wrapText="1"/>
    </xf>
    <xf numFmtId="170" fontId="16" fillId="0" borderId="9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8" fontId="16" fillId="0" borderId="17" xfId="0" applyNumberFormat="1" applyFont="1" applyBorder="1" applyAlignment="1">
      <alignment horizontal="center" vertical="center" wrapText="1"/>
    </xf>
    <xf numFmtId="169" fontId="16" fillId="0" borderId="17" xfId="0" applyNumberFormat="1" applyFont="1" applyBorder="1" applyAlignment="1">
      <alignment horizontal="center" vertical="center" wrapText="1"/>
    </xf>
    <xf numFmtId="170" fontId="16" fillId="0" borderId="17" xfId="0" applyNumberFormat="1" applyFont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168" fontId="14" fillId="8" borderId="21" xfId="0" applyNumberFormat="1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169" fontId="16" fillId="8" borderId="21" xfId="0" applyNumberFormat="1" applyFont="1" applyFill="1" applyBorder="1" applyAlignment="1">
      <alignment horizontal="center" vertical="center" wrapText="1"/>
    </xf>
    <xf numFmtId="170" fontId="14" fillId="8" borderId="21" xfId="0" applyNumberFormat="1" applyFont="1" applyFill="1" applyBorder="1" applyAlignment="1">
      <alignment horizontal="center" vertical="center" wrapText="1"/>
    </xf>
    <xf numFmtId="170" fontId="16" fillId="8" borderId="21" xfId="0" applyNumberFormat="1" applyFont="1" applyFill="1" applyBorder="1" applyAlignment="1">
      <alignment horizontal="center" vertical="center" wrapText="1"/>
    </xf>
    <xf numFmtId="170" fontId="16" fillId="0" borderId="22" xfId="0" applyNumberFormat="1" applyFont="1" applyBorder="1" applyAlignment="1">
      <alignment horizontal="center" vertical="center" wrapText="1"/>
    </xf>
    <xf numFmtId="170" fontId="16" fillId="0" borderId="16" xfId="0" applyNumberFormat="1" applyFont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center" vertical="center" wrapText="1"/>
    </xf>
    <xf numFmtId="168" fontId="16" fillId="6" borderId="16" xfId="0" applyNumberFormat="1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168" fontId="14" fillId="8" borderId="10" xfId="0" applyNumberFormat="1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169" fontId="16" fillId="8" borderId="10" xfId="0" applyNumberFormat="1" applyFont="1" applyFill="1" applyBorder="1" applyAlignment="1">
      <alignment horizontal="center" vertical="center" wrapText="1"/>
    </xf>
    <xf numFmtId="170" fontId="14" fillId="8" borderId="10" xfId="0" applyNumberFormat="1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170" fontId="14" fillId="0" borderId="10" xfId="0" applyNumberFormat="1" applyFont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166" fontId="16" fillId="0" borderId="10" xfId="0" applyNumberFormat="1" applyFont="1" applyBorder="1" applyAlignment="1">
      <alignment horizontal="center" vertical="center" wrapText="1"/>
    </xf>
    <xf numFmtId="166" fontId="16" fillId="6" borderId="10" xfId="0" applyNumberFormat="1" applyFont="1" applyFill="1" applyBorder="1" applyAlignment="1">
      <alignment horizontal="center" vertical="center" wrapText="1"/>
    </xf>
    <xf numFmtId="1" fontId="14" fillId="8" borderId="10" xfId="0" applyNumberFormat="1" applyFont="1" applyFill="1" applyBorder="1" applyAlignment="1">
      <alignment horizontal="center" vertical="center" wrapText="1"/>
    </xf>
    <xf numFmtId="166" fontId="14" fillId="8" borderId="10" xfId="0" applyNumberFormat="1" applyFont="1" applyFill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 wrapText="1"/>
    </xf>
    <xf numFmtId="166" fontId="14" fillId="8" borderId="21" xfId="0" applyNumberFormat="1" applyFont="1" applyFill="1" applyBorder="1" applyAlignment="1">
      <alignment horizontal="center" vertical="center" wrapText="1"/>
    </xf>
    <xf numFmtId="166" fontId="16" fillId="0" borderId="22" xfId="0" applyNumberFormat="1" applyFont="1" applyBorder="1" applyAlignment="1">
      <alignment horizontal="center" vertical="center" wrapText="1"/>
    </xf>
    <xf numFmtId="166" fontId="16" fillId="0" borderId="16" xfId="0" applyNumberFormat="1" applyFont="1" applyBorder="1" applyAlignment="1">
      <alignment horizontal="center" vertical="center" wrapText="1"/>
    </xf>
    <xf numFmtId="169" fontId="14" fillId="8" borderId="10" xfId="0" applyNumberFormat="1" applyFont="1" applyFill="1" applyBorder="1" applyAlignment="1">
      <alignment horizontal="center" vertical="center" wrapText="1"/>
    </xf>
    <xf numFmtId="168" fontId="16" fillId="8" borderId="10" xfId="0" applyNumberFormat="1" applyFont="1" applyFill="1" applyBorder="1" applyAlignment="1">
      <alignment horizontal="center" vertical="center" wrapText="1"/>
    </xf>
    <xf numFmtId="10" fontId="16" fillId="0" borderId="10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25" fillId="0" borderId="10" xfId="0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1" fontId="23" fillId="0" borderId="10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1" fontId="24" fillId="0" borderId="10" xfId="0" applyNumberFormat="1" applyFont="1" applyBorder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1" fontId="22" fillId="0" borderId="10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9" fontId="23" fillId="0" borderId="0" xfId="0" applyNumberFormat="1" applyFont="1" applyAlignment="1">
      <alignment horizontal="center" vertical="center" wrapText="1"/>
    </xf>
    <xf numFmtId="170" fontId="23" fillId="0" borderId="0" xfId="0" applyNumberFormat="1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9" borderId="16" xfId="0" applyFont="1" applyFill="1" applyBorder="1" applyAlignment="1">
      <alignment horizontal="center" vertical="center" wrapText="1"/>
    </xf>
    <xf numFmtId="0" fontId="24" fillId="14" borderId="16" xfId="0" applyFont="1" applyFill="1" applyBorder="1" applyAlignment="1">
      <alignment horizontal="center" vertical="center" wrapText="1"/>
    </xf>
    <xf numFmtId="0" fontId="24" fillId="13" borderId="16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49" fontId="23" fillId="0" borderId="9" xfId="0" applyNumberFormat="1" applyFont="1" applyBorder="1" applyAlignment="1">
      <alignment horizontal="center" vertical="center" wrapText="1"/>
    </xf>
    <xf numFmtId="168" fontId="23" fillId="6" borderId="9" xfId="0" applyNumberFormat="1" applyFont="1" applyFill="1" applyBorder="1" applyAlignment="1">
      <alignment horizontal="center" vertical="center" wrapText="1"/>
    </xf>
    <xf numFmtId="166" fontId="23" fillId="0" borderId="9" xfId="0" applyNumberFormat="1" applyFont="1" applyBorder="1" applyAlignment="1">
      <alignment horizontal="center" vertical="center" wrapText="1"/>
    </xf>
    <xf numFmtId="9" fontId="23" fillId="0" borderId="9" xfId="0" applyNumberFormat="1" applyFont="1" applyBorder="1" applyAlignment="1">
      <alignment horizontal="center" vertical="center" wrapText="1"/>
    </xf>
    <xf numFmtId="166" fontId="23" fillId="6" borderId="10" xfId="0" applyNumberFormat="1" applyFont="1" applyFill="1" applyBorder="1" applyAlignment="1">
      <alignment horizontal="center" vertical="center" wrapText="1"/>
    </xf>
    <xf numFmtId="165" fontId="23" fillId="6" borderId="9" xfId="0" applyNumberFormat="1" applyFont="1" applyFill="1" applyBorder="1" applyAlignment="1">
      <alignment horizontal="center" vertical="center" wrapText="1"/>
    </xf>
    <xf numFmtId="171" fontId="24" fillId="0" borderId="9" xfId="0" applyNumberFormat="1" applyFont="1" applyBorder="1" applyAlignment="1">
      <alignment horizontal="center" vertical="center" wrapText="1"/>
    </xf>
    <xf numFmtId="0" fontId="23" fillId="6" borderId="22" xfId="0" applyFont="1" applyFill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68" fontId="23" fillId="6" borderId="16" xfId="0" applyNumberFormat="1" applyFont="1" applyFill="1" applyBorder="1" applyAlignment="1">
      <alignment horizontal="center" vertical="center" wrapText="1"/>
    </xf>
    <xf numFmtId="166" fontId="23" fillId="0" borderId="16" xfId="0" applyNumberFormat="1" applyFont="1" applyBorder="1" applyAlignment="1">
      <alignment horizontal="center" vertical="center" wrapText="1"/>
    </xf>
    <xf numFmtId="165" fontId="23" fillId="6" borderId="16" xfId="0" applyNumberFormat="1" applyFont="1" applyFill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 wrapText="1"/>
    </xf>
    <xf numFmtId="0" fontId="23" fillId="6" borderId="16" xfId="0" applyFont="1" applyFill="1" applyBorder="1" applyAlignment="1">
      <alignment horizontal="center" vertical="center" wrapText="1"/>
    </xf>
    <xf numFmtId="49" fontId="23" fillId="6" borderId="16" xfId="0" applyNumberFormat="1" applyFont="1" applyFill="1" applyBorder="1" applyAlignment="1">
      <alignment horizontal="center" vertical="center" wrapText="1"/>
    </xf>
    <xf numFmtId="165" fontId="23" fillId="0" borderId="16" xfId="0" applyNumberFormat="1" applyFont="1" applyBorder="1" applyAlignment="1">
      <alignment horizontal="center" vertical="center" wrapText="1"/>
    </xf>
    <xf numFmtId="172" fontId="23" fillId="0" borderId="16" xfId="0" applyNumberFormat="1" applyFont="1" applyBorder="1" applyAlignment="1">
      <alignment horizontal="center" vertical="center" wrapText="1"/>
    </xf>
    <xf numFmtId="173" fontId="23" fillId="0" borderId="16" xfId="0" applyNumberFormat="1" applyFont="1" applyBorder="1" applyAlignment="1">
      <alignment horizontal="center" vertical="center" wrapText="1"/>
    </xf>
    <xf numFmtId="170" fontId="23" fillId="0" borderId="16" xfId="0" applyNumberFormat="1" applyFont="1" applyBorder="1" applyAlignment="1">
      <alignment horizontal="center" vertical="center" wrapText="1"/>
    </xf>
    <xf numFmtId="9" fontId="23" fillId="0" borderId="16" xfId="0" applyNumberFormat="1" applyFont="1" applyBorder="1" applyAlignment="1">
      <alignment horizontal="center" vertical="center" wrapText="1"/>
    </xf>
    <xf numFmtId="170" fontId="23" fillId="6" borderId="22" xfId="0" applyNumberFormat="1" applyFont="1" applyFill="1" applyBorder="1" applyAlignment="1">
      <alignment horizontal="center" vertical="center" wrapText="1"/>
    </xf>
    <xf numFmtId="170" fontId="23" fillId="6" borderId="16" xfId="0" applyNumberFormat="1" applyFont="1" applyFill="1" applyBorder="1" applyAlignment="1">
      <alignment horizontal="center" vertical="center" wrapText="1"/>
    </xf>
    <xf numFmtId="170" fontId="23" fillId="6" borderId="10" xfId="0" applyNumberFormat="1" applyFont="1" applyFill="1" applyBorder="1" applyAlignment="1">
      <alignment horizontal="center" vertical="center" wrapText="1"/>
    </xf>
    <xf numFmtId="49" fontId="23" fillId="6" borderId="10" xfId="0" applyNumberFormat="1" applyFont="1" applyFill="1" applyBorder="1" applyAlignment="1">
      <alignment horizontal="center" vertical="center" wrapText="1"/>
    </xf>
    <xf numFmtId="168" fontId="23" fillId="6" borderId="10" xfId="0" applyNumberFormat="1" applyFont="1" applyFill="1" applyBorder="1" applyAlignment="1">
      <alignment horizontal="center" vertical="center" wrapText="1"/>
    </xf>
    <xf numFmtId="172" fontId="23" fillId="0" borderId="10" xfId="0" applyNumberFormat="1" applyFont="1" applyBorder="1" applyAlignment="1">
      <alignment horizontal="center" vertical="center" wrapText="1"/>
    </xf>
    <xf numFmtId="166" fontId="23" fillId="0" borderId="10" xfId="0" applyNumberFormat="1" applyFont="1" applyBorder="1" applyAlignment="1">
      <alignment horizontal="center" vertical="center" wrapText="1"/>
    </xf>
    <xf numFmtId="9" fontId="23" fillId="0" borderId="10" xfId="0" applyNumberFormat="1" applyFont="1" applyBorder="1" applyAlignment="1">
      <alignment horizontal="center" vertical="center" wrapText="1"/>
    </xf>
    <xf numFmtId="165" fontId="23" fillId="6" borderId="10" xfId="0" applyNumberFormat="1" applyFont="1" applyFill="1" applyBorder="1" applyAlignment="1">
      <alignment horizontal="center" vertical="center" wrapText="1"/>
    </xf>
    <xf numFmtId="171" fontId="24" fillId="0" borderId="10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center" vertical="center" wrapText="1"/>
    </xf>
    <xf numFmtId="170" fontId="23" fillId="0" borderId="10" xfId="0" applyNumberFormat="1" applyFont="1" applyBorder="1" applyAlignment="1">
      <alignment horizontal="center" vertical="center" wrapText="1"/>
    </xf>
    <xf numFmtId="171" fontId="23" fillId="6" borderId="10" xfId="0" applyNumberFormat="1" applyFont="1" applyFill="1" applyBorder="1" applyAlignment="1">
      <alignment horizontal="center" vertical="center" wrapText="1"/>
    </xf>
    <xf numFmtId="171" fontId="23" fillId="0" borderId="10" xfId="0" applyNumberFormat="1" applyFont="1" applyBorder="1" applyAlignment="1">
      <alignment horizontal="center" vertical="center" wrapText="1"/>
    </xf>
    <xf numFmtId="172" fontId="23" fillId="6" borderId="10" xfId="0" applyNumberFormat="1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172" fontId="23" fillId="0" borderId="9" xfId="0" applyNumberFormat="1" applyFont="1" applyBorder="1" applyAlignment="1">
      <alignment horizontal="center" vertical="center" wrapText="1"/>
    </xf>
    <xf numFmtId="166" fontId="23" fillId="6" borderId="9" xfId="0" applyNumberFormat="1" applyFont="1" applyFill="1" applyBorder="1" applyAlignment="1">
      <alignment horizontal="center" vertical="center" wrapText="1"/>
    </xf>
    <xf numFmtId="0" fontId="30" fillId="10" borderId="10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168" fontId="30" fillId="10" borderId="9" xfId="0" applyNumberFormat="1" applyFont="1" applyFill="1" applyBorder="1" applyAlignment="1">
      <alignment horizontal="center" vertical="center" wrapText="1"/>
    </xf>
    <xf numFmtId="165" fontId="30" fillId="8" borderId="10" xfId="0" applyNumberFormat="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168" fontId="24" fillId="0" borderId="0" xfId="0" applyNumberFormat="1" applyFont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4" fillId="14" borderId="10" xfId="0" applyFont="1" applyFill="1" applyBorder="1" applyAlignment="1">
      <alignment horizontal="center" vertical="center" wrapText="1"/>
    </xf>
    <xf numFmtId="0" fontId="24" fillId="13" borderId="10" xfId="0" applyFont="1" applyFill="1" applyBorder="1" applyAlignment="1">
      <alignment horizontal="center" vertical="center" wrapText="1"/>
    </xf>
    <xf numFmtId="168" fontId="23" fillId="0" borderId="10" xfId="0" applyNumberFormat="1" applyFont="1" applyBorder="1" applyAlignment="1">
      <alignment horizontal="center" vertical="center" wrapText="1"/>
    </xf>
    <xf numFmtId="168" fontId="24" fillId="0" borderId="10" xfId="0" applyNumberFormat="1" applyFont="1" applyBorder="1" applyAlignment="1">
      <alignment horizontal="center" vertical="center" wrapText="1"/>
    </xf>
    <xf numFmtId="166" fontId="24" fillId="0" borderId="10" xfId="0" applyNumberFormat="1" applyFont="1" applyBorder="1" applyAlignment="1">
      <alignment horizontal="center" vertical="center" wrapText="1"/>
    </xf>
    <xf numFmtId="9" fontId="24" fillId="0" borderId="10" xfId="0" applyNumberFormat="1" applyFont="1" applyBorder="1" applyAlignment="1">
      <alignment horizontal="center" vertical="center" wrapText="1"/>
    </xf>
    <xf numFmtId="166" fontId="24" fillId="6" borderId="10" xfId="0" applyNumberFormat="1" applyFont="1" applyFill="1" applyBorder="1" applyAlignment="1">
      <alignment horizontal="center" vertical="center" wrapText="1"/>
    </xf>
    <xf numFmtId="174" fontId="23" fillId="0" borderId="10" xfId="0" applyNumberFormat="1" applyFont="1" applyBorder="1" applyAlignment="1">
      <alignment horizontal="center" vertical="center" wrapText="1"/>
    </xf>
    <xf numFmtId="168" fontId="30" fillId="10" borderId="10" xfId="0" applyNumberFormat="1" applyFont="1" applyFill="1" applyBorder="1" applyAlignment="1">
      <alignment horizontal="center" vertical="center" wrapText="1"/>
    </xf>
    <xf numFmtId="166" fontId="30" fillId="8" borderId="10" xfId="0" applyNumberFormat="1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166" fontId="23" fillId="6" borderId="16" xfId="0" applyNumberFormat="1" applyFont="1" applyFill="1" applyBorder="1" applyAlignment="1">
      <alignment horizontal="center" vertical="center" wrapText="1"/>
    </xf>
    <xf numFmtId="171" fontId="24" fillId="0" borderId="16" xfId="0" applyNumberFormat="1" applyFont="1" applyBorder="1" applyAlignment="1">
      <alignment horizontal="center" vertical="center" wrapText="1"/>
    </xf>
    <xf numFmtId="9" fontId="23" fillId="6" borderId="16" xfId="0" applyNumberFormat="1" applyFont="1" applyFill="1" applyBorder="1" applyAlignment="1">
      <alignment horizontal="center" vertical="center" wrapText="1"/>
    </xf>
    <xf numFmtId="9" fontId="23" fillId="0" borderId="22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  <xf numFmtId="168" fontId="23" fillId="0" borderId="16" xfId="0" applyNumberFormat="1" applyFont="1" applyBorder="1" applyAlignment="1">
      <alignment horizontal="center" vertical="center" wrapText="1"/>
    </xf>
    <xf numFmtId="166" fontId="23" fillId="0" borderId="22" xfId="0" applyNumberFormat="1" applyFont="1" applyBorder="1" applyAlignment="1">
      <alignment horizontal="center" vertical="center" wrapText="1"/>
    </xf>
    <xf numFmtId="166" fontId="24" fillId="0" borderId="16" xfId="0" applyNumberFormat="1" applyFont="1" applyBorder="1" applyAlignment="1">
      <alignment horizontal="center" vertical="center" wrapText="1"/>
    </xf>
    <xf numFmtId="166" fontId="24" fillId="0" borderId="9" xfId="0" applyNumberFormat="1" applyFont="1" applyBorder="1" applyAlignment="1">
      <alignment horizontal="center" vertical="center" wrapText="1"/>
    </xf>
    <xf numFmtId="170" fontId="23" fillId="0" borderId="9" xfId="0" applyNumberFormat="1" applyFont="1" applyBorder="1" applyAlignment="1">
      <alignment horizontal="center" vertical="center" wrapText="1"/>
    </xf>
    <xf numFmtId="170" fontId="23" fillId="6" borderId="9" xfId="0" applyNumberFormat="1" applyFont="1" applyFill="1" applyBorder="1" applyAlignment="1">
      <alignment horizontal="center" vertical="center" wrapText="1"/>
    </xf>
    <xf numFmtId="170" fontId="23" fillId="0" borderId="8" xfId="0" applyNumberFormat="1" applyFont="1" applyBorder="1" applyAlignment="1">
      <alignment horizontal="center" vertical="center" wrapText="1"/>
    </xf>
    <xf numFmtId="49" fontId="23" fillId="6" borderId="9" xfId="0" applyNumberFormat="1" applyFont="1" applyFill="1" applyBorder="1" applyAlignment="1">
      <alignment horizontal="center" vertical="center" wrapText="1"/>
    </xf>
    <xf numFmtId="172" fontId="23" fillId="0" borderId="8" xfId="0" applyNumberFormat="1" applyFont="1" applyBorder="1" applyAlignment="1">
      <alignment horizontal="center" vertical="center" wrapText="1"/>
    </xf>
    <xf numFmtId="166" fontId="23" fillId="0" borderId="8" xfId="0" applyNumberFormat="1" applyFont="1" applyBorder="1" applyAlignment="1">
      <alignment horizontal="center" vertical="center" wrapText="1"/>
    </xf>
    <xf numFmtId="174" fontId="23" fillId="0" borderId="9" xfId="0" applyNumberFormat="1" applyFont="1" applyBorder="1" applyAlignment="1">
      <alignment horizontal="center" vertical="center" wrapText="1"/>
    </xf>
    <xf numFmtId="171" fontId="23" fillId="6" borderId="9" xfId="0" applyNumberFormat="1" applyFont="1" applyFill="1" applyBorder="1" applyAlignment="1">
      <alignment horizontal="center" vertical="center" wrapText="1"/>
    </xf>
    <xf numFmtId="171" fontId="23" fillId="0" borderId="9" xfId="0" applyNumberFormat="1" applyFont="1" applyBorder="1" applyAlignment="1">
      <alignment horizontal="center" vertical="center" wrapText="1"/>
    </xf>
    <xf numFmtId="49" fontId="30" fillId="10" borderId="9" xfId="0" applyNumberFormat="1" applyFont="1" applyFill="1" applyBorder="1" applyAlignment="1">
      <alignment horizontal="center" vertical="center" wrapText="1"/>
    </xf>
    <xf numFmtId="166" fontId="30" fillId="8" borderId="8" xfId="0" applyNumberFormat="1" applyFont="1" applyFill="1" applyBorder="1" applyAlignment="1">
      <alignment horizontal="center" vertical="center" wrapText="1"/>
    </xf>
    <xf numFmtId="9" fontId="31" fillId="0" borderId="16" xfId="0" applyNumberFormat="1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70" fontId="24" fillId="0" borderId="10" xfId="0" applyNumberFormat="1" applyFont="1" applyBorder="1" applyAlignment="1">
      <alignment horizontal="center" vertical="center" wrapText="1"/>
    </xf>
    <xf numFmtId="49" fontId="24" fillId="0" borderId="10" xfId="0" applyNumberFormat="1" applyFont="1" applyBorder="1" applyAlignment="1">
      <alignment horizontal="center" vertical="center" wrapText="1"/>
    </xf>
    <xf numFmtId="174" fontId="22" fillId="0" borderId="10" xfId="0" applyNumberFormat="1" applyFont="1" applyBorder="1" applyAlignment="1">
      <alignment horizontal="center" vertical="center" wrapText="1"/>
    </xf>
    <xf numFmtId="172" fontId="31" fillId="0" borderId="10" xfId="0" applyNumberFormat="1" applyFont="1" applyBorder="1" applyAlignment="1">
      <alignment horizontal="center" vertical="center" wrapText="1"/>
    </xf>
    <xf numFmtId="172" fontId="31" fillId="0" borderId="16" xfId="0" applyNumberFormat="1" applyFont="1" applyBorder="1" applyAlignment="1">
      <alignment horizontal="center" vertical="center" wrapText="1"/>
    </xf>
    <xf numFmtId="166" fontId="31" fillId="6" borderId="16" xfId="0" applyNumberFormat="1" applyFont="1" applyFill="1" applyBorder="1" applyAlignment="1">
      <alignment horizontal="center" vertical="center" wrapText="1"/>
    </xf>
    <xf numFmtId="166" fontId="31" fillId="0" borderId="10" xfId="0" applyNumberFormat="1" applyFont="1" applyBorder="1" applyAlignment="1">
      <alignment horizontal="center" vertical="center" wrapText="1"/>
    </xf>
    <xf numFmtId="170" fontId="31" fillId="0" borderId="10" xfId="0" applyNumberFormat="1" applyFont="1" applyBorder="1" applyAlignment="1">
      <alignment horizontal="center" vertical="center" wrapText="1"/>
    </xf>
    <xf numFmtId="170" fontId="31" fillId="0" borderId="16" xfId="0" applyNumberFormat="1" applyFont="1" applyBorder="1" applyAlignment="1">
      <alignment horizontal="center" vertical="center" wrapText="1"/>
    </xf>
    <xf numFmtId="166" fontId="31" fillId="0" borderId="16" xfId="0" applyNumberFormat="1" applyFont="1" applyBorder="1" applyAlignment="1">
      <alignment horizontal="center" vertical="center" wrapText="1"/>
    </xf>
    <xf numFmtId="49" fontId="31" fillId="0" borderId="10" xfId="0" applyNumberFormat="1" applyFont="1" applyBorder="1" applyAlignment="1">
      <alignment horizontal="center" vertical="center" wrapText="1"/>
    </xf>
    <xf numFmtId="168" fontId="31" fillId="0" borderId="10" xfId="0" applyNumberFormat="1" applyFont="1" applyBorder="1" applyAlignment="1">
      <alignment horizontal="center" vertical="center" wrapText="1"/>
    </xf>
    <xf numFmtId="166" fontId="31" fillId="0" borderId="10" xfId="0" applyNumberFormat="1" applyFont="1" applyBorder="1" applyAlignment="1">
      <alignment horizontal="center" vertical="center"/>
    </xf>
    <xf numFmtId="166" fontId="31" fillId="0" borderId="16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170" fontId="31" fillId="0" borderId="9" xfId="0" applyNumberFormat="1" applyFont="1" applyBorder="1" applyAlignment="1">
      <alignment horizontal="center" vertical="center" wrapText="1"/>
    </xf>
    <xf numFmtId="49" fontId="31" fillId="0" borderId="9" xfId="0" applyNumberFormat="1" applyFont="1" applyBorder="1" applyAlignment="1">
      <alignment horizontal="center" vertical="center" wrapText="1"/>
    </xf>
    <xf numFmtId="168" fontId="31" fillId="0" borderId="9" xfId="0" applyNumberFormat="1" applyFont="1" applyBorder="1" applyAlignment="1">
      <alignment horizontal="center" vertical="center" wrapText="1"/>
    </xf>
    <xf numFmtId="166" fontId="31" fillId="0" borderId="9" xfId="0" applyNumberFormat="1" applyFont="1" applyBorder="1" applyAlignment="1">
      <alignment horizontal="center" vertical="center"/>
    </xf>
    <xf numFmtId="0" fontId="23" fillId="10" borderId="10" xfId="0" applyFont="1" applyFill="1" applyBorder="1" applyAlignment="1">
      <alignment horizontal="center" vertical="center" wrapText="1"/>
    </xf>
    <xf numFmtId="173" fontId="23" fillId="0" borderId="10" xfId="0" applyNumberFormat="1" applyFont="1" applyBorder="1" applyAlignment="1">
      <alignment horizontal="center" vertical="center" wrapText="1"/>
    </xf>
    <xf numFmtId="0" fontId="23" fillId="10" borderId="9" xfId="0" applyFont="1" applyFill="1" applyBorder="1" applyAlignment="1">
      <alignment horizontal="center" vertical="center" wrapText="1"/>
    </xf>
    <xf numFmtId="168" fontId="23" fillId="10" borderId="9" xfId="0" applyNumberFormat="1" applyFont="1" applyFill="1" applyBorder="1" applyAlignment="1">
      <alignment horizontal="center" vertical="center" wrapText="1"/>
    </xf>
    <xf numFmtId="166" fontId="24" fillId="8" borderId="8" xfId="0" applyNumberFormat="1" applyFont="1" applyFill="1" applyBorder="1" applyAlignment="1">
      <alignment horizontal="center" vertical="center" wrapText="1"/>
    </xf>
    <xf numFmtId="171" fontId="23" fillId="6" borderId="16" xfId="0" applyNumberFormat="1" applyFont="1" applyFill="1" applyBorder="1" applyAlignment="1">
      <alignment horizontal="center" vertical="center" wrapText="1"/>
    </xf>
    <xf numFmtId="171" fontId="23" fillId="0" borderId="16" xfId="0" applyNumberFormat="1" applyFont="1" applyBorder="1" applyAlignment="1">
      <alignment horizontal="center" vertical="center" wrapText="1"/>
    </xf>
    <xf numFmtId="166" fontId="22" fillId="8" borderId="8" xfId="0" applyNumberFormat="1" applyFont="1" applyFill="1" applyBorder="1" applyAlignment="1">
      <alignment horizontal="center" vertical="center" wrapText="1"/>
    </xf>
    <xf numFmtId="9" fontId="31" fillId="6" borderId="10" xfId="0" applyNumberFormat="1" applyFont="1" applyFill="1" applyBorder="1" applyAlignment="1">
      <alignment horizontal="center" vertical="center" wrapText="1"/>
    </xf>
    <xf numFmtId="49" fontId="23" fillId="10" borderId="10" xfId="0" applyNumberFormat="1" applyFont="1" applyFill="1" applyBorder="1" applyAlignment="1">
      <alignment horizontal="center" vertical="center" wrapText="1"/>
    </xf>
    <xf numFmtId="168" fontId="23" fillId="10" borderId="10" xfId="0" applyNumberFormat="1" applyFont="1" applyFill="1" applyBorder="1" applyAlignment="1">
      <alignment horizontal="center" vertical="center" wrapText="1"/>
    </xf>
    <xf numFmtId="166" fontId="24" fillId="8" borderId="10" xfId="0" applyNumberFormat="1" applyFont="1" applyFill="1" applyBorder="1" applyAlignment="1">
      <alignment horizontal="center" vertical="center" wrapText="1"/>
    </xf>
    <xf numFmtId="9" fontId="31" fillId="0" borderId="16" xfId="0" applyNumberFormat="1" applyFont="1" applyBorder="1" applyAlignment="1">
      <alignment horizontal="center" vertical="center"/>
    </xf>
    <xf numFmtId="49" fontId="23" fillId="10" borderId="9" xfId="0" applyNumberFormat="1" applyFont="1" applyFill="1" applyBorder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168" fontId="23" fillId="0" borderId="10" xfId="0" applyNumberFormat="1" applyFont="1" applyBorder="1" applyAlignment="1">
      <alignment horizontal="center" vertical="center"/>
    </xf>
    <xf numFmtId="172" fontId="23" fillId="0" borderId="10" xfId="0" applyNumberFormat="1" applyFont="1" applyBorder="1" applyAlignment="1">
      <alignment horizontal="center" vertical="center"/>
    </xf>
    <xf numFmtId="170" fontId="23" fillId="0" borderId="10" xfId="0" applyNumberFormat="1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166" fontId="23" fillId="6" borderId="10" xfId="0" applyNumberFormat="1" applyFont="1" applyFill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73" fontId="23" fillId="0" borderId="10" xfId="0" applyNumberFormat="1" applyFont="1" applyBorder="1" applyAlignment="1">
      <alignment horizontal="center" vertical="center"/>
    </xf>
    <xf numFmtId="0" fontId="23" fillId="10" borderId="10" xfId="0" applyFont="1" applyFill="1" applyBorder="1" applyAlignment="1">
      <alignment horizontal="center" vertical="center"/>
    </xf>
    <xf numFmtId="0" fontId="30" fillId="10" borderId="9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168" fontId="23" fillId="10" borderId="9" xfId="0" applyNumberFormat="1" applyFont="1" applyFill="1" applyBorder="1" applyAlignment="1">
      <alignment horizontal="center" vertical="center"/>
    </xf>
    <xf numFmtId="166" fontId="24" fillId="8" borderId="8" xfId="0" applyNumberFormat="1" applyFont="1" applyFill="1" applyBorder="1" applyAlignment="1">
      <alignment horizontal="center" vertical="center"/>
    </xf>
    <xf numFmtId="166" fontId="23" fillId="0" borderId="10" xfId="0" applyNumberFormat="1" applyFont="1" applyBorder="1" applyAlignment="1">
      <alignment horizontal="center" vertical="center"/>
    </xf>
    <xf numFmtId="9" fontId="23" fillId="6" borderId="9" xfId="0" applyNumberFormat="1" applyFont="1" applyFill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center" vertical="center"/>
    </xf>
    <xf numFmtId="170" fontId="23" fillId="0" borderId="9" xfId="0" applyNumberFormat="1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168" fontId="23" fillId="0" borderId="9" xfId="0" applyNumberFormat="1" applyFont="1" applyBorder="1" applyAlignment="1">
      <alignment horizontal="center" vertical="center"/>
    </xf>
    <xf numFmtId="174" fontId="23" fillId="0" borderId="9" xfId="0" applyNumberFormat="1" applyFont="1" applyBorder="1" applyAlignment="1">
      <alignment horizontal="center" vertical="center"/>
    </xf>
    <xf numFmtId="166" fontId="23" fillId="6" borderId="9" xfId="0" applyNumberFormat="1" applyFont="1" applyFill="1" applyBorder="1" applyAlignment="1">
      <alignment horizontal="center" vertical="center"/>
    </xf>
    <xf numFmtId="172" fontId="23" fillId="0" borderId="8" xfId="0" applyNumberFormat="1" applyFont="1" applyBorder="1" applyAlignment="1">
      <alignment horizontal="center" vertical="center"/>
    </xf>
    <xf numFmtId="166" fontId="23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72" fontId="23" fillId="0" borderId="9" xfId="0" applyNumberFormat="1" applyFont="1" applyBorder="1" applyAlignment="1">
      <alignment horizontal="center" vertical="center"/>
    </xf>
    <xf numFmtId="166" fontId="23" fillId="0" borderId="8" xfId="0" applyNumberFormat="1" applyFont="1" applyBorder="1" applyAlignment="1">
      <alignment horizontal="center" vertical="center"/>
    </xf>
    <xf numFmtId="174" fontId="23" fillId="0" borderId="16" xfId="0" applyNumberFormat="1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49" fontId="32" fillId="0" borderId="16" xfId="0" applyNumberFormat="1" applyFont="1" applyBorder="1" applyAlignment="1">
      <alignment horizontal="center" vertical="center"/>
    </xf>
    <xf numFmtId="49" fontId="28" fillId="0" borderId="16" xfId="0" applyNumberFormat="1" applyFont="1" applyBorder="1" applyAlignment="1">
      <alignment horizontal="center" vertical="center"/>
    </xf>
    <xf numFmtId="168" fontId="28" fillId="0" borderId="16" xfId="0" applyNumberFormat="1" applyFont="1" applyBorder="1" applyAlignment="1">
      <alignment horizontal="center" vertical="center"/>
    </xf>
    <xf numFmtId="174" fontId="28" fillId="0" borderId="16" xfId="0" applyNumberFormat="1" applyFont="1" applyBorder="1" applyAlignment="1">
      <alignment horizontal="center" vertical="center"/>
    </xf>
    <xf numFmtId="172" fontId="28" fillId="0" borderId="16" xfId="0" applyNumberFormat="1" applyFont="1" applyBorder="1" applyAlignment="1">
      <alignment horizontal="center" vertical="center"/>
    </xf>
    <xf numFmtId="9" fontId="28" fillId="0" borderId="16" xfId="0" applyNumberFormat="1" applyFont="1" applyBorder="1" applyAlignment="1">
      <alignment horizontal="center" vertical="center"/>
    </xf>
    <xf numFmtId="166" fontId="32" fillId="0" borderId="16" xfId="0" applyNumberFormat="1" applyFont="1" applyBorder="1" applyAlignment="1">
      <alignment horizontal="center" vertical="center"/>
    </xf>
    <xf numFmtId="172" fontId="32" fillId="0" borderId="16" xfId="0" applyNumberFormat="1" applyFont="1" applyBorder="1" applyAlignment="1">
      <alignment horizontal="center" vertical="center"/>
    </xf>
    <xf numFmtId="166" fontId="30" fillId="0" borderId="16" xfId="0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10" borderId="10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168" fontId="28" fillId="10" borderId="9" xfId="0" applyNumberFormat="1" applyFont="1" applyFill="1" applyBorder="1" applyAlignment="1">
      <alignment horizontal="center" vertical="center"/>
    </xf>
    <xf numFmtId="166" fontId="30" fillId="8" borderId="8" xfId="0" applyNumberFormat="1" applyFont="1" applyFill="1" applyBorder="1" applyAlignment="1">
      <alignment horizontal="center" vertical="center"/>
    </xf>
    <xf numFmtId="9" fontId="23" fillId="0" borderId="9" xfId="0" applyNumberFormat="1" applyFont="1" applyBorder="1" applyAlignment="1">
      <alignment horizontal="center" vertical="center"/>
    </xf>
    <xf numFmtId="172" fontId="31" fillId="0" borderId="9" xfId="0" applyNumberFormat="1" applyFont="1" applyBorder="1" applyAlignment="1">
      <alignment horizontal="center" vertical="center" wrapText="1"/>
    </xf>
    <xf numFmtId="166" fontId="24" fillId="0" borderId="10" xfId="0" applyNumberFormat="1" applyFont="1" applyBorder="1" applyAlignment="1">
      <alignment horizontal="center" vertical="center"/>
    </xf>
    <xf numFmtId="171" fontId="23" fillId="0" borderId="9" xfId="0" applyNumberFormat="1" applyFont="1" applyBorder="1" applyAlignment="1">
      <alignment horizontal="center" vertical="center"/>
    </xf>
    <xf numFmtId="170" fontId="23" fillId="0" borderId="8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68" fontId="33" fillId="15" borderId="10" xfId="0" applyNumberFormat="1" applyFont="1" applyFill="1" applyBorder="1" applyAlignment="1">
      <alignment horizontal="center" vertical="center" wrapText="1"/>
    </xf>
    <xf numFmtId="0" fontId="33" fillId="15" borderId="10" xfId="0" applyFont="1" applyFill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169" fontId="36" fillId="0" borderId="10" xfId="0" applyNumberFormat="1" applyFont="1" applyBorder="1" applyAlignment="1">
      <alignment horizontal="center" vertical="center" wrapText="1"/>
    </xf>
    <xf numFmtId="168" fontId="36" fillId="0" borderId="0" xfId="0" applyNumberFormat="1" applyFont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/>
    </xf>
    <xf numFmtId="168" fontId="3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9" fontId="33" fillId="0" borderId="0" xfId="0" applyNumberFormat="1" applyFont="1" applyAlignment="1">
      <alignment horizontal="center" vertical="center" wrapText="1"/>
    </xf>
    <xf numFmtId="170" fontId="33" fillId="0" borderId="0" xfId="0" applyNumberFormat="1" applyFont="1" applyAlignment="1">
      <alignment horizontal="center" vertical="center" wrapText="1"/>
    </xf>
    <xf numFmtId="166" fontId="33" fillId="0" borderId="0" xfId="0" applyNumberFormat="1" applyFont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68" fontId="34" fillId="0" borderId="0" xfId="0" applyNumberFormat="1" applyFont="1" applyAlignment="1">
      <alignment horizontal="center" vertical="center" wrapText="1"/>
    </xf>
    <xf numFmtId="0" fontId="34" fillId="8" borderId="9" xfId="0" applyFont="1" applyFill="1" applyBorder="1" applyAlignment="1">
      <alignment horizontal="center" vertical="center" wrapText="1"/>
    </xf>
    <xf numFmtId="166" fontId="34" fillId="12" borderId="9" xfId="0" applyNumberFormat="1" applyFont="1" applyFill="1" applyBorder="1" applyAlignment="1">
      <alignment horizontal="center" vertical="center" wrapText="1"/>
    </xf>
    <xf numFmtId="170" fontId="34" fillId="0" borderId="9" xfId="0" applyNumberFormat="1" applyFont="1" applyBorder="1" applyAlignment="1">
      <alignment horizontal="center" vertical="center" wrapText="1"/>
    </xf>
    <xf numFmtId="0" fontId="34" fillId="13" borderId="9" xfId="0" applyFont="1" applyFill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168" fontId="37" fillId="0" borderId="10" xfId="0" applyNumberFormat="1" applyFont="1" applyBorder="1" applyAlignment="1">
      <alignment horizontal="center" vertical="center" wrapText="1"/>
    </xf>
    <xf numFmtId="169" fontId="37" fillId="0" borderId="10" xfId="0" applyNumberFormat="1" applyFont="1" applyBorder="1" applyAlignment="1">
      <alignment horizontal="center" vertical="center" wrapText="1"/>
    </xf>
    <xf numFmtId="170" fontId="37" fillId="0" borderId="10" xfId="0" applyNumberFormat="1" applyFont="1" applyBorder="1" applyAlignment="1">
      <alignment horizontal="center" vertical="center" wrapText="1"/>
    </xf>
    <xf numFmtId="0" fontId="34" fillId="8" borderId="10" xfId="0" applyFont="1" applyFill="1" applyBorder="1" applyAlignment="1">
      <alignment horizontal="center" vertical="center" wrapText="1"/>
    </xf>
    <xf numFmtId="168" fontId="34" fillId="8" borderId="10" xfId="0" applyNumberFormat="1" applyFont="1" applyFill="1" applyBorder="1" applyAlignment="1">
      <alignment horizontal="center" vertical="center" wrapText="1"/>
    </xf>
    <xf numFmtId="0" fontId="33" fillId="8" borderId="10" xfId="0" applyFont="1" applyFill="1" applyBorder="1" applyAlignment="1">
      <alignment horizontal="center" vertical="center" wrapText="1"/>
    </xf>
    <xf numFmtId="170" fontId="34" fillId="8" borderId="10" xfId="0" applyNumberFormat="1" applyFont="1" applyFill="1" applyBorder="1" applyAlignment="1">
      <alignment horizontal="center" vertical="center" wrapText="1"/>
    </xf>
    <xf numFmtId="0" fontId="37" fillId="16" borderId="10" xfId="0" applyFont="1" applyFill="1" applyBorder="1" applyAlignment="1">
      <alignment horizontal="center" vertical="center" wrapText="1"/>
    </xf>
    <xf numFmtId="0" fontId="37" fillId="6" borderId="10" xfId="0" applyFont="1" applyFill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168" fontId="38" fillId="0" borderId="10" xfId="0" applyNumberFormat="1" applyFont="1" applyBorder="1" applyAlignment="1">
      <alignment horizontal="center" vertical="center" wrapText="1"/>
    </xf>
    <xf numFmtId="49" fontId="38" fillId="0" borderId="10" xfId="0" applyNumberFormat="1" applyFont="1" applyBorder="1" applyAlignment="1">
      <alignment horizontal="center" vertical="center" wrapText="1"/>
    </xf>
    <xf numFmtId="0" fontId="38" fillId="16" borderId="10" xfId="0" applyFont="1" applyFill="1" applyBorder="1" applyAlignment="1">
      <alignment horizontal="center" vertical="center" wrapText="1"/>
    </xf>
    <xf numFmtId="169" fontId="38" fillId="0" borderId="10" xfId="0" applyNumberFormat="1" applyFont="1" applyBorder="1" applyAlignment="1">
      <alignment horizontal="center" vertical="center" wrapText="1"/>
    </xf>
    <xf numFmtId="170" fontId="38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8" fillId="6" borderId="10" xfId="0" applyFont="1" applyFill="1" applyBorder="1" applyAlignment="1">
      <alignment horizontal="center" vertical="center" wrapText="1"/>
    </xf>
    <xf numFmtId="49" fontId="37" fillId="0" borderId="10" xfId="0" applyNumberFormat="1" applyFont="1" applyBorder="1" applyAlignment="1">
      <alignment horizontal="center" vertical="center" wrapText="1"/>
    </xf>
    <xf numFmtId="1" fontId="37" fillId="0" borderId="10" xfId="0" applyNumberFormat="1" applyFont="1" applyBorder="1" applyAlignment="1">
      <alignment horizontal="center" vertical="center" wrapText="1"/>
    </xf>
    <xf numFmtId="166" fontId="37" fillId="0" borderId="10" xfId="0" applyNumberFormat="1" applyFont="1" applyBorder="1" applyAlignment="1">
      <alignment horizontal="center" vertical="center" wrapText="1"/>
    </xf>
    <xf numFmtId="166" fontId="37" fillId="6" borderId="10" xfId="0" applyNumberFormat="1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168" fontId="37" fillId="0" borderId="9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 wrapText="1"/>
    </xf>
    <xf numFmtId="168" fontId="35" fillId="0" borderId="9" xfId="0" applyNumberFormat="1" applyFont="1" applyBorder="1" applyAlignment="1">
      <alignment horizontal="center" vertical="center" wrapText="1"/>
    </xf>
    <xf numFmtId="0" fontId="34" fillId="12" borderId="9" xfId="0" applyFont="1" applyFill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168" fontId="38" fillId="0" borderId="10" xfId="0" applyNumberFormat="1" applyFont="1" applyBorder="1" applyAlignment="1">
      <alignment horizontal="center" vertical="center"/>
    </xf>
    <xf numFmtId="169" fontId="38" fillId="0" borderId="10" xfId="0" applyNumberFormat="1" applyFont="1" applyBorder="1" applyAlignment="1">
      <alignment horizontal="center" vertical="center"/>
    </xf>
    <xf numFmtId="170" fontId="37" fillId="0" borderId="10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170" fontId="38" fillId="0" borderId="10" xfId="0" applyNumberFormat="1" applyFont="1" applyBorder="1" applyAlignment="1">
      <alignment horizontal="center" vertical="center"/>
    </xf>
    <xf numFmtId="170" fontId="38" fillId="0" borderId="22" xfId="0" applyNumberFormat="1" applyFont="1" applyBorder="1" applyAlignment="1">
      <alignment horizontal="center" vertical="center"/>
    </xf>
    <xf numFmtId="170" fontId="38" fillId="0" borderId="16" xfId="0" applyNumberFormat="1" applyFont="1" applyBorder="1" applyAlignment="1">
      <alignment horizontal="center" vertical="center"/>
    </xf>
    <xf numFmtId="168" fontId="9" fillId="8" borderId="10" xfId="0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170" fontId="14" fillId="8" borderId="10" xfId="0" applyNumberFormat="1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49" fontId="37" fillId="0" borderId="10" xfId="0" applyNumberFormat="1" applyFont="1" applyBorder="1" applyAlignment="1">
      <alignment horizontal="center" vertical="center"/>
    </xf>
    <xf numFmtId="168" fontId="37" fillId="0" borderId="10" xfId="0" applyNumberFormat="1" applyFont="1" applyBorder="1" applyAlignment="1">
      <alignment horizontal="center" vertical="center"/>
    </xf>
    <xf numFmtId="169" fontId="37" fillId="0" borderId="10" xfId="0" applyNumberFormat="1" applyFont="1" applyBorder="1" applyAlignment="1">
      <alignment horizontal="center" vertical="center"/>
    </xf>
    <xf numFmtId="166" fontId="37" fillId="0" borderId="10" xfId="0" applyNumberFormat="1" applyFont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168" fontId="34" fillId="8" borderId="10" xfId="0" applyNumberFormat="1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168" fontId="38" fillId="0" borderId="9" xfId="0" applyNumberFormat="1" applyFont="1" applyBorder="1" applyAlignment="1">
      <alignment horizontal="center" vertical="center"/>
    </xf>
    <xf numFmtId="169" fontId="38" fillId="0" borderId="9" xfId="0" applyNumberFormat="1" applyFont="1" applyBorder="1" applyAlignment="1">
      <alignment horizontal="center" vertical="center"/>
    </xf>
    <xf numFmtId="166" fontId="38" fillId="0" borderId="10" xfId="0" applyNumberFormat="1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49" fontId="38" fillId="0" borderId="10" xfId="0" applyNumberFormat="1" applyFont="1" applyBorder="1" applyAlignment="1">
      <alignment horizontal="center" vertical="center"/>
    </xf>
    <xf numFmtId="170" fontId="34" fillId="8" borderId="10" xfId="0" applyNumberFormat="1" applyFont="1" applyFill="1" applyBorder="1" applyAlignment="1">
      <alignment horizontal="center" vertical="center"/>
    </xf>
    <xf numFmtId="170" fontId="38" fillId="6" borderId="10" xfId="0" applyNumberFormat="1" applyFont="1" applyFill="1" applyBorder="1" applyAlignment="1">
      <alignment horizontal="center" vertical="center"/>
    </xf>
    <xf numFmtId="49" fontId="36" fillId="0" borderId="1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34" fillId="0" borderId="10" xfId="0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2" fontId="14" fillId="0" borderId="17" xfId="0" applyNumberFormat="1" applyFont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2" fontId="14" fillId="8" borderId="10" xfId="0" applyNumberFormat="1" applyFont="1" applyFill="1" applyBorder="1" applyAlignment="1">
      <alignment horizontal="center" vertical="center" wrapText="1"/>
    </xf>
    <xf numFmtId="49" fontId="16" fillId="8" borderId="10" xfId="0" applyNumberFormat="1" applyFont="1" applyFill="1" applyBorder="1" applyAlignment="1">
      <alignment horizontal="center" vertical="center" wrapText="1"/>
    </xf>
    <xf numFmtId="49" fontId="14" fillId="8" borderId="0" xfId="0" applyNumberFormat="1" applyFont="1" applyFill="1" applyAlignment="1">
      <alignment horizontal="center" vertical="center" wrapText="1"/>
    </xf>
    <xf numFmtId="2" fontId="14" fillId="8" borderId="28" xfId="0" applyNumberFormat="1" applyFont="1" applyFill="1" applyBorder="1" applyAlignment="1">
      <alignment horizontal="center" vertical="center" wrapText="1"/>
    </xf>
    <xf numFmtId="49" fontId="14" fillId="8" borderId="28" xfId="0" applyNumberFormat="1" applyFont="1" applyFill="1" applyBorder="1" applyAlignment="1">
      <alignment horizontal="center" vertical="center" wrapText="1"/>
    </xf>
    <xf numFmtId="170" fontId="14" fillId="8" borderId="28" xfId="0" applyNumberFormat="1" applyFont="1" applyFill="1" applyBorder="1" applyAlignment="1">
      <alignment horizontal="center" vertical="center" wrapText="1"/>
    </xf>
    <xf numFmtId="49" fontId="16" fillId="8" borderId="28" xfId="0" applyNumberFormat="1" applyFont="1" applyFill="1" applyBorder="1" applyAlignment="1">
      <alignment horizontal="center" vertical="center" wrapText="1"/>
    </xf>
    <xf numFmtId="49" fontId="16" fillId="0" borderId="9" xfId="0" applyNumberFormat="1" applyFont="1" applyBorder="1" applyAlignment="1">
      <alignment horizontal="center" vertical="center" wrapText="1"/>
    </xf>
    <xf numFmtId="49" fontId="14" fillId="8" borderId="10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169" fontId="14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170" fontId="14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49" fontId="16" fillId="8" borderId="0" xfId="0" applyNumberFormat="1" applyFont="1" applyFill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30" fillId="12" borderId="10" xfId="0" applyFont="1" applyFill="1" applyBorder="1" applyAlignment="1">
      <alignment horizontal="center" vertical="center" wrapText="1"/>
    </xf>
    <xf numFmtId="0" fontId="30" fillId="8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2" fontId="46" fillId="0" borderId="10" xfId="0" applyNumberFormat="1" applyFont="1" applyBorder="1" applyAlignment="1">
      <alignment horizontal="center" vertical="center" wrapText="1"/>
    </xf>
    <xf numFmtId="1" fontId="46" fillId="0" borderId="10" xfId="0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1" fontId="47" fillId="0" borderId="10" xfId="0" applyNumberFormat="1" applyFont="1" applyBorder="1" applyAlignment="1">
      <alignment horizontal="center" vertical="center" wrapText="1"/>
    </xf>
    <xf numFmtId="166" fontId="46" fillId="0" borderId="10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horizontal="right" vertical="center" wrapText="1"/>
    </xf>
    <xf numFmtId="49" fontId="46" fillId="0" borderId="10" xfId="0" applyNumberFormat="1" applyFont="1" applyBorder="1" applyAlignment="1">
      <alignment horizontal="center" vertical="center" wrapText="1"/>
    </xf>
    <xf numFmtId="0" fontId="46" fillId="8" borderId="10" xfId="0" applyFont="1" applyFill="1" applyBorder="1" applyAlignment="1">
      <alignment horizontal="center" vertical="center" wrapText="1"/>
    </xf>
    <xf numFmtId="0" fontId="47" fillId="8" borderId="10" xfId="0" applyFont="1" applyFill="1" applyBorder="1" applyAlignment="1">
      <alignment horizontal="center" vertical="center" wrapText="1"/>
    </xf>
    <xf numFmtId="1" fontId="47" fillId="8" borderId="10" xfId="0" applyNumberFormat="1" applyFont="1" applyFill="1" applyBorder="1" applyAlignment="1">
      <alignment horizontal="center" vertical="center" wrapText="1"/>
    </xf>
    <xf numFmtId="166" fontId="46" fillId="8" borderId="10" xfId="0" applyNumberFormat="1" applyFont="1" applyFill="1" applyBorder="1" applyAlignment="1">
      <alignment horizontal="center" vertical="center"/>
    </xf>
    <xf numFmtId="0" fontId="33" fillId="15" borderId="0" xfId="0" applyFont="1" applyFill="1" applyAlignment="1">
      <alignment horizontal="center" vertical="center" wrapText="1"/>
    </xf>
    <xf numFmtId="1" fontId="33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 wrapText="1"/>
    </xf>
    <xf numFmtId="2" fontId="16" fillId="8" borderId="10" xfId="0" applyNumberFormat="1" applyFont="1" applyFill="1" applyBorder="1" applyAlignment="1">
      <alignment horizontal="center" vertical="center" wrapText="1"/>
    </xf>
    <xf numFmtId="170" fontId="16" fillId="8" borderId="10" xfId="0" applyNumberFormat="1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169" fontId="16" fillId="0" borderId="10" xfId="0" applyNumberFormat="1" applyFont="1" applyBorder="1" applyAlignment="1">
      <alignment horizontal="center" vertical="center"/>
    </xf>
    <xf numFmtId="170" fontId="16" fillId="0" borderId="10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0" fontId="16" fillId="6" borderId="29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2" fontId="14" fillId="8" borderId="10" xfId="0" applyNumberFormat="1" applyFont="1" applyFill="1" applyBorder="1" applyAlignment="1">
      <alignment horizontal="center" vertical="center"/>
    </xf>
    <xf numFmtId="170" fontId="16" fillId="8" borderId="10" xfId="0" applyNumberFormat="1" applyFont="1" applyFill="1" applyBorder="1" applyAlignment="1">
      <alignment horizontal="center" vertical="center"/>
    </xf>
    <xf numFmtId="169" fontId="34" fillId="0" borderId="0" xfId="0" applyNumberFormat="1" applyFont="1" applyAlignment="1">
      <alignment horizontal="center" vertical="center" wrapText="1"/>
    </xf>
    <xf numFmtId="0" fontId="48" fillId="0" borderId="9" xfId="0" applyFont="1" applyBorder="1" applyAlignment="1">
      <alignment vertical="center"/>
    </xf>
    <xf numFmtId="0" fontId="48" fillId="6" borderId="10" xfId="0" applyFont="1" applyFill="1" applyBorder="1" applyAlignment="1">
      <alignment vertical="center"/>
    </xf>
    <xf numFmtId="0" fontId="48" fillId="0" borderId="10" xfId="0" applyFont="1" applyBorder="1" applyAlignment="1">
      <alignment vertical="center"/>
    </xf>
    <xf numFmtId="49" fontId="48" fillId="6" borderId="10" xfId="0" applyNumberFormat="1" applyFont="1" applyFill="1" applyBorder="1" applyAlignment="1">
      <alignment vertical="center"/>
    </xf>
    <xf numFmtId="169" fontId="48" fillId="0" borderId="10" xfId="0" applyNumberFormat="1" applyFont="1" applyBorder="1" applyAlignment="1">
      <alignment vertical="center"/>
    </xf>
    <xf numFmtId="0" fontId="48" fillId="16" borderId="10" xfId="0" applyFont="1" applyFill="1" applyBorder="1" applyAlignment="1">
      <alignment vertical="center"/>
    </xf>
    <xf numFmtId="49" fontId="48" fillId="16" borderId="10" xfId="0" applyNumberFormat="1" applyFont="1" applyFill="1" applyBorder="1" applyAlignment="1">
      <alignment vertical="center"/>
    </xf>
    <xf numFmtId="0" fontId="48" fillId="6" borderId="29" xfId="0" applyFont="1" applyFill="1" applyBorder="1" applyAlignment="1">
      <alignment vertical="center"/>
    </xf>
    <xf numFmtId="0" fontId="49" fillId="8" borderId="3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vertical="center"/>
    </xf>
    <xf numFmtId="0" fontId="49" fillId="8" borderId="10" xfId="0" applyFont="1" applyFill="1" applyBorder="1" applyAlignment="1">
      <alignment horizontal="center" vertical="center"/>
    </xf>
    <xf numFmtId="170" fontId="48" fillId="8" borderId="10" xfId="0" applyNumberFormat="1" applyFont="1" applyFill="1" applyBorder="1" applyAlignment="1">
      <alignment vertical="center"/>
    </xf>
    <xf numFmtId="0" fontId="50" fillId="8" borderId="10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166" fontId="16" fillId="0" borderId="10" xfId="0" applyNumberFormat="1" applyFont="1" applyBorder="1" applyAlignment="1">
      <alignment horizontal="center" vertical="center"/>
    </xf>
    <xf numFmtId="9" fontId="16" fillId="0" borderId="10" xfId="0" applyNumberFormat="1" applyFont="1" applyBorder="1" applyAlignment="1">
      <alignment horizontal="center" vertical="center"/>
    </xf>
    <xf numFmtId="166" fontId="14" fillId="0" borderId="10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9" xfId="0" applyNumberFormat="1" applyFont="1" applyBorder="1" applyAlignment="1">
      <alignment horizontal="center" vertical="center"/>
    </xf>
    <xf numFmtId="49" fontId="16" fillId="6" borderId="9" xfId="0" applyNumberFormat="1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2" fontId="16" fillId="6" borderId="9" xfId="0" applyNumberFormat="1" applyFont="1" applyFill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 wrapText="1"/>
    </xf>
    <xf numFmtId="172" fontId="16" fillId="0" borderId="10" xfId="0" applyNumberFormat="1" applyFont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2" fontId="14" fillId="10" borderId="10" xfId="0" applyNumberFormat="1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166" fontId="33" fillId="0" borderId="9" xfId="0" applyNumberFormat="1" applyFont="1" applyBorder="1" applyAlignment="1">
      <alignment horizontal="center" vertical="center"/>
    </xf>
    <xf numFmtId="9" fontId="16" fillId="0" borderId="9" xfId="0" applyNumberFormat="1" applyFont="1" applyBorder="1" applyAlignment="1">
      <alignment horizontal="center" vertical="center"/>
    </xf>
    <xf numFmtId="166" fontId="16" fillId="6" borderId="9" xfId="0" applyNumberFormat="1" applyFont="1" applyFill="1" applyBorder="1" applyAlignment="1">
      <alignment horizontal="center" vertical="center"/>
    </xf>
    <xf numFmtId="171" fontId="14" fillId="0" borderId="9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166" fontId="33" fillId="0" borderId="16" xfId="0" applyNumberFormat="1" applyFont="1" applyBorder="1" applyAlignment="1">
      <alignment horizontal="center" vertical="center"/>
    </xf>
    <xf numFmtId="166" fontId="16" fillId="6" borderId="16" xfId="0" applyNumberFormat="1" applyFont="1" applyFill="1" applyBorder="1" applyAlignment="1">
      <alignment horizontal="center" vertical="center"/>
    </xf>
    <xf numFmtId="166" fontId="16" fillId="0" borderId="16" xfId="0" applyNumberFormat="1" applyFont="1" applyBorder="1" applyAlignment="1">
      <alignment horizontal="center" vertical="center"/>
    </xf>
    <xf numFmtId="171" fontId="14" fillId="0" borderId="16" xfId="0" applyNumberFormat="1" applyFont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2" fontId="33" fillId="0" borderId="9" xfId="0" applyNumberFormat="1" applyFont="1" applyBorder="1" applyAlignment="1">
      <alignment horizontal="center" vertical="center"/>
    </xf>
    <xf numFmtId="172" fontId="33" fillId="0" borderId="9" xfId="0" applyNumberFormat="1" applyFont="1" applyBorder="1" applyAlignment="1">
      <alignment horizontal="center" vertical="center"/>
    </xf>
    <xf numFmtId="2" fontId="33" fillId="0" borderId="16" xfId="0" applyNumberFormat="1" applyFont="1" applyBorder="1" applyAlignment="1">
      <alignment horizontal="center" vertical="center"/>
    </xf>
    <xf numFmtId="172" fontId="33" fillId="0" borderId="16" xfId="0" applyNumberFormat="1" applyFont="1" applyBorder="1" applyAlignment="1">
      <alignment horizontal="center" vertical="center"/>
    </xf>
    <xf numFmtId="9" fontId="16" fillId="0" borderId="16" xfId="0" applyNumberFormat="1" applyFont="1" applyBorder="1" applyAlignment="1">
      <alignment horizontal="center" vertical="center"/>
    </xf>
    <xf numFmtId="172" fontId="16" fillId="0" borderId="9" xfId="0" applyNumberFormat="1" applyFont="1" applyBorder="1" applyAlignment="1">
      <alignment horizontal="center" vertical="center" wrapText="1"/>
    </xf>
    <xf numFmtId="172" fontId="16" fillId="6" borderId="9" xfId="0" applyNumberFormat="1" applyFont="1" applyFill="1" applyBorder="1" applyAlignment="1">
      <alignment horizontal="center" vertical="center" wrapText="1"/>
    </xf>
    <xf numFmtId="173" fontId="16" fillId="0" borderId="9" xfId="0" applyNumberFormat="1" applyFont="1" applyBorder="1" applyAlignment="1">
      <alignment horizontal="center" vertical="center" wrapText="1"/>
    </xf>
    <xf numFmtId="49" fontId="16" fillId="6" borderId="16" xfId="0" applyNumberFormat="1" applyFont="1" applyFill="1" applyBorder="1" applyAlignment="1">
      <alignment horizontal="center" vertical="center" wrapText="1"/>
    </xf>
    <xf numFmtId="2" fontId="16" fillId="6" borderId="16" xfId="0" applyNumberFormat="1" applyFont="1" applyFill="1" applyBorder="1" applyAlignment="1">
      <alignment horizontal="center" vertical="center" wrapText="1"/>
    </xf>
    <xf numFmtId="173" fontId="16" fillId="0" borderId="16" xfId="0" applyNumberFormat="1" applyFont="1" applyBorder="1" applyAlignment="1">
      <alignment horizontal="center" vertical="center" wrapText="1"/>
    </xf>
    <xf numFmtId="172" fontId="16" fillId="0" borderId="16" xfId="0" applyNumberFormat="1" applyFont="1" applyBorder="1" applyAlignment="1">
      <alignment horizontal="center" vertical="center" wrapText="1"/>
    </xf>
    <xf numFmtId="173" fontId="16" fillId="0" borderId="10" xfId="0" applyNumberFormat="1" applyFont="1" applyBorder="1" applyAlignment="1">
      <alignment horizontal="center" vertical="center"/>
    </xf>
    <xf numFmtId="168" fontId="16" fillId="0" borderId="10" xfId="0" applyNumberFormat="1" applyFont="1" applyBorder="1" applyAlignment="1">
      <alignment horizontal="center" vertical="center"/>
    </xf>
    <xf numFmtId="174" fontId="1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168" fontId="8" fillId="0" borderId="10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168" fontId="9" fillId="2" borderId="2" xfId="0" applyNumberFormat="1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3" fontId="8" fillId="18" borderId="0" xfId="0" applyNumberFormat="1" applyFont="1" applyFill="1" applyAlignment="1">
      <alignment horizontal="center"/>
    </xf>
    <xf numFmtId="168" fontId="8" fillId="18" borderId="0" xfId="0" applyNumberFormat="1" applyFont="1" applyFill="1" applyAlignment="1">
      <alignment horizontal="center"/>
    </xf>
    <xf numFmtId="165" fontId="8" fillId="18" borderId="0" xfId="0" applyNumberFormat="1" applyFont="1" applyFill="1" applyAlignment="1">
      <alignment horizontal="center"/>
    </xf>
    <xf numFmtId="165" fontId="8" fillId="18" borderId="12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 vertical="center"/>
    </xf>
    <xf numFmtId="3" fontId="8" fillId="4" borderId="0" xfId="0" applyNumberFormat="1" applyFont="1" applyFill="1" applyAlignment="1">
      <alignment horizontal="center"/>
    </xf>
    <xf numFmtId="3" fontId="8" fillId="4" borderId="0" xfId="0" applyNumberFormat="1" applyFont="1" applyFill="1" applyAlignment="1">
      <alignment horizontal="center" wrapText="1"/>
    </xf>
    <xf numFmtId="168" fontId="8" fillId="4" borderId="0" xfId="0" applyNumberFormat="1" applyFont="1" applyFill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5" fontId="8" fillId="4" borderId="12" xfId="0" applyNumberFormat="1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 vertical="center"/>
    </xf>
    <xf numFmtId="165" fontId="8" fillId="6" borderId="0" xfId="0" applyNumberFormat="1" applyFont="1" applyFill="1" applyAlignment="1">
      <alignment horizontal="center" wrapText="1"/>
    </xf>
    <xf numFmtId="165" fontId="8" fillId="6" borderId="12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165" fontId="9" fillId="7" borderId="12" xfId="0" applyNumberFormat="1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8" borderId="9" xfId="0" applyFont="1" applyFill="1" applyBorder="1" applyAlignment="1">
      <alignment horizontal="center" vertical="center" wrapText="1"/>
    </xf>
    <xf numFmtId="0" fontId="23" fillId="8" borderId="10" xfId="0" applyFont="1" applyFill="1" applyBorder="1" applyAlignment="1">
      <alignment horizontal="center" vertical="center" wrapText="1"/>
    </xf>
    <xf numFmtId="0" fontId="24" fillId="12" borderId="9" xfId="0" applyFont="1" applyFill="1" applyBorder="1" applyAlignment="1">
      <alignment horizontal="center" vertical="center" wrapText="1"/>
    </xf>
    <xf numFmtId="170" fontId="24" fillId="0" borderId="9" xfId="0" applyNumberFormat="1" applyFont="1" applyBorder="1" applyAlignment="1">
      <alignment horizontal="center" vertical="center" wrapText="1"/>
    </xf>
    <xf numFmtId="168" fontId="23" fillId="6" borderId="10" xfId="0" applyNumberFormat="1" applyFont="1" applyFill="1" applyBorder="1" applyAlignment="1">
      <alignment horizontal="center" vertical="center"/>
    </xf>
    <xf numFmtId="169" fontId="23" fillId="0" borderId="10" xfId="0" applyNumberFormat="1" applyFont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170" fontId="23" fillId="6" borderId="10" xfId="0" applyNumberFormat="1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169" fontId="24" fillId="8" borderId="10" xfId="0" applyNumberFormat="1" applyFont="1" applyFill="1" applyBorder="1" applyAlignment="1">
      <alignment horizontal="center" vertical="center"/>
    </xf>
    <xf numFmtId="170" fontId="24" fillId="8" borderId="10" xfId="0" applyNumberFormat="1" applyFont="1" applyFill="1" applyBorder="1" applyAlignment="1">
      <alignment horizontal="center" vertical="center"/>
    </xf>
    <xf numFmtId="169" fontId="23" fillId="8" borderId="10" xfId="0" applyNumberFormat="1" applyFont="1" applyFill="1" applyBorder="1" applyAlignment="1">
      <alignment horizontal="center" vertical="center"/>
    </xf>
    <xf numFmtId="170" fontId="23" fillId="8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170" fontId="24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170" fontId="23" fillId="0" borderId="0" xfId="0" applyNumberFormat="1" applyFont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4" fontId="23" fillId="0" borderId="17" xfId="0" applyNumberFormat="1" applyFont="1" applyBorder="1" applyAlignment="1">
      <alignment horizontal="center" vertical="center"/>
    </xf>
    <xf numFmtId="169" fontId="23" fillId="0" borderId="17" xfId="0" applyNumberFormat="1" applyFont="1" applyBorder="1" applyAlignment="1">
      <alignment horizontal="center" vertical="center"/>
    </xf>
    <xf numFmtId="4" fontId="24" fillId="8" borderId="10" xfId="0" applyNumberFormat="1" applyFont="1" applyFill="1" applyBorder="1" applyAlignment="1">
      <alignment horizontal="center" vertical="center"/>
    </xf>
    <xf numFmtId="169" fontId="23" fillId="0" borderId="10" xfId="0" applyNumberFormat="1" applyFont="1" applyBorder="1" applyAlignment="1">
      <alignment horizontal="center" vertical="center" wrapText="1"/>
    </xf>
    <xf numFmtId="168" fontId="24" fillId="8" borderId="10" xfId="0" applyNumberFormat="1" applyFont="1" applyFill="1" applyBorder="1" applyAlignment="1">
      <alignment horizontal="center" vertical="center" wrapText="1"/>
    </xf>
    <xf numFmtId="169" fontId="24" fillId="8" borderId="10" xfId="0" applyNumberFormat="1" applyFont="1" applyFill="1" applyBorder="1" applyAlignment="1">
      <alignment horizontal="center" vertical="center" wrapText="1"/>
    </xf>
    <xf numFmtId="170" fontId="24" fillId="8" borderId="10" xfId="0" applyNumberFormat="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24" fillId="8" borderId="9" xfId="0" applyFont="1" applyFill="1" applyBorder="1" applyAlignment="1">
      <alignment horizontal="center" wrapText="1"/>
    </xf>
    <xf numFmtId="0" fontId="23" fillId="8" borderId="10" xfId="0" applyFont="1" applyFill="1" applyBorder="1" applyAlignment="1">
      <alignment horizontal="center" wrapText="1"/>
    </xf>
    <xf numFmtId="0" fontId="24" fillId="12" borderId="9" xfId="0" applyFont="1" applyFill="1" applyBorder="1" applyAlignment="1">
      <alignment horizontal="center" wrapText="1"/>
    </xf>
    <xf numFmtId="170" fontId="24" fillId="0" borderId="9" xfId="0" applyNumberFormat="1" applyFont="1" applyBorder="1" applyAlignment="1">
      <alignment horizontal="center" wrapText="1"/>
    </xf>
    <xf numFmtId="170" fontId="23" fillId="0" borderId="10" xfId="0" applyNumberFormat="1" applyFont="1" applyBorder="1" applyAlignment="1">
      <alignment horizontal="center" wrapText="1"/>
    </xf>
    <xf numFmtId="4" fontId="23" fillId="6" borderId="10" xfId="0" applyNumberFormat="1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15" borderId="0" xfId="0" applyFont="1" applyFill="1" applyAlignment="1">
      <alignment horizontal="center" vertical="center" wrapText="1"/>
    </xf>
    <xf numFmtId="0" fontId="52" fillId="0" borderId="10" xfId="0" applyFont="1" applyBorder="1" applyAlignment="1">
      <alignment horizontal="center" vertical="center" wrapText="1"/>
    </xf>
    <xf numFmtId="1" fontId="31" fillId="0" borderId="10" xfId="0" applyNumberFormat="1" applyFont="1" applyBorder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 wrapText="1"/>
    </xf>
    <xf numFmtId="169" fontId="31" fillId="0" borderId="0" xfId="0" applyNumberFormat="1" applyFont="1" applyAlignment="1">
      <alignment horizontal="center" vertical="center" wrapText="1"/>
    </xf>
    <xf numFmtId="170" fontId="31" fillId="0" borderId="0" xfId="0" applyNumberFormat="1" applyFont="1" applyAlignment="1">
      <alignment horizontal="center" vertical="center" wrapText="1"/>
    </xf>
    <xf numFmtId="166" fontId="31" fillId="0" borderId="0" xfId="0" applyNumberFormat="1" applyFont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 wrapText="1"/>
    </xf>
    <xf numFmtId="0" fontId="24" fillId="12" borderId="10" xfId="0" applyFont="1" applyFill="1" applyBorder="1" applyAlignment="1">
      <alignment horizontal="center" vertical="center" wrapText="1"/>
    </xf>
    <xf numFmtId="0" fontId="24" fillId="13" borderId="9" xfId="0" applyFont="1" applyFill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/>
    </xf>
    <xf numFmtId="0" fontId="23" fillId="6" borderId="29" xfId="0" applyFont="1" applyFill="1" applyBorder="1" applyAlignment="1">
      <alignment horizontal="center" vertical="center"/>
    </xf>
    <xf numFmtId="0" fontId="53" fillId="8" borderId="10" xfId="0" applyFont="1" applyFill="1" applyBorder="1" applyAlignment="1">
      <alignment horizontal="center" vertical="center"/>
    </xf>
    <xf numFmtId="49" fontId="54" fillId="8" borderId="10" xfId="0" applyNumberFormat="1" applyFont="1" applyFill="1" applyBorder="1" applyAlignment="1">
      <alignment horizontal="center" vertical="center"/>
    </xf>
    <xf numFmtId="166" fontId="24" fillId="8" borderId="7" xfId="0" applyNumberFormat="1" applyFont="1" applyFill="1" applyBorder="1" applyAlignment="1">
      <alignment horizontal="center" vertical="center"/>
    </xf>
    <xf numFmtId="166" fontId="24" fillId="8" borderId="9" xfId="0" applyNumberFormat="1" applyFont="1" applyFill="1" applyBorder="1" applyAlignment="1">
      <alignment horizontal="center" vertical="center"/>
    </xf>
    <xf numFmtId="170" fontId="53" fillId="8" borderId="10" xfId="0" applyNumberFormat="1" applyFont="1" applyFill="1" applyBorder="1" applyAlignment="1">
      <alignment horizontal="center" vertical="center"/>
    </xf>
    <xf numFmtId="49" fontId="53" fillId="8" borderId="10" xfId="0" applyNumberFormat="1" applyFont="1" applyFill="1" applyBorder="1" applyAlignment="1">
      <alignment horizontal="center" vertical="center"/>
    </xf>
    <xf numFmtId="0" fontId="24" fillId="9" borderId="9" xfId="0" applyFont="1" applyFill="1" applyBorder="1" applyAlignment="1">
      <alignment horizontal="center" vertical="center" wrapText="1"/>
    </xf>
    <xf numFmtId="0" fontId="24" fillId="14" borderId="9" xfId="0" applyFont="1" applyFill="1" applyBorder="1" applyAlignment="1">
      <alignment horizontal="center" vertical="center" wrapText="1"/>
    </xf>
    <xf numFmtId="4" fontId="23" fillId="0" borderId="10" xfId="0" applyNumberFormat="1" applyFont="1" applyBorder="1" applyAlignment="1">
      <alignment horizontal="center" vertical="center" wrapText="1"/>
    </xf>
    <xf numFmtId="0" fontId="22" fillId="10" borderId="10" xfId="0" applyFont="1" applyFill="1" applyBorder="1" applyAlignment="1">
      <alignment horizontal="center" vertical="center" wrapText="1"/>
    </xf>
    <xf numFmtId="4" fontId="22" fillId="10" borderId="10" xfId="0" applyNumberFormat="1" applyFont="1" applyFill="1" applyBorder="1" applyAlignment="1">
      <alignment horizontal="center" vertical="center" wrapText="1"/>
    </xf>
    <xf numFmtId="166" fontId="22" fillId="8" borderId="10" xfId="0" applyNumberFormat="1" applyFont="1" applyFill="1" applyBorder="1" applyAlignment="1">
      <alignment horizontal="center" vertical="center" wrapText="1"/>
    </xf>
    <xf numFmtId="170" fontId="24" fillId="9" borderId="9" xfId="0" applyNumberFormat="1" applyFont="1" applyFill="1" applyBorder="1" applyAlignment="1">
      <alignment horizontal="center" vertical="center" wrapText="1"/>
    </xf>
    <xf numFmtId="4" fontId="23" fillId="6" borderId="9" xfId="0" applyNumberFormat="1" applyFont="1" applyFill="1" applyBorder="1" applyAlignment="1">
      <alignment horizontal="center" vertical="center" wrapText="1"/>
    </xf>
    <xf numFmtId="0" fontId="23" fillId="13" borderId="10" xfId="0" applyFont="1" applyFill="1" applyBorder="1" applyAlignment="1">
      <alignment horizontal="center" vertical="center" wrapText="1"/>
    </xf>
    <xf numFmtId="170" fontId="31" fillId="13" borderId="10" xfId="0" applyNumberFormat="1" applyFont="1" applyFill="1" applyBorder="1" applyAlignment="1">
      <alignment horizontal="center" wrapText="1"/>
    </xf>
    <xf numFmtId="49" fontId="31" fillId="13" borderId="10" xfId="0" applyNumberFormat="1" applyFont="1" applyFill="1" applyBorder="1" applyAlignment="1">
      <alignment horizontal="center" vertical="center" wrapText="1"/>
    </xf>
    <xf numFmtId="168" fontId="31" fillId="13" borderId="10" xfId="0" applyNumberFormat="1" applyFont="1" applyFill="1" applyBorder="1" applyAlignment="1">
      <alignment horizontal="center" vertical="center" wrapText="1"/>
    </xf>
    <xf numFmtId="174" fontId="31" fillId="13" borderId="10" xfId="0" applyNumberFormat="1" applyFont="1" applyFill="1" applyBorder="1" applyAlignment="1">
      <alignment horizontal="center" wrapText="1"/>
    </xf>
    <xf numFmtId="172" fontId="31" fillId="13" borderId="10" xfId="0" applyNumberFormat="1" applyFont="1" applyFill="1" applyBorder="1" applyAlignment="1">
      <alignment horizontal="center" wrapText="1"/>
    </xf>
    <xf numFmtId="166" fontId="31" fillId="13" borderId="16" xfId="0" applyNumberFormat="1" applyFont="1" applyFill="1" applyBorder="1" applyAlignment="1">
      <alignment horizontal="center" wrapText="1"/>
    </xf>
    <xf numFmtId="9" fontId="31" fillId="13" borderId="16" xfId="0" applyNumberFormat="1" applyFont="1" applyFill="1" applyBorder="1" applyAlignment="1">
      <alignment horizontal="center" wrapText="1"/>
    </xf>
    <xf numFmtId="172" fontId="31" fillId="13" borderId="16" xfId="0" applyNumberFormat="1" applyFont="1" applyFill="1" applyBorder="1" applyAlignment="1">
      <alignment horizontal="center" vertical="center" wrapText="1"/>
    </xf>
    <xf numFmtId="166" fontId="31" fillId="13" borderId="10" xfId="0" applyNumberFormat="1" applyFont="1" applyFill="1" applyBorder="1" applyAlignment="1">
      <alignment horizontal="center" wrapText="1"/>
    </xf>
    <xf numFmtId="166" fontId="24" fillId="13" borderId="10" xfId="0" applyNumberFormat="1" applyFont="1" applyFill="1" applyBorder="1" applyAlignment="1">
      <alignment horizontal="center" vertical="center" wrapText="1"/>
    </xf>
    <xf numFmtId="170" fontId="31" fillId="0" borderId="10" xfId="0" applyNumberFormat="1" applyFont="1" applyBorder="1" applyAlignment="1">
      <alignment horizontal="center" wrapText="1"/>
    </xf>
    <xf numFmtId="49" fontId="31" fillId="6" borderId="10" xfId="0" applyNumberFormat="1" applyFont="1" applyFill="1" applyBorder="1" applyAlignment="1">
      <alignment horizontal="center" vertical="center" wrapText="1"/>
    </xf>
    <xf numFmtId="49" fontId="31" fillId="6" borderId="10" xfId="0" applyNumberFormat="1" applyFont="1" applyFill="1" applyBorder="1" applyAlignment="1">
      <alignment horizontal="center" wrapText="1"/>
    </xf>
    <xf numFmtId="168" fontId="31" fillId="6" borderId="10" xfId="0" applyNumberFormat="1" applyFont="1" applyFill="1" applyBorder="1" applyAlignment="1">
      <alignment horizontal="center" vertical="center" wrapText="1"/>
    </xf>
    <xf numFmtId="174" fontId="31" fillId="0" borderId="10" xfId="0" applyNumberFormat="1" applyFont="1" applyBorder="1" applyAlignment="1">
      <alignment horizontal="center" wrapText="1"/>
    </xf>
    <xf numFmtId="172" fontId="31" fillId="0" borderId="10" xfId="0" applyNumberFormat="1" applyFont="1" applyBorder="1" applyAlignment="1">
      <alignment horizontal="center" wrapText="1"/>
    </xf>
    <xf numFmtId="172" fontId="31" fillId="0" borderId="16" xfId="0" applyNumberFormat="1" applyFont="1" applyBorder="1" applyAlignment="1">
      <alignment horizontal="center" wrapText="1"/>
    </xf>
    <xf numFmtId="9" fontId="31" fillId="0" borderId="16" xfId="0" applyNumberFormat="1" applyFont="1" applyBorder="1" applyAlignment="1">
      <alignment horizontal="center" wrapText="1"/>
    </xf>
    <xf numFmtId="166" fontId="31" fillId="6" borderId="27" xfId="0" applyNumberFormat="1" applyFont="1" applyFill="1" applyBorder="1" applyAlignment="1">
      <alignment horizontal="center" wrapText="1"/>
    </xf>
    <xf numFmtId="166" fontId="31" fillId="0" borderId="10" xfId="0" applyNumberFormat="1" applyFont="1" applyBorder="1" applyAlignment="1">
      <alignment horizontal="center" wrapText="1"/>
    </xf>
    <xf numFmtId="49" fontId="31" fillId="13" borderId="10" xfId="0" applyNumberFormat="1" applyFont="1" applyFill="1" applyBorder="1" applyAlignment="1">
      <alignment horizontal="center" wrapText="1"/>
    </xf>
    <xf numFmtId="172" fontId="31" fillId="13" borderId="16" xfId="0" applyNumberFormat="1" applyFont="1" applyFill="1" applyBorder="1" applyAlignment="1">
      <alignment horizontal="center" wrapText="1"/>
    </xf>
    <xf numFmtId="166" fontId="31" fillId="13" borderId="27" xfId="0" applyNumberFormat="1" applyFont="1" applyFill="1" applyBorder="1" applyAlignment="1">
      <alignment horizontal="center" wrapText="1"/>
    </xf>
    <xf numFmtId="4" fontId="24" fillId="10" borderId="10" xfId="0" applyNumberFormat="1" applyFont="1" applyFill="1" applyBorder="1" applyAlignment="1">
      <alignment horizontal="center" vertical="center" wrapText="1"/>
    </xf>
    <xf numFmtId="166" fontId="22" fillId="10" borderId="10" xfId="0" applyNumberFormat="1" applyFont="1" applyFill="1" applyBorder="1" applyAlignment="1">
      <alignment horizontal="center" vertical="center" wrapText="1"/>
    </xf>
    <xf numFmtId="166" fontId="22" fillId="10" borderId="7" xfId="0" applyNumberFormat="1" applyFont="1" applyFill="1" applyBorder="1" applyAlignment="1">
      <alignment horizontal="center" vertical="center" wrapText="1"/>
    </xf>
    <xf numFmtId="166" fontId="22" fillId="8" borderId="9" xfId="0" applyNumberFormat="1" applyFont="1" applyFill="1" applyBorder="1" applyAlignment="1">
      <alignment horizontal="center" vertical="center" wrapText="1"/>
    </xf>
    <xf numFmtId="166" fontId="23" fillId="0" borderId="10" xfId="0" applyNumberFormat="1" applyFont="1" applyBorder="1" applyAlignment="1">
      <alignment vertical="center" wrapText="1"/>
    </xf>
    <xf numFmtId="166" fontId="23" fillId="0" borderId="7" xfId="0" applyNumberFormat="1" applyFont="1" applyBorder="1" applyAlignment="1">
      <alignment horizontal="center" vertical="center" wrapText="1"/>
    </xf>
    <xf numFmtId="172" fontId="23" fillId="0" borderId="9" xfId="0" applyNumberFormat="1" applyFont="1" applyBorder="1" applyAlignment="1">
      <alignment vertical="center" wrapText="1"/>
    </xf>
    <xf numFmtId="166" fontId="22" fillId="8" borderId="9" xfId="0" applyNumberFormat="1" applyFont="1" applyFill="1" applyBorder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66" fontId="22" fillId="0" borderId="0" xfId="0" applyNumberFormat="1" applyFont="1" applyAlignment="1">
      <alignment horizontal="center" vertical="center" wrapText="1"/>
    </xf>
    <xf numFmtId="166" fontId="22" fillId="0" borderId="0" xfId="0" applyNumberFormat="1" applyFont="1" applyAlignment="1">
      <alignment vertical="center" wrapText="1"/>
    </xf>
    <xf numFmtId="172" fontId="23" fillId="0" borderId="10" xfId="0" applyNumberFormat="1" applyFont="1" applyBorder="1" applyAlignment="1">
      <alignment vertical="center" wrapText="1"/>
    </xf>
    <xf numFmtId="166" fontId="23" fillId="0" borderId="9" xfId="0" applyNumberFormat="1" applyFont="1" applyBorder="1" applyAlignment="1">
      <alignment vertical="center" wrapText="1"/>
    </xf>
    <xf numFmtId="165" fontId="9" fillId="2" borderId="0" xfId="0" applyNumberFormat="1" applyFont="1" applyFill="1" applyAlignment="1">
      <alignment horizontal="center" vertical="center" wrapText="1"/>
    </xf>
    <xf numFmtId="3" fontId="8" fillId="18" borderId="0" xfId="0" applyNumberFormat="1" applyFont="1" applyFill="1" applyAlignment="1">
      <alignment horizontal="center" vertical="center"/>
    </xf>
    <xf numFmtId="168" fontId="8" fillId="18" borderId="0" xfId="0" applyNumberFormat="1" applyFont="1" applyFill="1" applyAlignment="1">
      <alignment horizontal="center" vertical="center"/>
    </xf>
    <xf numFmtId="165" fontId="8" fillId="18" borderId="0" xfId="0" applyNumberFormat="1" applyFont="1" applyFill="1" applyAlignment="1">
      <alignment horizontal="center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 wrapText="1"/>
    </xf>
    <xf numFmtId="3" fontId="8" fillId="4" borderId="0" xfId="0" applyNumberFormat="1" applyFont="1" applyFill="1" applyAlignment="1">
      <alignment horizontal="center" vertical="center"/>
    </xf>
    <xf numFmtId="168" fontId="8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65" fontId="8" fillId="9" borderId="0" xfId="0" applyNumberFormat="1" applyFont="1" applyFill="1" applyAlignment="1">
      <alignment horizontal="center" vertical="center"/>
    </xf>
    <xf numFmtId="165" fontId="8" fillId="9" borderId="0" xfId="0" applyNumberFormat="1" applyFont="1" applyFill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8" fillId="7" borderId="0" xfId="0" applyFont="1" applyFill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168" fontId="8" fillId="7" borderId="0" xfId="0" applyNumberFormat="1" applyFont="1" applyFill="1" applyAlignment="1">
      <alignment horizontal="center" vertical="center"/>
    </xf>
    <xf numFmtId="165" fontId="8" fillId="7" borderId="0" xfId="0" applyNumberFormat="1" applyFont="1" applyFill="1" applyAlignment="1">
      <alignment horizontal="center" vertical="center"/>
    </xf>
    <xf numFmtId="169" fontId="24" fillId="0" borderId="0" xfId="0" applyNumberFormat="1" applyFont="1" applyAlignment="1">
      <alignment horizontal="center" vertical="center" wrapText="1"/>
    </xf>
    <xf numFmtId="170" fontId="24" fillId="0" borderId="0" xfId="0" applyNumberFormat="1" applyFont="1" applyAlignment="1">
      <alignment horizontal="center" vertical="center" wrapText="1"/>
    </xf>
    <xf numFmtId="170" fontId="24" fillId="13" borderId="9" xfId="0" applyNumberFormat="1" applyFont="1" applyFill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 wrapText="1"/>
    </xf>
    <xf numFmtId="169" fontId="22" fillId="8" borderId="10" xfId="0" applyNumberFormat="1" applyFont="1" applyFill="1" applyBorder="1" applyAlignment="1">
      <alignment horizontal="center" vertical="center" wrapText="1"/>
    </xf>
    <xf numFmtId="170" fontId="22" fillId="8" borderId="10" xfId="0" applyNumberFormat="1" applyFont="1" applyFill="1" applyBorder="1" applyAlignment="1">
      <alignment horizontal="center" vertical="center" wrapText="1"/>
    </xf>
    <xf numFmtId="169" fontId="23" fillId="8" borderId="10" xfId="0" applyNumberFormat="1" applyFont="1" applyFill="1" applyBorder="1" applyAlignment="1">
      <alignment horizontal="center" vertical="center" wrapText="1"/>
    </xf>
    <xf numFmtId="170" fontId="23" fillId="8" borderId="10" xfId="0" applyNumberFormat="1" applyFont="1" applyFill="1" applyBorder="1" applyAlignment="1">
      <alignment horizontal="center" vertical="center" wrapText="1"/>
    </xf>
    <xf numFmtId="170" fontId="24" fillId="13" borderId="3" xfId="0" applyNumberFormat="1" applyFont="1" applyFill="1" applyBorder="1" applyAlignment="1">
      <alignment horizontal="center" vertical="center" wrapText="1"/>
    </xf>
    <xf numFmtId="170" fontId="23" fillId="0" borderId="7" xfId="0" applyNumberFormat="1" applyFont="1" applyBorder="1" applyAlignment="1">
      <alignment horizontal="center" vertical="center" wrapText="1"/>
    </xf>
    <xf numFmtId="170" fontId="23" fillId="8" borderId="22" xfId="0" applyNumberFormat="1" applyFont="1" applyFill="1" applyBorder="1" applyAlignment="1">
      <alignment horizontal="center" vertical="center" wrapText="1"/>
    </xf>
    <xf numFmtId="170" fontId="23" fillId="0" borderId="22" xfId="0" applyNumberFormat="1" applyFont="1" applyBorder="1" applyAlignment="1">
      <alignment horizontal="center" vertical="center" wrapText="1"/>
    </xf>
    <xf numFmtId="170" fontId="23" fillId="0" borderId="27" xfId="0" applyNumberFormat="1" applyFont="1" applyBorder="1" applyAlignment="1">
      <alignment horizontal="center" vertical="center" wrapText="1"/>
    </xf>
    <xf numFmtId="170" fontId="23" fillId="8" borderId="7" xfId="0" applyNumberFormat="1" applyFont="1" applyFill="1" applyBorder="1" applyAlignment="1">
      <alignment horizontal="center" vertical="center" wrapText="1"/>
    </xf>
    <xf numFmtId="175" fontId="23" fillId="0" borderId="10" xfId="0" applyNumberFormat="1" applyFont="1" applyBorder="1" applyAlignment="1">
      <alignment horizontal="center" vertical="center" wrapText="1"/>
    </xf>
    <xf numFmtId="170" fontId="24" fillId="13" borderId="10" xfId="0" applyNumberFormat="1" applyFont="1" applyFill="1" applyBorder="1" applyAlignment="1">
      <alignment horizontal="center" vertical="center" wrapText="1"/>
    </xf>
    <xf numFmtId="0" fontId="53" fillId="8" borderId="10" xfId="0" applyFont="1" applyFill="1" applyBorder="1" applyAlignment="1">
      <alignment horizontal="center" vertical="center" wrapText="1"/>
    </xf>
    <xf numFmtId="169" fontId="53" fillId="8" borderId="10" xfId="0" applyNumberFormat="1" applyFont="1" applyFill="1" applyBorder="1" applyAlignment="1">
      <alignment horizontal="center" vertical="center" wrapText="1"/>
    </xf>
    <xf numFmtId="170" fontId="53" fillId="8" borderId="10" xfId="0" applyNumberFormat="1" applyFont="1" applyFill="1" applyBorder="1" applyAlignment="1">
      <alignment horizontal="center" vertical="center" wrapText="1"/>
    </xf>
    <xf numFmtId="0" fontId="54" fillId="8" borderId="10" xfId="0" applyFont="1" applyFill="1" applyBorder="1" applyAlignment="1">
      <alignment horizontal="center" vertical="center" wrapText="1"/>
    </xf>
    <xf numFmtId="0" fontId="54" fillId="8" borderId="10" xfId="0" applyFont="1" applyFill="1" applyBorder="1" applyAlignment="1">
      <alignment vertical="center"/>
    </xf>
    <xf numFmtId="0" fontId="53" fillId="8" borderId="10" xfId="0" applyFont="1" applyFill="1" applyBorder="1" applyAlignment="1">
      <alignment vertical="center"/>
    </xf>
    <xf numFmtId="169" fontId="53" fillId="8" borderId="10" xfId="0" applyNumberFormat="1" applyFont="1" applyFill="1" applyBorder="1" applyAlignment="1">
      <alignment vertical="center"/>
    </xf>
    <xf numFmtId="170" fontId="53" fillId="8" borderId="10" xfId="0" applyNumberFormat="1" applyFont="1" applyFill="1" applyBorder="1" applyAlignment="1">
      <alignment vertical="center"/>
    </xf>
    <xf numFmtId="0" fontId="16" fillId="0" borderId="7" xfId="0" applyFont="1" applyBorder="1" applyAlignment="1">
      <alignment horizontal="center" vertical="center" wrapText="1"/>
    </xf>
    <xf numFmtId="9" fontId="16" fillId="0" borderId="9" xfId="0" applyNumberFormat="1" applyFont="1" applyBorder="1" applyAlignment="1">
      <alignment horizontal="center" vertical="center" wrapText="1"/>
    </xf>
    <xf numFmtId="171" fontId="16" fillId="6" borderId="9" xfId="0" applyNumberFormat="1" applyFont="1" applyFill="1" applyBorder="1" applyAlignment="1">
      <alignment horizontal="center" vertical="center" wrapText="1"/>
    </xf>
    <xf numFmtId="171" fontId="16" fillId="0" borderId="9" xfId="0" applyNumberFormat="1" applyFont="1" applyBorder="1" applyAlignment="1">
      <alignment horizontal="center" vertical="center" wrapText="1"/>
    </xf>
    <xf numFmtId="9" fontId="16" fillId="0" borderId="16" xfId="0" applyNumberFormat="1" applyFont="1" applyBorder="1" applyAlignment="1">
      <alignment horizontal="center" vertical="center" wrapText="1"/>
    </xf>
    <xf numFmtId="171" fontId="16" fillId="6" borderId="16" xfId="0" applyNumberFormat="1" applyFont="1" applyFill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166" fontId="20" fillId="8" borderId="7" xfId="0" applyNumberFormat="1" applyFont="1" applyFill="1" applyBorder="1" applyAlignment="1">
      <alignment horizontal="center" vertical="center" wrapText="1"/>
    </xf>
    <xf numFmtId="166" fontId="33" fillId="0" borderId="16" xfId="0" applyNumberFormat="1" applyFont="1" applyBorder="1" applyAlignment="1">
      <alignment horizontal="center" vertical="center" wrapText="1"/>
    </xf>
    <xf numFmtId="9" fontId="33" fillId="0" borderId="16" xfId="0" applyNumberFormat="1" applyFont="1" applyBorder="1" applyAlignment="1">
      <alignment horizontal="center" vertical="center" wrapText="1"/>
    </xf>
    <xf numFmtId="166" fontId="33" fillId="6" borderId="16" xfId="0" applyNumberFormat="1" applyFont="1" applyFill="1" applyBorder="1" applyAlignment="1">
      <alignment horizontal="center" vertical="center" wrapText="1"/>
    </xf>
    <xf numFmtId="166" fontId="33" fillId="6" borderId="27" xfId="0" applyNumberFormat="1" applyFont="1" applyFill="1" applyBorder="1" applyAlignment="1">
      <alignment horizontal="center" vertical="center" wrapText="1"/>
    </xf>
    <xf numFmtId="166" fontId="33" fillId="0" borderId="27" xfId="0" applyNumberFormat="1" applyFont="1" applyBorder="1" applyAlignment="1">
      <alignment horizontal="center" vertical="center" wrapText="1"/>
    </xf>
    <xf numFmtId="170" fontId="20" fillId="10" borderId="10" xfId="0" applyNumberFormat="1" applyFont="1" applyFill="1" applyBorder="1" applyAlignment="1">
      <alignment horizontal="center" vertical="center" wrapText="1"/>
    </xf>
    <xf numFmtId="49" fontId="16" fillId="10" borderId="10" xfId="0" applyNumberFormat="1" applyFont="1" applyFill="1" applyBorder="1" applyAlignment="1">
      <alignment horizontal="center" vertical="center" wrapText="1"/>
    </xf>
    <xf numFmtId="170" fontId="16" fillId="10" borderId="10" xfId="0" applyNumberFormat="1" applyFont="1" applyFill="1" applyBorder="1" applyAlignment="1">
      <alignment horizontal="center" vertical="center" wrapText="1"/>
    </xf>
    <xf numFmtId="172" fontId="16" fillId="10" borderId="10" xfId="0" applyNumberFormat="1" applyFont="1" applyFill="1" applyBorder="1" applyAlignment="1">
      <alignment horizontal="center" vertical="center" wrapText="1"/>
    </xf>
    <xf numFmtId="9" fontId="16" fillId="10" borderId="10" xfId="0" applyNumberFormat="1" applyFont="1" applyFill="1" applyBorder="1" applyAlignment="1">
      <alignment horizontal="center" vertical="center" wrapText="1"/>
    </xf>
    <xf numFmtId="174" fontId="16" fillId="0" borderId="9" xfId="0" applyNumberFormat="1" applyFont="1" applyBorder="1" applyAlignment="1">
      <alignment horizontal="center" vertical="center" wrapText="1"/>
    </xf>
    <xf numFmtId="166" fontId="16" fillId="6" borderId="9" xfId="0" applyNumberFormat="1" applyFont="1" applyFill="1" applyBorder="1" applyAlignment="1">
      <alignment horizontal="center" vertical="center" wrapText="1"/>
    </xf>
    <xf numFmtId="173" fontId="23" fillId="0" borderId="9" xfId="0" applyNumberFormat="1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166" fontId="16" fillId="6" borderId="16" xfId="0" applyNumberFormat="1" applyFont="1" applyFill="1" applyBorder="1" applyAlignment="1">
      <alignment horizontal="center" vertical="center" wrapText="1"/>
    </xf>
    <xf numFmtId="0" fontId="56" fillId="11" borderId="34" xfId="0" applyFont="1" applyFill="1" applyBorder="1" applyAlignment="1">
      <alignment horizontal="center" vertical="center" wrapText="1"/>
    </xf>
    <xf numFmtId="0" fontId="56" fillId="0" borderId="34" xfId="0" applyFont="1" applyBorder="1" applyAlignment="1">
      <alignment horizontal="center" vertical="center" wrapText="1"/>
    </xf>
    <xf numFmtId="0" fontId="57" fillId="0" borderId="34" xfId="0" applyFont="1" applyBorder="1" applyAlignment="1">
      <alignment horizontal="center" vertical="center" wrapText="1"/>
    </xf>
    <xf numFmtId="0" fontId="56" fillId="12" borderId="34" xfId="0" applyFont="1" applyFill="1" applyBorder="1" applyAlignment="1">
      <alignment horizontal="center" vertical="center" wrapText="1"/>
    </xf>
    <xf numFmtId="0" fontId="58" fillId="19" borderId="21" xfId="0" applyFont="1" applyFill="1" applyBorder="1" applyAlignment="1">
      <alignment horizontal="center" vertical="center" wrapText="1"/>
    </xf>
    <xf numFmtId="0" fontId="22" fillId="11" borderId="21" xfId="0" applyFont="1" applyFill="1" applyBorder="1" applyAlignment="1">
      <alignment horizontal="center" vertical="center" wrapText="1"/>
    </xf>
    <xf numFmtId="0" fontId="52" fillId="11" borderId="21" xfId="0" applyFont="1" applyFill="1" applyBorder="1" applyAlignment="1">
      <alignment horizontal="center" vertical="center" wrapText="1"/>
    </xf>
    <xf numFmtId="166" fontId="22" fillId="11" borderId="21" xfId="0" applyNumberFormat="1" applyFont="1" applyFill="1" applyBorder="1" applyAlignment="1">
      <alignment horizontal="center" vertical="center"/>
    </xf>
    <xf numFmtId="49" fontId="52" fillId="11" borderId="21" xfId="0" applyNumberFormat="1" applyFont="1" applyFill="1" applyBorder="1" applyAlignment="1">
      <alignment horizontal="center" vertical="center" wrapText="1"/>
    </xf>
    <xf numFmtId="49" fontId="22" fillId="11" borderId="21" xfId="0" applyNumberFormat="1" applyFont="1" applyFill="1" applyBorder="1" applyAlignment="1">
      <alignment horizontal="center" vertical="center" wrapText="1"/>
    </xf>
    <xf numFmtId="170" fontId="22" fillId="11" borderId="21" xfId="0" applyNumberFormat="1" applyFont="1" applyFill="1" applyBorder="1" applyAlignment="1">
      <alignment horizontal="center" vertical="center"/>
    </xf>
    <xf numFmtId="0" fontId="59" fillId="8" borderId="21" xfId="0" applyFont="1" applyFill="1" applyBorder="1" applyAlignment="1">
      <alignment horizontal="center" vertical="center" wrapText="1"/>
    </xf>
    <xf numFmtId="0" fontId="30" fillId="8" borderId="21" xfId="0" applyFont="1" applyFill="1" applyBorder="1" applyAlignment="1">
      <alignment horizontal="center" vertical="center" wrapText="1"/>
    </xf>
    <xf numFmtId="0" fontId="45" fillId="8" borderId="21" xfId="0" applyFont="1" applyFill="1" applyBorder="1" applyAlignment="1">
      <alignment horizontal="center" vertical="center" wrapText="1"/>
    </xf>
    <xf numFmtId="166" fontId="30" fillId="8" borderId="2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0" fillId="0" borderId="0" xfId="0"/>
    <xf numFmtId="0" fontId="14" fillId="0" borderId="7" xfId="0" applyFont="1" applyBorder="1" applyAlignment="1">
      <alignment horizontal="center" vertical="center" wrapText="1"/>
    </xf>
    <xf numFmtId="0" fontId="15" fillId="0" borderId="8" xfId="0" applyFont="1" applyBorder="1"/>
    <xf numFmtId="0" fontId="15" fillId="0" borderId="9" xfId="0" applyFont="1" applyBorder="1"/>
    <xf numFmtId="0" fontId="14" fillId="8" borderId="18" xfId="0" applyFont="1" applyFill="1" applyBorder="1" applyAlignment="1">
      <alignment horizontal="center" vertical="center" wrapText="1"/>
    </xf>
    <xf numFmtId="0" fontId="15" fillId="0" borderId="19" xfId="0" applyFont="1" applyBorder="1"/>
    <xf numFmtId="0" fontId="15" fillId="0" borderId="20" xfId="0" applyFont="1" applyBorder="1"/>
    <xf numFmtId="0" fontId="14" fillId="8" borderId="7" xfId="0" applyFont="1" applyFill="1" applyBorder="1" applyAlignment="1">
      <alignment horizontal="center" vertical="center" wrapText="1"/>
    </xf>
    <xf numFmtId="169" fontId="14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9" fontId="17" fillId="0" borderId="7" xfId="0" applyNumberFormat="1" applyFont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15" fillId="0" borderId="15" xfId="0" applyFont="1" applyBorder="1"/>
    <xf numFmtId="0" fontId="15" fillId="0" borderId="16" xfId="0" applyFont="1" applyBorder="1"/>
    <xf numFmtId="0" fontId="20" fillId="0" borderId="7" xfId="0" applyFont="1" applyBorder="1" applyAlignment="1">
      <alignment horizontal="center" vertical="center" wrapText="1"/>
    </xf>
    <xf numFmtId="170" fontId="19" fillId="8" borderId="1" xfId="0" applyNumberFormat="1" applyFont="1" applyFill="1" applyBorder="1" applyAlignment="1">
      <alignment horizontal="center" vertical="center" wrapText="1"/>
    </xf>
    <xf numFmtId="168" fontId="20" fillId="0" borderId="7" xfId="0" applyNumberFormat="1" applyFont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166" fontId="30" fillId="14" borderId="8" xfId="0" applyNumberFormat="1" applyFont="1" applyFill="1" applyBorder="1" applyAlignment="1">
      <alignment horizontal="center" vertical="center" wrapText="1"/>
    </xf>
    <xf numFmtId="0" fontId="29" fillId="11" borderId="7" xfId="0" applyFont="1" applyFill="1" applyBorder="1" applyAlignment="1">
      <alignment horizontal="center" vertical="center" wrapText="1"/>
    </xf>
    <xf numFmtId="166" fontId="30" fillId="14" borderId="7" xfId="0" applyNumberFormat="1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5" fillId="0" borderId="27" xfId="0" applyFont="1" applyBorder="1"/>
    <xf numFmtId="166" fontId="30" fillId="14" borderId="8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69" fontId="25" fillId="0" borderId="7" xfId="0" applyNumberFormat="1" applyFont="1" applyBorder="1" applyAlignment="1">
      <alignment horizontal="center" vertical="center" wrapText="1"/>
    </xf>
    <xf numFmtId="172" fontId="24" fillId="0" borderId="27" xfId="0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169" fontId="22" fillId="0" borderId="7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7" fillId="8" borderId="23" xfId="0" applyFont="1" applyFill="1" applyBorder="1" applyAlignment="1">
      <alignment horizontal="center" vertical="center" wrapText="1"/>
    </xf>
    <xf numFmtId="0" fontId="15" fillId="0" borderId="24" xfId="0" applyFont="1" applyBorder="1"/>
    <xf numFmtId="165" fontId="27" fillId="8" borderId="23" xfId="0" applyNumberFormat="1" applyFont="1" applyFill="1" applyBorder="1" applyAlignment="1">
      <alignment horizontal="center" vertical="center" wrapText="1"/>
    </xf>
    <xf numFmtId="0" fontId="27" fillId="14" borderId="23" xfId="0" applyFont="1" applyFill="1" applyBorder="1" applyAlignment="1">
      <alignment horizontal="center" vertical="center" wrapText="1"/>
    </xf>
    <xf numFmtId="0" fontId="15" fillId="0" borderId="25" xfId="0" applyFont="1" applyBorder="1"/>
    <xf numFmtId="0" fontId="15" fillId="0" borderId="26" xfId="0" applyFont="1" applyBorder="1"/>
    <xf numFmtId="166" fontId="27" fillId="14" borderId="23" xfId="0" applyNumberFormat="1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169" fontId="34" fillId="0" borderId="7" xfId="0" applyNumberFormat="1" applyFont="1" applyBorder="1" applyAlignment="1">
      <alignment horizontal="center" vertical="center" wrapText="1"/>
    </xf>
    <xf numFmtId="168" fontId="35" fillId="0" borderId="1" xfId="0" applyNumberFormat="1" applyFont="1" applyBorder="1" applyAlignment="1">
      <alignment horizontal="center" vertical="center" wrapText="1"/>
    </xf>
    <xf numFmtId="0" fontId="19" fillId="8" borderId="23" xfId="0" applyFont="1" applyFill="1" applyBorder="1" applyAlignment="1">
      <alignment horizontal="center" vertical="center" wrapText="1"/>
    </xf>
    <xf numFmtId="170" fontId="19" fillId="8" borderId="23" xfId="0" applyNumberFormat="1" applyFont="1" applyFill="1" applyBorder="1" applyAlignment="1">
      <alignment horizontal="center" vertical="center" wrapText="1"/>
    </xf>
    <xf numFmtId="169" fontId="36" fillId="0" borderId="7" xfId="0" applyNumberFormat="1" applyFont="1" applyBorder="1" applyAlignment="1">
      <alignment horizontal="center" vertical="center" wrapText="1"/>
    </xf>
    <xf numFmtId="0" fontId="34" fillId="8" borderId="7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/>
    </xf>
    <xf numFmtId="0" fontId="34" fillId="8" borderId="7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41" fillId="8" borderId="23" xfId="0" applyFont="1" applyFill="1" applyBorder="1" applyAlignment="1">
      <alignment horizontal="center" vertical="center" wrapText="1"/>
    </xf>
    <xf numFmtId="170" fontId="41" fillId="8" borderId="23" xfId="0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49" fontId="34" fillId="8" borderId="7" xfId="0" applyNumberFormat="1" applyFont="1" applyFill="1" applyBorder="1" applyAlignment="1">
      <alignment horizontal="center" vertical="center" wrapText="1"/>
    </xf>
    <xf numFmtId="0" fontId="44" fillId="14" borderId="7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8" borderId="23" xfId="0" applyFont="1" applyFill="1" applyBorder="1" applyAlignment="1">
      <alignment horizontal="center" vertical="center" wrapText="1"/>
    </xf>
    <xf numFmtId="166" fontId="34" fillId="8" borderId="23" xfId="0" applyNumberFormat="1" applyFont="1" applyFill="1" applyBorder="1" applyAlignment="1">
      <alignment horizontal="center" vertical="center" wrapText="1"/>
    </xf>
    <xf numFmtId="166" fontId="14" fillId="8" borderId="7" xfId="0" applyNumberFormat="1" applyFont="1" applyFill="1" applyBorder="1" applyAlignment="1">
      <alignment horizontal="center" vertical="center" wrapText="1"/>
    </xf>
    <xf numFmtId="166" fontId="14" fillId="8" borderId="7" xfId="0" applyNumberFormat="1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horizontal="center" vertical="center"/>
    </xf>
    <xf numFmtId="166" fontId="41" fillId="8" borderId="23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4" borderId="23" xfId="0" applyFont="1" applyFill="1" applyBorder="1" applyAlignment="1">
      <alignment horizontal="center" vertical="center" wrapText="1"/>
    </xf>
    <xf numFmtId="166" fontId="41" fillId="14" borderId="23" xfId="0" applyNumberFormat="1" applyFont="1" applyFill="1" applyBorder="1" applyAlignment="1">
      <alignment horizontal="center" vertical="center" wrapText="1"/>
    </xf>
    <xf numFmtId="166" fontId="20" fillId="8" borderId="7" xfId="0" applyNumberFormat="1" applyFont="1" applyFill="1" applyBorder="1" applyAlignment="1">
      <alignment horizontal="center" vertical="center"/>
    </xf>
    <xf numFmtId="166" fontId="20" fillId="14" borderId="7" xfId="0" applyNumberFormat="1" applyFont="1" applyFill="1" applyBorder="1" applyAlignment="1">
      <alignment horizontal="center" vertical="center"/>
    </xf>
    <xf numFmtId="0" fontId="41" fillId="11" borderId="7" xfId="0" applyFont="1" applyFill="1" applyBorder="1" applyAlignment="1">
      <alignment horizontal="center" vertical="center" wrapText="1"/>
    </xf>
    <xf numFmtId="170" fontId="27" fillId="8" borderId="23" xfId="0" applyNumberFormat="1" applyFont="1" applyFill="1" applyBorder="1" applyAlignment="1">
      <alignment horizontal="center" vertical="center" wrapText="1"/>
    </xf>
    <xf numFmtId="0" fontId="51" fillId="0" borderId="7" xfId="0" applyFont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 wrapText="1"/>
    </xf>
    <xf numFmtId="0" fontId="24" fillId="8" borderId="7" xfId="0" applyFont="1" applyFill="1" applyBorder="1" applyAlignment="1">
      <alignment horizontal="center" vertical="center"/>
    </xf>
    <xf numFmtId="0" fontId="51" fillId="0" borderId="7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169" fontId="23" fillId="0" borderId="7" xfId="0" applyNumberFormat="1" applyFont="1" applyBorder="1" applyAlignment="1">
      <alignment horizontal="center" vertical="center" wrapText="1"/>
    </xf>
    <xf numFmtId="166" fontId="22" fillId="14" borderId="7" xfId="0" applyNumberFormat="1" applyFont="1" applyFill="1" applyBorder="1" applyAlignment="1">
      <alignment horizontal="center"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/>
    </xf>
    <xf numFmtId="0" fontId="41" fillId="14" borderId="18" xfId="0" applyFont="1" applyFill="1" applyBorder="1" applyAlignment="1">
      <alignment horizontal="center" vertical="center" wrapText="1"/>
    </xf>
    <xf numFmtId="166" fontId="41" fillId="8" borderId="18" xfId="0" applyNumberFormat="1" applyFont="1" applyFill="1" applyBorder="1" applyAlignment="1">
      <alignment horizontal="center" vertical="center" wrapText="1"/>
    </xf>
    <xf numFmtId="0" fontId="41" fillId="8" borderId="18" xfId="0" applyFont="1" applyFill="1" applyBorder="1" applyAlignment="1">
      <alignment horizontal="center" vertical="center" wrapText="1"/>
    </xf>
    <xf numFmtId="166" fontId="20" fillId="14" borderId="7" xfId="0" applyNumberFormat="1" applyFont="1" applyFill="1" applyBorder="1" applyAlignment="1">
      <alignment horizontal="center" vertical="center" wrapText="1"/>
    </xf>
    <xf numFmtId="166" fontId="20" fillId="8" borderId="7" xfId="0" applyNumberFormat="1" applyFont="1" applyFill="1" applyBorder="1" applyAlignment="1">
      <alignment horizontal="center" vertical="center" wrapText="1"/>
    </xf>
    <xf numFmtId="0" fontId="55" fillId="19" borderId="31" xfId="0" applyFont="1" applyFill="1" applyBorder="1" applyAlignment="1">
      <alignment horizontal="center" vertical="center" wrapText="1"/>
    </xf>
    <xf numFmtId="0" fontId="15" fillId="0" borderId="32" xfId="0" applyFont="1" applyBorder="1"/>
    <xf numFmtId="0" fontId="15" fillId="0" borderId="33" xfId="0" applyFont="1" applyBorder="1"/>
  </cellXfs>
  <cellStyles count="1">
    <cellStyle name="Normal" xfId="0" builtinId="0"/>
  </cellStyles>
  <dxfs count="969">
    <dxf>
      <fill>
        <patternFill patternType="solid">
          <fgColor rgb="FFB7E1CD"/>
          <bgColor rgb="FFB7E1CD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D9B8"/>
          <bgColor rgb="FFF1D9B8"/>
        </patternFill>
      </fill>
    </dxf>
    <dxf>
      <border>
        <left style="thin">
          <color rgb="FFF1BC86"/>
        </left>
        <right style="thin">
          <color rgb="FFF1BC86"/>
        </right>
        <top style="thin">
          <color rgb="FFF1BC86"/>
        </top>
        <bottom style="thin">
          <color rgb="FFF1BC86"/>
        </bottom>
      </border>
    </dxf>
    <dxf>
      <fill>
        <patternFill patternType="solid">
          <fgColor rgb="FFFCEEE1"/>
          <bgColor rgb="FFFCEEE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BC86"/>
          <bgColor rgb="FFF1BC86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39">
    <tableStyle name="TOTAL OFFICE STOCK-style" pivot="0" count="3" xr9:uid="{00000000-0011-0000-FFFF-FFFF00000000}">
      <tableStyleElement type="headerRow" dxfId="968"/>
      <tableStyleElement type="firstRowStripe" dxfId="967"/>
      <tableStyleElement type="secondRowStripe" dxfId="966"/>
    </tableStyle>
    <tableStyle name="SILK  - STOCK OVERVIEW-style" pivot="0" count="3" xr9:uid="{00000000-0011-0000-FFFF-FFFF01000000}">
      <tableStyleElement type="headerRow" dxfId="965"/>
      <tableStyleElement type="firstRowStripe" dxfId="964"/>
      <tableStyleElement type="secondRowStripe" dxfId="963"/>
    </tableStyle>
    <tableStyle name="SILK - ALL-style" pivot="0" count="5" xr9:uid="{00000000-0011-0000-FFFF-FFFF02000000}">
      <tableStyleElement type="wholeTable" size="0" dxfId="958"/>
      <tableStyleElement type="headerRow" dxfId="962"/>
      <tableStyleElement type="totalRow" dxfId="959"/>
      <tableStyleElement type="firstRowStripe" dxfId="961"/>
      <tableStyleElement type="secondRowStripe" dxfId="960"/>
    </tableStyle>
    <tableStyle name="SILK - ALL-style 2" pivot="0" count="4" xr9:uid="{00000000-0011-0000-FFFF-FFFF03000000}">
      <tableStyleElement type="wholeTable" size="0" dxfId="954"/>
      <tableStyleElement type="headerRow" dxfId="957"/>
      <tableStyleElement type="firstRowStripe" dxfId="956"/>
      <tableStyleElement type="secondRowStripe" dxfId="955"/>
    </tableStyle>
    <tableStyle name="SILK - ALL-style 3" pivot="0" count="4" xr9:uid="{00000000-0011-0000-FFFF-FFFF04000000}">
      <tableStyleElement type="wholeTable" size="0" dxfId="950"/>
      <tableStyleElement type="headerRow" dxfId="953"/>
      <tableStyleElement type="firstRowStripe" dxfId="952"/>
      <tableStyleElement type="secondRowStripe" dxfId="951"/>
    </tableStyle>
    <tableStyle name="SILK - ALL-style 4" pivot="0" count="5" xr9:uid="{00000000-0011-0000-FFFF-FFFF05000000}">
      <tableStyleElement type="wholeTable" size="0" dxfId="945"/>
      <tableStyleElement type="headerRow" dxfId="949"/>
      <tableStyleElement type="totalRow" dxfId="946"/>
      <tableStyleElement type="firstRowStripe" dxfId="948"/>
      <tableStyleElement type="secondRowStripe" dxfId="947"/>
    </tableStyle>
    <tableStyle name="SILK - ALL-style 5" pivot="0" count="4" xr9:uid="{00000000-0011-0000-FFFF-FFFF06000000}">
      <tableStyleElement type="wholeTable" size="0" dxfId="941"/>
      <tableStyleElement type="headerRow" dxfId="944"/>
      <tableStyleElement type="firstRowStripe" dxfId="943"/>
      <tableStyleElement type="secondRowStripe" dxfId="942"/>
    </tableStyle>
    <tableStyle name="SILK - ALL-style 6" pivot="0" count="4" xr9:uid="{00000000-0011-0000-FFFF-FFFF07000000}">
      <tableStyleElement type="wholeTable" size="0" dxfId="937"/>
      <tableStyleElement type="headerRow" dxfId="940"/>
      <tableStyleElement type="firstRowStripe" dxfId="939"/>
      <tableStyleElement type="secondRowStripe" dxfId="938"/>
    </tableStyle>
    <tableStyle name="SILK - ALL-style 7" pivot="0" count="4" xr9:uid="{00000000-0011-0000-FFFF-FFFF08000000}">
      <tableStyleElement type="wholeTable" size="0" dxfId="933"/>
      <tableStyleElement type="headerRow" dxfId="936"/>
      <tableStyleElement type="firstRowStripe" dxfId="935"/>
      <tableStyleElement type="secondRowStripe" dxfId="934"/>
    </tableStyle>
    <tableStyle name="SILK - ALL-style 8" pivot="0" count="4" xr9:uid="{00000000-0011-0000-FFFF-FFFF09000000}">
      <tableStyleElement type="wholeTable" size="0" dxfId="929"/>
      <tableStyleElement type="headerRow" dxfId="932"/>
      <tableStyleElement type="firstRowStripe" dxfId="931"/>
      <tableStyleElement type="secondRowStripe" dxfId="930"/>
    </tableStyle>
    <tableStyle name="SILK - ALL-style 9" pivot="0" count="4" xr9:uid="{00000000-0011-0000-FFFF-FFFF0A000000}">
      <tableStyleElement type="wholeTable" size="0" dxfId="925"/>
      <tableStyleElement type="headerRow" dxfId="928"/>
      <tableStyleElement type="firstRowStripe" dxfId="927"/>
      <tableStyleElement type="secondRowStripe" dxfId="926"/>
    </tableStyle>
    <tableStyle name="SILK - ALL-style 10" pivot="0" count="4" xr9:uid="{00000000-0011-0000-FFFF-FFFF0B000000}">
      <tableStyleElement type="wholeTable" size="0" dxfId="921"/>
      <tableStyleElement type="headerRow" dxfId="924"/>
      <tableStyleElement type="firstRowStripe" dxfId="923"/>
      <tableStyleElement type="secondRowStripe" dxfId="922"/>
    </tableStyle>
    <tableStyle name="SILK - ALL-style 11" pivot="0" count="4" xr9:uid="{00000000-0011-0000-FFFF-FFFF0C000000}">
      <tableStyleElement type="wholeTable" size="0" dxfId="917"/>
      <tableStyleElement type="headerRow" dxfId="920"/>
      <tableStyleElement type="firstRowStripe" dxfId="919"/>
      <tableStyleElement type="secondRowStripe" dxfId="918"/>
    </tableStyle>
    <tableStyle name="SILK - ALL-style 12" pivot="0" count="4" xr9:uid="{00000000-0011-0000-FFFF-FFFF0D000000}">
      <tableStyleElement type="wholeTable" size="0" dxfId="913"/>
      <tableStyleElement type="headerRow" dxfId="916"/>
      <tableStyleElement type="firstRowStripe" dxfId="915"/>
      <tableStyleElement type="secondRowStripe" dxfId="914"/>
    </tableStyle>
    <tableStyle name="SILK - ALL-style 13" pivot="0" count="5" xr9:uid="{00000000-0011-0000-FFFF-FFFF0E000000}">
      <tableStyleElement type="wholeTable" size="0" dxfId="908"/>
      <tableStyleElement type="headerRow" dxfId="912"/>
      <tableStyleElement type="totalRow" dxfId="909"/>
      <tableStyleElement type="firstRowStripe" dxfId="911"/>
      <tableStyleElement type="secondRowStripe" dxfId="910"/>
    </tableStyle>
    <tableStyle name="SILK - ALL-style 14" pivot="0" count="4" xr9:uid="{00000000-0011-0000-FFFF-FFFF0F000000}">
      <tableStyleElement type="wholeTable" size="0" dxfId="904"/>
      <tableStyleElement type="headerRow" dxfId="907"/>
      <tableStyleElement type="firstRowStripe" dxfId="906"/>
      <tableStyleElement type="secondRowStripe" dxfId="905"/>
    </tableStyle>
    <tableStyle name="SILK - ALL-style 15" pivot="0" count="4" xr9:uid="{00000000-0011-0000-FFFF-FFFF10000000}">
      <tableStyleElement type="wholeTable" size="0" dxfId="900"/>
      <tableStyleElement type="headerRow" dxfId="903"/>
      <tableStyleElement type="firstRowStripe" dxfId="902"/>
      <tableStyleElement type="secondRowStripe" dxfId="901"/>
    </tableStyle>
    <tableStyle name="SILK - ALL-style 16" pivot="0" count="5" xr9:uid="{00000000-0011-0000-FFFF-FFFF11000000}">
      <tableStyleElement type="wholeTable" size="0" dxfId="895"/>
      <tableStyleElement type="headerRow" dxfId="899"/>
      <tableStyleElement type="totalRow" dxfId="896"/>
      <tableStyleElement type="firstRowStripe" dxfId="898"/>
      <tableStyleElement type="secondRowStripe" dxfId="897"/>
    </tableStyle>
    <tableStyle name="SILK - ALL-style 17" pivot="0" count="4" xr9:uid="{00000000-0011-0000-FFFF-FFFF12000000}">
      <tableStyleElement type="wholeTable" size="0" dxfId="891"/>
      <tableStyleElement type="headerRow" dxfId="894"/>
      <tableStyleElement type="firstRowStripe" dxfId="893"/>
      <tableStyleElement type="secondRowStripe" dxfId="892"/>
    </tableStyle>
    <tableStyle name="SILK - ALL-style 18" pivot="0" count="4" xr9:uid="{00000000-0011-0000-FFFF-FFFF13000000}">
      <tableStyleElement type="wholeTable" size="0" dxfId="887"/>
      <tableStyleElement type="headerRow" dxfId="890"/>
      <tableStyleElement type="firstRowStripe" dxfId="889"/>
      <tableStyleElement type="secondRowStripe" dxfId="888"/>
    </tableStyle>
    <tableStyle name="SILK - ALL-style 19" pivot="0" count="4" xr9:uid="{00000000-0011-0000-FFFF-FFFF14000000}">
      <tableStyleElement type="wholeTable" size="0" dxfId="883"/>
      <tableStyleElement type="headerRow" dxfId="886"/>
      <tableStyleElement type="firstRowStripe" dxfId="885"/>
      <tableStyleElement type="secondRowStripe" dxfId="884"/>
    </tableStyle>
    <tableStyle name="SILK - ALL-style 20" pivot="0" count="4" xr9:uid="{00000000-0011-0000-FFFF-FFFF15000000}">
      <tableStyleElement type="wholeTable" size="0" dxfId="879"/>
      <tableStyleElement type="headerRow" dxfId="882"/>
      <tableStyleElement type="firstRowStripe" dxfId="881"/>
      <tableStyleElement type="secondRowStripe" dxfId="880"/>
    </tableStyle>
    <tableStyle name="SILK - ALL-style 21" pivot="0" count="4" xr9:uid="{00000000-0011-0000-FFFF-FFFF16000000}">
      <tableStyleElement type="wholeTable" size="0" dxfId="875"/>
      <tableStyleElement type="headerRow" dxfId="878"/>
      <tableStyleElement type="firstRowStripe" dxfId="877"/>
      <tableStyleElement type="secondRowStripe" dxfId="876"/>
    </tableStyle>
    <tableStyle name="SILK - ALL-style 22" pivot="0" count="5" xr9:uid="{00000000-0011-0000-FFFF-FFFF17000000}">
      <tableStyleElement type="wholeTable" size="0" dxfId="870"/>
      <tableStyleElement type="headerRow" dxfId="874"/>
      <tableStyleElement type="totalRow" dxfId="871"/>
      <tableStyleElement type="firstRowStripe" dxfId="873"/>
      <tableStyleElement type="secondRowStripe" dxfId="872"/>
    </tableStyle>
    <tableStyle name="SILK - ALL-style 23" pivot="0" count="4" xr9:uid="{00000000-0011-0000-FFFF-FFFF18000000}">
      <tableStyleElement type="wholeTable" size="0" dxfId="866"/>
      <tableStyleElement type="headerRow" dxfId="869"/>
      <tableStyleElement type="firstRowStripe" dxfId="868"/>
      <tableStyleElement type="secondRowStripe" dxfId="867"/>
    </tableStyle>
    <tableStyle name="SILK - ALL-style 24" pivot="0" count="4" xr9:uid="{00000000-0011-0000-FFFF-FFFF19000000}">
      <tableStyleElement type="wholeTable" size="0" dxfId="862"/>
      <tableStyleElement type="headerRow" dxfId="865"/>
      <tableStyleElement type="firstRowStripe" dxfId="864"/>
      <tableStyleElement type="secondRowStripe" dxfId="863"/>
    </tableStyle>
    <tableStyle name="SILK - ALL-style 25" pivot="0" count="4" xr9:uid="{00000000-0011-0000-FFFF-FFFF1A000000}">
      <tableStyleElement type="wholeTable" size="0" dxfId="858"/>
      <tableStyleElement type="headerRow" dxfId="861"/>
      <tableStyleElement type="firstRowStripe" dxfId="860"/>
      <tableStyleElement type="secondRowStripe" dxfId="859"/>
    </tableStyle>
    <tableStyle name="SILK - ALL-style 26" pivot="0" count="4" xr9:uid="{00000000-0011-0000-FFFF-FFFF1B000000}">
      <tableStyleElement type="wholeTable" size="0" dxfId="854"/>
      <tableStyleElement type="headerRow" dxfId="857"/>
      <tableStyleElement type="firstRowStripe" dxfId="856"/>
      <tableStyleElement type="secondRowStripe" dxfId="855"/>
    </tableStyle>
    <tableStyle name="SILK - ALL-style 27" pivot="0" count="4" xr9:uid="{00000000-0011-0000-FFFF-FFFF1C000000}">
      <tableStyleElement type="wholeTable" size="0" dxfId="850"/>
      <tableStyleElement type="headerRow" dxfId="853"/>
      <tableStyleElement type="firstRowStripe" dxfId="852"/>
      <tableStyleElement type="secondRowStripe" dxfId="851"/>
    </tableStyle>
    <tableStyle name="SILK - ALL-style 28" pivot="0" count="5" xr9:uid="{00000000-0011-0000-FFFF-FFFF1D000000}">
      <tableStyleElement type="wholeTable" size="0" dxfId="845"/>
      <tableStyleElement type="headerRow" dxfId="849"/>
      <tableStyleElement type="totalRow" dxfId="846"/>
      <tableStyleElement type="firstRowStripe" dxfId="848"/>
      <tableStyleElement type="secondRowStripe" dxfId="847"/>
    </tableStyle>
    <tableStyle name="SILK - ALL-style 29" pivot="0" count="4" xr9:uid="{00000000-0011-0000-FFFF-FFFF1E000000}">
      <tableStyleElement type="wholeTable" size="0" dxfId="841"/>
      <tableStyleElement type="headerRow" dxfId="844"/>
      <tableStyleElement type="firstRowStripe" dxfId="843"/>
      <tableStyleElement type="secondRowStripe" dxfId="842"/>
    </tableStyle>
    <tableStyle name="SILK - ALL-style 30" pivot="0" count="4" xr9:uid="{00000000-0011-0000-FFFF-FFFF1F000000}">
      <tableStyleElement type="wholeTable" size="0" dxfId="837"/>
      <tableStyleElement type="headerRow" dxfId="840"/>
      <tableStyleElement type="firstRowStripe" dxfId="839"/>
      <tableStyleElement type="secondRowStripe" dxfId="838"/>
    </tableStyle>
    <tableStyle name="SILK - ALL-style 31" pivot="0" count="4" xr9:uid="{00000000-0011-0000-FFFF-FFFF20000000}">
      <tableStyleElement type="wholeTable" size="0" dxfId="833"/>
      <tableStyleElement type="headerRow" dxfId="836"/>
      <tableStyleElement type="firstRowStripe" dxfId="835"/>
      <tableStyleElement type="secondRowStripe" dxfId="834"/>
    </tableStyle>
    <tableStyle name="SILK - ALL-style 32" pivot="0" count="4" xr9:uid="{00000000-0011-0000-FFFF-FFFF21000000}">
      <tableStyleElement type="wholeTable" size="0" dxfId="829"/>
      <tableStyleElement type="headerRow" dxfId="832"/>
      <tableStyleElement type="firstRowStripe" dxfId="831"/>
      <tableStyleElement type="secondRowStripe" dxfId="830"/>
    </tableStyle>
    <tableStyle name="SILK - ALL-style 33" pivot="0" count="4" xr9:uid="{00000000-0011-0000-FFFF-FFFF22000000}">
      <tableStyleElement type="wholeTable" size="0" dxfId="825"/>
      <tableStyleElement type="headerRow" dxfId="828"/>
      <tableStyleElement type="firstRowStripe" dxfId="827"/>
      <tableStyleElement type="secondRowStripe" dxfId="826"/>
    </tableStyle>
    <tableStyle name="SILK - ALL-style 34" pivot="0" count="4" xr9:uid="{00000000-0011-0000-FFFF-FFFF23000000}">
      <tableStyleElement type="wholeTable" size="0" dxfId="821"/>
      <tableStyleElement type="headerRow" dxfId="824"/>
      <tableStyleElement type="firstRowStripe" dxfId="823"/>
      <tableStyleElement type="secondRowStripe" dxfId="822"/>
    </tableStyle>
    <tableStyle name="SILK - ALL-style 35" pivot="0" count="5" xr9:uid="{00000000-0011-0000-FFFF-FFFF24000000}">
      <tableStyleElement type="wholeTable" size="0" dxfId="816"/>
      <tableStyleElement type="headerRow" dxfId="820"/>
      <tableStyleElement type="totalRow" dxfId="817"/>
      <tableStyleElement type="firstRowStripe" dxfId="819"/>
      <tableStyleElement type="secondRowStripe" dxfId="818"/>
    </tableStyle>
    <tableStyle name="SILK - ALL-style 36" pivot="0" count="4" xr9:uid="{00000000-0011-0000-FFFF-FFFF25000000}">
      <tableStyleElement type="wholeTable" size="0" dxfId="812"/>
      <tableStyleElement type="headerRow" dxfId="815"/>
      <tableStyleElement type="firstRowStripe" dxfId="814"/>
      <tableStyleElement type="secondRowStripe" dxfId="813"/>
    </tableStyle>
    <tableStyle name="SILK - ALL-style 37" pivot="0" count="4" xr9:uid="{00000000-0011-0000-FFFF-FFFF26000000}">
      <tableStyleElement type="wholeTable" size="0" dxfId="808"/>
      <tableStyleElement type="headerRow" dxfId="811"/>
      <tableStyleElement type="firstRowStripe" dxfId="810"/>
      <tableStyleElement type="secondRowStripe" dxfId="809"/>
    </tableStyle>
    <tableStyle name="SILK - ALL-style 38" pivot="0" count="4" xr9:uid="{00000000-0011-0000-FFFF-FFFF27000000}">
      <tableStyleElement type="wholeTable" size="0" dxfId="804"/>
      <tableStyleElement type="headerRow" dxfId="807"/>
      <tableStyleElement type="firstRowStripe" dxfId="806"/>
      <tableStyleElement type="secondRowStripe" dxfId="805"/>
    </tableStyle>
    <tableStyle name="SILK - ALL-style 39" pivot="0" count="4" xr9:uid="{00000000-0011-0000-FFFF-FFFF28000000}">
      <tableStyleElement type="wholeTable" size="0" dxfId="800"/>
      <tableStyleElement type="headerRow" dxfId="803"/>
      <tableStyleElement type="firstRowStripe" dxfId="802"/>
      <tableStyleElement type="secondRowStripe" dxfId="801"/>
    </tableStyle>
    <tableStyle name="SILK - ALL-style 40" pivot="0" count="4" xr9:uid="{00000000-0011-0000-FFFF-FFFF29000000}">
      <tableStyleElement type="wholeTable" size="0" dxfId="796"/>
      <tableStyleElement type="headerRow" dxfId="799"/>
      <tableStyleElement type="firstRowStripe" dxfId="798"/>
      <tableStyleElement type="secondRowStripe" dxfId="797"/>
    </tableStyle>
    <tableStyle name="SILK - ALL-style 41" pivot="0" count="4" xr9:uid="{00000000-0011-0000-FFFF-FFFF2A000000}">
      <tableStyleElement type="wholeTable" size="0" dxfId="792"/>
      <tableStyleElement type="headerRow" dxfId="795"/>
      <tableStyleElement type="firstRowStripe" dxfId="794"/>
      <tableStyleElement type="secondRowStripe" dxfId="793"/>
    </tableStyle>
    <tableStyle name="SILK - ALL-style 42" pivot="0" count="4" xr9:uid="{00000000-0011-0000-FFFF-FFFF2B000000}">
      <tableStyleElement type="wholeTable" size="0" dxfId="788"/>
      <tableStyleElement type="headerRow" dxfId="791"/>
      <tableStyleElement type="firstRowStripe" dxfId="790"/>
      <tableStyleElement type="secondRowStripe" dxfId="789"/>
    </tableStyle>
    <tableStyle name="SILK - ALL-style 43" pivot="0" count="4" xr9:uid="{00000000-0011-0000-FFFF-FFFF2C000000}">
      <tableStyleElement type="wholeTable" size="0" dxfId="784"/>
      <tableStyleElement type="headerRow" dxfId="787"/>
      <tableStyleElement type="firstRowStripe" dxfId="786"/>
      <tableStyleElement type="secondRowStripe" dxfId="785"/>
    </tableStyle>
    <tableStyle name="SILK - ALL-style 44" pivot="0" count="4" xr9:uid="{00000000-0011-0000-FFFF-FFFF2D000000}">
      <tableStyleElement type="wholeTable" size="0" dxfId="780"/>
      <tableStyleElement type="headerRow" dxfId="783"/>
      <tableStyleElement type="firstRowStripe" dxfId="782"/>
      <tableStyleElement type="secondRowStripe" dxfId="781"/>
    </tableStyle>
    <tableStyle name="SILK - ALL-style 45" pivot="0" count="4" xr9:uid="{00000000-0011-0000-FFFF-FFFF2E000000}">
      <tableStyleElement type="wholeTable" size="0" dxfId="776"/>
      <tableStyleElement type="headerRow" dxfId="779"/>
      <tableStyleElement type="firstRowStripe" dxfId="778"/>
      <tableStyleElement type="secondRowStripe" dxfId="777"/>
    </tableStyle>
    <tableStyle name="SILK - ALL-style 46" pivot="0" count="4" xr9:uid="{00000000-0011-0000-FFFF-FFFF2F000000}">
      <tableStyleElement type="wholeTable" size="0" dxfId="772"/>
      <tableStyleElement type="headerRow" dxfId="775"/>
      <tableStyleElement type="firstRowStripe" dxfId="774"/>
      <tableStyleElement type="secondRowStripe" dxfId="773"/>
    </tableStyle>
    <tableStyle name="SILK - ALL-style 47" pivot="0" count="4" xr9:uid="{00000000-0011-0000-FFFF-FFFF30000000}">
      <tableStyleElement type="wholeTable" size="0" dxfId="768"/>
      <tableStyleElement type="headerRow" dxfId="771"/>
      <tableStyleElement type="firstRowStripe" dxfId="770"/>
      <tableStyleElement type="secondRowStripe" dxfId="769"/>
    </tableStyle>
    <tableStyle name="SILK - ALL-style 48" pivot="0" count="4" xr9:uid="{00000000-0011-0000-FFFF-FFFF31000000}">
      <tableStyleElement type="wholeTable" size="0" dxfId="764"/>
      <tableStyleElement type="headerRow" dxfId="767"/>
      <tableStyleElement type="firstRowStripe" dxfId="766"/>
      <tableStyleElement type="secondRowStripe" dxfId="765"/>
    </tableStyle>
    <tableStyle name="SILK - ALL-style 49" pivot="0" count="4" xr9:uid="{00000000-0011-0000-FFFF-FFFF32000000}">
      <tableStyleElement type="wholeTable" size="0" dxfId="760"/>
      <tableStyleElement type="headerRow" dxfId="763"/>
      <tableStyleElement type="firstRowStripe" dxfId="762"/>
      <tableStyleElement type="secondRowStripe" dxfId="761"/>
    </tableStyle>
    <tableStyle name="SILK - ALL-style 50" pivot="0" count="4" xr9:uid="{00000000-0011-0000-FFFF-FFFF33000000}">
      <tableStyleElement type="wholeTable" size="0" dxfId="756"/>
      <tableStyleElement type="headerRow" dxfId="759"/>
      <tableStyleElement type="firstRowStripe" dxfId="758"/>
      <tableStyleElement type="secondRowStripe" dxfId="757"/>
    </tableStyle>
    <tableStyle name="SILK - ALL-style 51" pivot="0" count="4" xr9:uid="{00000000-0011-0000-FFFF-FFFF34000000}">
      <tableStyleElement type="wholeTable" size="0" dxfId="752"/>
      <tableStyleElement type="headerRow" dxfId="755"/>
      <tableStyleElement type="firstRowStripe" dxfId="754"/>
      <tableStyleElement type="secondRowStripe" dxfId="753"/>
    </tableStyle>
    <tableStyle name="SILK - ALL-style 52" pivot="0" count="4" xr9:uid="{00000000-0011-0000-FFFF-FFFF35000000}">
      <tableStyleElement type="wholeTable" size="0" dxfId="748"/>
      <tableStyleElement type="headerRow" dxfId="751"/>
      <tableStyleElement type="firstRowStripe" dxfId="750"/>
      <tableStyleElement type="secondRowStripe" dxfId="749"/>
    </tableStyle>
    <tableStyle name="SILK - SOLD-style" pivot="0" count="4" xr9:uid="{00000000-0011-0000-FFFF-FFFF36000000}">
      <tableStyleElement type="wholeTable" size="0" dxfId="744"/>
      <tableStyleElement type="headerRow" dxfId="747"/>
      <tableStyleElement type="firstRowStripe" dxfId="746"/>
      <tableStyleElement type="secondRowStripe" dxfId="745"/>
    </tableStyle>
    <tableStyle name="SILK - SOLD-style 2" pivot="0" count="4" xr9:uid="{00000000-0011-0000-FFFF-FFFF37000000}">
      <tableStyleElement type="wholeTable" size="0" dxfId="740"/>
      <tableStyleElement type="headerRow" dxfId="743"/>
      <tableStyleElement type="firstRowStripe" dxfId="742"/>
      <tableStyleElement type="secondRowStripe" dxfId="741"/>
    </tableStyle>
    <tableStyle name="SILK - SOLD-style 3" pivot="0" count="4" xr9:uid="{00000000-0011-0000-FFFF-FFFF38000000}">
      <tableStyleElement type="wholeTable" size="0" dxfId="736"/>
      <tableStyleElement type="headerRow" dxfId="739"/>
      <tableStyleElement type="firstRowStripe" dxfId="738"/>
      <tableStyleElement type="secondRowStripe" dxfId="737"/>
    </tableStyle>
    <tableStyle name="SILK - SOLD-style 4" pivot="0" count="4" xr9:uid="{00000000-0011-0000-FFFF-FFFF39000000}">
      <tableStyleElement type="wholeTable" size="0" dxfId="732"/>
      <tableStyleElement type="headerRow" dxfId="735"/>
      <tableStyleElement type="firstRowStripe" dxfId="734"/>
      <tableStyleElement type="secondRowStripe" dxfId="733"/>
    </tableStyle>
    <tableStyle name="SILK - SOLD-style 5" pivot="0" count="4" xr9:uid="{00000000-0011-0000-FFFF-FFFF3A000000}">
      <tableStyleElement type="wholeTable" size="0" dxfId="728"/>
      <tableStyleElement type="headerRow" dxfId="731"/>
      <tableStyleElement type="firstRowStripe" dxfId="730"/>
      <tableStyleElement type="secondRowStripe" dxfId="729"/>
    </tableStyle>
    <tableStyle name="SILK - SOLD-style 6" pivot="0" count="4" xr9:uid="{00000000-0011-0000-FFFF-FFFF3B000000}">
      <tableStyleElement type="wholeTable" size="0" dxfId="724"/>
      <tableStyleElement type="headerRow" dxfId="727"/>
      <tableStyleElement type="firstRowStripe" dxfId="726"/>
      <tableStyleElement type="secondRowStripe" dxfId="725"/>
    </tableStyle>
    <tableStyle name="SILK - SOLD-style 7" pivot="0" count="4" xr9:uid="{00000000-0011-0000-FFFF-FFFF3C000000}">
      <tableStyleElement type="wholeTable" size="0" dxfId="720"/>
      <tableStyleElement type="headerRow" dxfId="723"/>
      <tableStyleElement type="firstRowStripe" dxfId="722"/>
      <tableStyleElement type="secondRowStripe" dxfId="721"/>
    </tableStyle>
    <tableStyle name="SILK - SOLD-style 8" pivot="0" count="4" xr9:uid="{00000000-0011-0000-FFFF-FFFF3D000000}">
      <tableStyleElement type="wholeTable" size="0" dxfId="716"/>
      <tableStyleElement type="headerRow" dxfId="719"/>
      <tableStyleElement type="firstRowStripe" dxfId="718"/>
      <tableStyleElement type="secondRowStripe" dxfId="717"/>
    </tableStyle>
    <tableStyle name="SILK - SOLD-style 9" pivot="0" count="4" xr9:uid="{00000000-0011-0000-FFFF-FFFF3E000000}">
      <tableStyleElement type="wholeTable" size="0" dxfId="712"/>
      <tableStyleElement type="headerRow" dxfId="715"/>
      <tableStyleElement type="firstRowStripe" dxfId="714"/>
      <tableStyleElement type="secondRowStripe" dxfId="713"/>
    </tableStyle>
    <tableStyle name="SILK - SOLD-style 10" pivot="0" count="4" xr9:uid="{00000000-0011-0000-FFFF-FFFF3F000000}">
      <tableStyleElement type="wholeTable" size="0" dxfId="708"/>
      <tableStyleElement type="headerRow" dxfId="711"/>
      <tableStyleElement type="firstRowStripe" dxfId="710"/>
      <tableStyleElement type="secondRowStripe" dxfId="709"/>
    </tableStyle>
    <tableStyle name="SILK - SOLD-style 11" pivot="0" count="4" xr9:uid="{00000000-0011-0000-FFFF-FFFF40000000}">
      <tableStyleElement type="wholeTable" size="0" dxfId="704"/>
      <tableStyleElement type="headerRow" dxfId="707"/>
      <tableStyleElement type="firstRowStripe" dxfId="706"/>
      <tableStyleElement type="secondRowStripe" dxfId="705"/>
    </tableStyle>
    <tableStyle name="SILK - SOLD-style 12" pivot="0" count="4" xr9:uid="{00000000-0011-0000-FFFF-FFFF41000000}">
      <tableStyleElement type="wholeTable" size="0" dxfId="700"/>
      <tableStyleElement type="headerRow" dxfId="703"/>
      <tableStyleElement type="firstRowStripe" dxfId="702"/>
      <tableStyleElement type="secondRowStripe" dxfId="701"/>
    </tableStyle>
    <tableStyle name="SILK - SOLD-style 13" pivot="0" count="4" xr9:uid="{00000000-0011-0000-FFFF-FFFF42000000}">
      <tableStyleElement type="wholeTable" size="0" dxfId="696"/>
      <tableStyleElement type="headerRow" dxfId="699"/>
      <tableStyleElement type="firstRowStripe" dxfId="698"/>
      <tableStyleElement type="secondRowStripe" dxfId="697"/>
    </tableStyle>
    <tableStyle name="SILK - SOLD-style 14" pivot="0" count="4" xr9:uid="{00000000-0011-0000-FFFF-FFFF43000000}">
      <tableStyleElement type="wholeTable" size="0" dxfId="692"/>
      <tableStyleElement type="headerRow" dxfId="695"/>
      <tableStyleElement type="firstRowStripe" dxfId="694"/>
      <tableStyleElement type="secondRowStripe" dxfId="693"/>
    </tableStyle>
    <tableStyle name="SILK - SOLD-style 15" pivot="0" count="4" xr9:uid="{00000000-0011-0000-FFFF-FFFF44000000}">
      <tableStyleElement type="wholeTable" size="0" dxfId="688"/>
      <tableStyleElement type="headerRow" dxfId="691"/>
      <tableStyleElement type="firstRowStripe" dxfId="690"/>
      <tableStyleElement type="secondRowStripe" dxfId="689"/>
    </tableStyle>
    <tableStyle name="SILK - SOLD-style 16" pivot="0" count="4" xr9:uid="{00000000-0011-0000-FFFF-FFFF45000000}">
      <tableStyleElement type="wholeTable" size="0" dxfId="684"/>
      <tableStyleElement type="headerRow" dxfId="687"/>
      <tableStyleElement type="firstRowStripe" dxfId="686"/>
      <tableStyleElement type="secondRowStripe" dxfId="685"/>
    </tableStyle>
    <tableStyle name="SILK - SOLD-style 17" pivot="0" count="4" xr9:uid="{00000000-0011-0000-FFFF-FFFF46000000}">
      <tableStyleElement type="wholeTable" size="0" dxfId="680"/>
      <tableStyleElement type="headerRow" dxfId="683"/>
      <tableStyleElement type="firstRowStripe" dxfId="682"/>
      <tableStyleElement type="secondRowStripe" dxfId="681"/>
    </tableStyle>
    <tableStyle name="SILK - SOLD-style 18" pivot="0" count="4" xr9:uid="{00000000-0011-0000-FFFF-FFFF47000000}">
      <tableStyleElement type="wholeTable" size="0" dxfId="676"/>
      <tableStyleElement type="headerRow" dxfId="679"/>
      <tableStyleElement type="firstRowStripe" dxfId="678"/>
      <tableStyleElement type="secondRowStripe" dxfId="677"/>
    </tableStyle>
    <tableStyle name="SILK - SOLD-style 19" pivot="0" count="4" xr9:uid="{00000000-0011-0000-FFFF-FFFF48000000}">
      <tableStyleElement type="wholeTable" size="0" dxfId="672"/>
      <tableStyleElement type="headerRow" dxfId="675"/>
      <tableStyleElement type="firstRowStripe" dxfId="674"/>
      <tableStyleElement type="secondRowStripe" dxfId="673"/>
    </tableStyle>
    <tableStyle name="SILK - SOLD-style 20" pivot="0" count="4" xr9:uid="{00000000-0011-0000-FFFF-FFFF49000000}">
      <tableStyleElement type="wholeTable" size="0" dxfId="668"/>
      <tableStyleElement type="headerRow" dxfId="671"/>
      <tableStyleElement type="firstRowStripe" dxfId="670"/>
      <tableStyleElement type="secondRowStripe" dxfId="669"/>
    </tableStyle>
    <tableStyle name="SILK - SOLD-style 21" pivot="0" count="4" xr9:uid="{00000000-0011-0000-FFFF-FFFF4A000000}">
      <tableStyleElement type="wholeTable" size="0" dxfId="664"/>
      <tableStyleElement type="headerRow" dxfId="667"/>
      <tableStyleElement type="firstRowStripe" dxfId="666"/>
      <tableStyleElement type="secondRowStripe" dxfId="665"/>
    </tableStyle>
    <tableStyle name="SILK - SOLD-style 22" pivot="0" count="4" xr9:uid="{00000000-0011-0000-FFFF-FFFF4B000000}">
      <tableStyleElement type="wholeTable" size="0" dxfId="660"/>
      <tableStyleElement type="headerRow" dxfId="663"/>
      <tableStyleElement type="firstRowStripe" dxfId="662"/>
      <tableStyleElement type="secondRowStripe" dxfId="661"/>
    </tableStyle>
    <tableStyle name="SILK - SOLD-style 23" pivot="0" count="4" xr9:uid="{00000000-0011-0000-FFFF-FFFF4C000000}">
      <tableStyleElement type="wholeTable" size="0" dxfId="656"/>
      <tableStyleElement type="headerRow" dxfId="659"/>
      <tableStyleElement type="firstRowStripe" dxfId="658"/>
      <tableStyleElement type="secondRowStripe" dxfId="657"/>
    </tableStyle>
    <tableStyle name="SILK - SOLD-style 24" pivot="0" count="4" xr9:uid="{00000000-0011-0000-FFFF-FFFF4D000000}">
      <tableStyleElement type="wholeTable" size="0" dxfId="652"/>
      <tableStyleElement type="headerRow" dxfId="655"/>
      <tableStyleElement type="firstRowStripe" dxfId="654"/>
      <tableStyleElement type="secondRowStripe" dxfId="653"/>
    </tableStyle>
    <tableStyle name="SILK - SOLD-style 25" pivot="0" count="4" xr9:uid="{00000000-0011-0000-FFFF-FFFF4E000000}">
      <tableStyleElement type="wholeTable" size="0" dxfId="648"/>
      <tableStyleElement type="headerRow" dxfId="651"/>
      <tableStyleElement type="firstRowStripe" dxfId="650"/>
      <tableStyleElement type="secondRowStripe" dxfId="649"/>
    </tableStyle>
    <tableStyle name="SILK - SOLD-style 26" pivot="0" count="4" xr9:uid="{00000000-0011-0000-FFFF-FFFF4F000000}">
      <tableStyleElement type="wholeTable" size="0" dxfId="644"/>
      <tableStyleElement type="headerRow" dxfId="647"/>
      <tableStyleElement type="firstRowStripe" dxfId="646"/>
      <tableStyleElement type="secondRowStripe" dxfId="645"/>
    </tableStyle>
    <tableStyle name="SILK - SOLD-style 27" pivot="0" count="4" xr9:uid="{00000000-0011-0000-FFFF-FFFF50000000}">
      <tableStyleElement type="wholeTable" size="0" dxfId="640"/>
      <tableStyleElement type="headerRow" dxfId="643"/>
      <tableStyleElement type="firstRowStripe" dxfId="642"/>
      <tableStyleElement type="secondRowStripe" dxfId="641"/>
    </tableStyle>
    <tableStyle name="SILK - SOLD-style 28" pivot="0" count="4" xr9:uid="{00000000-0011-0000-FFFF-FFFF51000000}">
      <tableStyleElement type="wholeTable" size="0" dxfId="636"/>
      <tableStyleElement type="headerRow" dxfId="639"/>
      <tableStyleElement type="firstRowStripe" dxfId="638"/>
      <tableStyleElement type="secondRowStripe" dxfId="637"/>
    </tableStyle>
    <tableStyle name="SILK - SOLD-style 29" pivot="0" count="4" xr9:uid="{00000000-0011-0000-FFFF-FFFF52000000}">
      <tableStyleElement type="wholeTable" size="0" dxfId="632"/>
      <tableStyleElement type="headerRow" dxfId="635"/>
      <tableStyleElement type="firstRowStripe" dxfId="634"/>
      <tableStyleElement type="secondRowStripe" dxfId="633"/>
    </tableStyle>
    <tableStyle name="SILK - SOLD-style 30" pivot="0" count="4" xr9:uid="{00000000-0011-0000-FFFF-FFFF53000000}">
      <tableStyleElement type="wholeTable" size="0" dxfId="628"/>
      <tableStyleElement type="headerRow" dxfId="631"/>
      <tableStyleElement type="firstRowStripe" dxfId="630"/>
      <tableStyleElement type="secondRowStripe" dxfId="629"/>
    </tableStyle>
    <tableStyle name="SILK - SOLD-style 31" pivot="0" count="4" xr9:uid="{00000000-0011-0000-FFFF-FFFF54000000}">
      <tableStyleElement type="wholeTable" size="0" dxfId="624"/>
      <tableStyleElement type="headerRow" dxfId="627"/>
      <tableStyleElement type="firstRowStripe" dxfId="626"/>
      <tableStyleElement type="secondRowStripe" dxfId="625"/>
    </tableStyle>
    <tableStyle name="SILK - SOLD-style 32" pivot="0" count="4" xr9:uid="{00000000-0011-0000-FFFF-FFFF55000000}">
      <tableStyleElement type="wholeTable" size="0" dxfId="620"/>
      <tableStyleElement type="headerRow" dxfId="623"/>
      <tableStyleElement type="firstRowStripe" dxfId="622"/>
      <tableStyleElement type="secondRowStripe" dxfId="621"/>
    </tableStyle>
    <tableStyle name="SILK - SOLD-style 33" pivot="0" count="4" xr9:uid="{00000000-0011-0000-FFFF-FFFF56000000}">
      <tableStyleElement type="wholeTable" size="0" dxfId="616"/>
      <tableStyleElement type="headerRow" dxfId="619"/>
      <tableStyleElement type="firstRowStripe" dxfId="618"/>
      <tableStyleElement type="secondRowStripe" dxfId="617"/>
    </tableStyle>
    <tableStyle name="SILK - SOLD-style 34" pivot="0" count="4" xr9:uid="{00000000-0011-0000-FFFF-FFFF57000000}">
      <tableStyleElement type="wholeTable" size="0" dxfId="612"/>
      <tableStyleElement type="headerRow" dxfId="615"/>
      <tableStyleElement type="firstRowStripe" dxfId="614"/>
      <tableStyleElement type="secondRowStripe" dxfId="613"/>
    </tableStyle>
    <tableStyle name="SILK - SOLD-style 35" pivot="0" count="4" xr9:uid="{00000000-0011-0000-FFFF-FFFF58000000}">
      <tableStyleElement type="wholeTable" size="0" dxfId="608"/>
      <tableStyleElement type="headerRow" dxfId="611"/>
      <tableStyleElement type="firstRowStripe" dxfId="610"/>
      <tableStyleElement type="secondRowStripe" dxfId="609"/>
    </tableStyle>
    <tableStyle name="SILK - SOLD-style 36" pivot="0" count="4" xr9:uid="{00000000-0011-0000-FFFF-FFFF59000000}">
      <tableStyleElement type="wholeTable" size="0" dxfId="604"/>
      <tableStyleElement type="headerRow" dxfId="607"/>
      <tableStyleElement type="firstRowStripe" dxfId="606"/>
      <tableStyleElement type="secondRowStripe" dxfId="605"/>
    </tableStyle>
    <tableStyle name="SILK - SOLD-style 37" pivot="0" count="4" xr9:uid="{00000000-0011-0000-FFFF-FFFF5A000000}">
      <tableStyleElement type="wholeTable" size="0" dxfId="600"/>
      <tableStyleElement type="headerRow" dxfId="603"/>
      <tableStyleElement type="firstRowStripe" dxfId="602"/>
      <tableStyleElement type="secondRowStripe" dxfId="601"/>
    </tableStyle>
    <tableStyle name="SILK - SOLD-style 38" pivot="0" count="4" xr9:uid="{00000000-0011-0000-FFFF-FFFF5B000000}">
      <tableStyleElement type="wholeTable" size="0" dxfId="596"/>
      <tableStyleElement type="headerRow" dxfId="599"/>
      <tableStyleElement type="firstRowStripe" dxfId="598"/>
      <tableStyleElement type="secondRowStripe" dxfId="597"/>
    </tableStyle>
    <tableStyle name="SILK - SOLD-style 39" pivot="0" count="4" xr9:uid="{00000000-0011-0000-FFFF-FFFF5C000000}">
      <tableStyleElement type="wholeTable" size="0" dxfId="592"/>
      <tableStyleElement type="headerRow" dxfId="595"/>
      <tableStyleElement type="firstRowStripe" dxfId="594"/>
      <tableStyleElement type="secondRowStripe" dxfId="593"/>
    </tableStyle>
    <tableStyle name="SILK - SOLD-style 40" pivot="0" count="4" xr9:uid="{00000000-0011-0000-FFFF-FFFF5D000000}">
      <tableStyleElement type="wholeTable" size="0" dxfId="588"/>
      <tableStyleElement type="headerRow" dxfId="591"/>
      <tableStyleElement type="firstRowStripe" dxfId="590"/>
      <tableStyleElement type="secondRowStripe" dxfId="589"/>
    </tableStyle>
    <tableStyle name="SILK - SOLD-style 41" pivot="0" count="4" xr9:uid="{00000000-0011-0000-FFFF-FFFF5E000000}">
      <tableStyleElement type="wholeTable" size="0" dxfId="584"/>
      <tableStyleElement type="headerRow" dxfId="587"/>
      <tableStyleElement type="firstRowStripe" dxfId="586"/>
      <tableStyleElement type="secondRowStripe" dxfId="585"/>
    </tableStyle>
    <tableStyle name="SILK - SOLD-style 42" pivot="0" count="4" xr9:uid="{00000000-0011-0000-FFFF-FFFF5F000000}">
      <tableStyleElement type="wholeTable" size="0" dxfId="580"/>
      <tableStyleElement type="headerRow" dxfId="583"/>
      <tableStyleElement type="firstRowStripe" dxfId="582"/>
      <tableStyleElement type="secondRowStripe" dxfId="581"/>
    </tableStyle>
    <tableStyle name="SILK - SOLD-style 43" pivot="0" count="4" xr9:uid="{00000000-0011-0000-FFFF-FFFF60000000}">
      <tableStyleElement type="wholeTable" size="0" dxfId="576"/>
      <tableStyleElement type="headerRow" dxfId="579"/>
      <tableStyleElement type="firstRowStripe" dxfId="578"/>
      <tableStyleElement type="secondRowStripe" dxfId="577"/>
    </tableStyle>
    <tableStyle name="SILK - SOLD-style 44" pivot="0" count="4" xr9:uid="{00000000-0011-0000-FFFF-FFFF61000000}">
      <tableStyleElement type="wholeTable" size="0" dxfId="572"/>
      <tableStyleElement type="headerRow" dxfId="575"/>
      <tableStyleElement type="firstRowStripe" dxfId="574"/>
      <tableStyleElement type="secondRowStripe" dxfId="573"/>
    </tableStyle>
    <tableStyle name="SILK - SOLD-style 45" pivot="0" count="4" xr9:uid="{00000000-0011-0000-FFFF-FFFF62000000}">
      <tableStyleElement type="wholeTable" size="0" dxfId="568"/>
      <tableStyleElement type="headerRow" dxfId="571"/>
      <tableStyleElement type="firstRowStripe" dxfId="570"/>
      <tableStyleElement type="secondRowStripe" dxfId="569"/>
    </tableStyle>
    <tableStyle name="SILK - SOLD-style 46" pivot="0" count="4" xr9:uid="{00000000-0011-0000-FFFF-FFFF63000000}">
      <tableStyleElement type="wholeTable" size="0" dxfId="564"/>
      <tableStyleElement type="headerRow" dxfId="567"/>
      <tableStyleElement type="firstRowStripe" dxfId="566"/>
      <tableStyleElement type="secondRowStripe" dxfId="565"/>
    </tableStyle>
    <tableStyle name="SILK - SOLD-style 47" pivot="0" count="4" xr9:uid="{00000000-0011-0000-FFFF-FFFF64000000}">
      <tableStyleElement type="wholeTable" size="0" dxfId="560"/>
      <tableStyleElement type="headerRow" dxfId="563"/>
      <tableStyleElement type="firstRowStripe" dxfId="562"/>
      <tableStyleElement type="secondRowStripe" dxfId="561"/>
    </tableStyle>
    <tableStyle name="SILK - SOLD-style 48" pivot="0" count="4" xr9:uid="{00000000-0011-0000-FFFF-FFFF65000000}">
      <tableStyleElement type="wholeTable" size="0" dxfId="556"/>
      <tableStyleElement type="headerRow" dxfId="559"/>
      <tableStyleElement type="firstRowStripe" dxfId="558"/>
      <tableStyleElement type="secondRowStripe" dxfId="557"/>
    </tableStyle>
    <tableStyle name="SILK - SOLD-style 49" pivot="0" count="4" xr9:uid="{00000000-0011-0000-FFFF-FFFF66000000}">
      <tableStyleElement type="wholeTable" size="0" dxfId="552"/>
      <tableStyleElement type="headerRow" dxfId="555"/>
      <tableStyleElement type="firstRowStripe" dxfId="554"/>
      <tableStyleElement type="secondRowStripe" dxfId="553"/>
    </tableStyle>
    <tableStyle name="SILK - SOLD-style 50" pivot="0" count="4" xr9:uid="{00000000-0011-0000-FFFF-FFFF67000000}">
      <tableStyleElement type="wholeTable" size="0" dxfId="548"/>
      <tableStyleElement type="headerRow" dxfId="551"/>
      <tableStyleElement type="firstRowStripe" dxfId="550"/>
      <tableStyleElement type="secondRowStripe" dxfId="549"/>
    </tableStyle>
    <tableStyle name="SILK - SOLD-style 51" pivot="0" count="4" xr9:uid="{00000000-0011-0000-FFFF-FFFF68000000}">
      <tableStyleElement type="wholeTable" size="0" dxfId="544"/>
      <tableStyleElement type="headerRow" dxfId="547"/>
      <tableStyleElement type="firstRowStripe" dxfId="546"/>
      <tableStyleElement type="secondRowStripe" dxfId="545"/>
    </tableStyle>
    <tableStyle name="SILK - PENDING-style" pivot="0" count="4" xr9:uid="{00000000-0011-0000-FFFF-FFFF69000000}">
      <tableStyleElement type="wholeTable" size="0" dxfId="540"/>
      <tableStyleElement type="headerRow" dxfId="543"/>
      <tableStyleElement type="firstRowStripe" dxfId="542"/>
      <tableStyleElement type="secondRowStripe" dxfId="541"/>
    </tableStyle>
    <tableStyle name="SILK - PENDING-style 2" pivot="0" count="4" xr9:uid="{00000000-0011-0000-FFFF-FFFF6A000000}">
      <tableStyleElement type="wholeTable" size="0" dxfId="536"/>
      <tableStyleElement type="headerRow" dxfId="539"/>
      <tableStyleElement type="firstRowStripe" dxfId="538"/>
      <tableStyleElement type="secondRowStripe" dxfId="537"/>
    </tableStyle>
    <tableStyle name="SILK - PENDING-style 3" pivot="0" count="4" xr9:uid="{00000000-0011-0000-FFFF-FFFF6B000000}">
      <tableStyleElement type="wholeTable" size="0" dxfId="532"/>
      <tableStyleElement type="headerRow" dxfId="535"/>
      <tableStyleElement type="firstRowStripe" dxfId="534"/>
      <tableStyleElement type="secondRowStripe" dxfId="533"/>
    </tableStyle>
    <tableStyle name="SILK - PENDING-style 4" pivot="0" count="4" xr9:uid="{00000000-0011-0000-FFFF-FFFF6C000000}">
      <tableStyleElement type="wholeTable" size="0" dxfId="528"/>
      <tableStyleElement type="headerRow" dxfId="531"/>
      <tableStyleElement type="firstRowStripe" dxfId="530"/>
      <tableStyleElement type="secondRowStripe" dxfId="529"/>
    </tableStyle>
    <tableStyle name="SILK - PENDING-style 5" pivot="0" count="4" xr9:uid="{00000000-0011-0000-FFFF-FFFF6D000000}">
      <tableStyleElement type="wholeTable" size="0" dxfId="524"/>
      <tableStyleElement type="headerRow" dxfId="527"/>
      <tableStyleElement type="firstRowStripe" dxfId="526"/>
      <tableStyleElement type="secondRowStripe" dxfId="525"/>
    </tableStyle>
    <tableStyle name="SILK - PENDING-style 6" pivot="0" count="4" xr9:uid="{00000000-0011-0000-FFFF-FFFF6E000000}">
      <tableStyleElement type="wholeTable" size="0" dxfId="520"/>
      <tableStyleElement type="headerRow" dxfId="523"/>
      <tableStyleElement type="firstRowStripe" dxfId="522"/>
      <tableStyleElement type="secondRowStripe" dxfId="521"/>
    </tableStyle>
    <tableStyle name="SILK - PENDING-style 7" pivot="0" count="4" xr9:uid="{00000000-0011-0000-FFFF-FFFF6F000000}">
      <tableStyleElement type="wholeTable" size="0" dxfId="516"/>
      <tableStyleElement type="headerRow" dxfId="519"/>
      <tableStyleElement type="firstRowStripe" dxfId="518"/>
      <tableStyleElement type="secondRowStripe" dxfId="517"/>
    </tableStyle>
    <tableStyle name="SILK - PENDING-style 8" pivot="0" count="4" xr9:uid="{00000000-0011-0000-FFFF-FFFF70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SILK - PENDING-style 9" pivot="0" count="4" xr9:uid="{00000000-0011-0000-FFFF-FFFF71000000}">
      <tableStyleElement type="wholeTable" size="0" dxfId="508"/>
      <tableStyleElement type="headerRow" dxfId="511"/>
      <tableStyleElement type="firstRowStripe" dxfId="510"/>
      <tableStyleElement type="secondRowStripe" dxfId="509"/>
    </tableStyle>
    <tableStyle name="SILK - PENDING-style 10" pivot="0" count="4" xr9:uid="{00000000-0011-0000-FFFF-FFFF72000000}">
      <tableStyleElement type="wholeTable" size="0" dxfId="504"/>
      <tableStyleElement type="headerRow" dxfId="507"/>
      <tableStyleElement type="firstRowStripe" dxfId="506"/>
      <tableStyleElement type="secondRowStripe" dxfId="505"/>
    </tableStyle>
    <tableStyle name="SILK - PENDING-style 11" pivot="0" count="4" xr9:uid="{00000000-0011-0000-FFFF-FFFF73000000}">
      <tableStyleElement type="wholeTable" size="0" dxfId="500"/>
      <tableStyleElement type="headerRow" dxfId="503"/>
      <tableStyleElement type="firstRowStripe" dxfId="502"/>
      <tableStyleElement type="secondRowStripe" dxfId="501"/>
    </tableStyle>
    <tableStyle name="SILK - PENDING-style 12" pivot="0" count="4" xr9:uid="{00000000-0011-0000-FFFF-FFFF74000000}">
      <tableStyleElement type="wholeTable" size="0" dxfId="496"/>
      <tableStyleElement type="headerRow" dxfId="499"/>
      <tableStyleElement type="firstRowStripe" dxfId="498"/>
      <tableStyleElement type="secondRowStripe" dxfId="497"/>
    </tableStyle>
    <tableStyle name="SILK - PENDING-style 13" pivot="0" count="4" xr9:uid="{00000000-0011-0000-FFFF-FFFF75000000}">
      <tableStyleElement type="wholeTable" size="0" dxfId="492"/>
      <tableStyleElement type="headerRow" dxfId="495"/>
      <tableStyleElement type="firstRowStripe" dxfId="494"/>
      <tableStyleElement type="secondRowStripe" dxfId="493"/>
    </tableStyle>
    <tableStyle name="SILK - PENDING-style 14" pivot="0" count="4" xr9:uid="{00000000-0011-0000-FFFF-FFFF76000000}">
      <tableStyleElement type="wholeTable" size="0" dxfId="488"/>
      <tableStyleElement type="headerRow" dxfId="491"/>
      <tableStyleElement type="firstRowStripe" dxfId="490"/>
      <tableStyleElement type="secondRowStripe" dxfId="489"/>
    </tableStyle>
    <tableStyle name="SILK - PENDING-style 15" pivot="0" count="4" xr9:uid="{00000000-0011-0000-FFFF-FFFF77000000}">
      <tableStyleElement type="wholeTable" size="0" dxfId="484"/>
      <tableStyleElement type="headerRow" dxfId="487"/>
      <tableStyleElement type="firstRowStripe" dxfId="486"/>
      <tableStyleElement type="secondRowStripe" dxfId="485"/>
    </tableStyle>
    <tableStyle name="SILK - PENDING-style 16" pivot="0" count="4" xr9:uid="{00000000-0011-0000-FFFF-FFFF78000000}">
      <tableStyleElement type="wholeTable" size="0" dxfId="480"/>
      <tableStyleElement type="headerRow" dxfId="483"/>
      <tableStyleElement type="firstRowStripe" dxfId="482"/>
      <tableStyleElement type="secondRowStripe" dxfId="481"/>
    </tableStyle>
    <tableStyle name="SILK - PENDING-style 17" pivot="0" count="4" xr9:uid="{00000000-0011-0000-FFFF-FFFF79000000}">
      <tableStyleElement type="wholeTable" size="0" dxfId="476"/>
      <tableStyleElement type="headerRow" dxfId="479"/>
      <tableStyleElement type="firstRowStripe" dxfId="478"/>
      <tableStyleElement type="secondRowStripe" dxfId="477"/>
    </tableStyle>
    <tableStyle name="SILK - PENDING-style 18" pivot="0" count="4" xr9:uid="{00000000-0011-0000-FFFF-FFFF7A000000}">
      <tableStyleElement type="wholeTable" size="0" dxfId="472"/>
      <tableStyleElement type="headerRow" dxfId="475"/>
      <tableStyleElement type="firstRowStripe" dxfId="474"/>
      <tableStyleElement type="secondRowStripe" dxfId="473"/>
    </tableStyle>
    <tableStyle name="SILK - PENDING-style 19" pivot="0" count="4" xr9:uid="{00000000-0011-0000-FFFF-FFFF7B000000}">
      <tableStyleElement type="wholeTable" size="0" dxfId="468"/>
      <tableStyleElement type="headerRow" dxfId="471"/>
      <tableStyleElement type="firstRowStripe" dxfId="470"/>
      <tableStyleElement type="secondRowStripe" dxfId="469"/>
    </tableStyle>
    <tableStyle name="SILK - PENDING-style 20" pivot="0" count="4" xr9:uid="{00000000-0011-0000-FFFF-FFFF7C000000}">
      <tableStyleElement type="wholeTable" size="0" dxfId="464"/>
      <tableStyleElement type="headerRow" dxfId="467"/>
      <tableStyleElement type="firstRowStripe" dxfId="466"/>
      <tableStyleElement type="secondRowStripe" dxfId="465"/>
    </tableStyle>
    <tableStyle name="SILK - PENDING-style 21" pivot="0" count="4" xr9:uid="{00000000-0011-0000-FFFF-FFFF7D000000}">
      <tableStyleElement type="wholeTable" size="0" dxfId="460"/>
      <tableStyleElement type="headerRow" dxfId="463"/>
      <tableStyleElement type="firstRowStripe" dxfId="462"/>
      <tableStyleElement type="secondRowStripe" dxfId="461"/>
    </tableStyle>
    <tableStyle name="SILK - PENDING-style 22" pivot="0" count="4" xr9:uid="{00000000-0011-0000-FFFF-FFFF7E000000}">
      <tableStyleElement type="wholeTable" size="0" dxfId="456"/>
      <tableStyleElement type="headerRow" dxfId="459"/>
      <tableStyleElement type="firstRowStripe" dxfId="458"/>
      <tableStyleElement type="secondRowStripe" dxfId="457"/>
    </tableStyle>
    <tableStyle name="SILK - PENDING-style 23" pivot="0" count="4" xr9:uid="{00000000-0011-0000-FFFF-FFFF7F000000}">
      <tableStyleElement type="wholeTable" size="0" dxfId="452"/>
      <tableStyleElement type="headerRow" dxfId="455"/>
      <tableStyleElement type="firstRowStripe" dxfId="454"/>
      <tableStyleElement type="secondRowStripe" dxfId="453"/>
    </tableStyle>
    <tableStyle name="SILK - PENDING-style 24" pivot="0" count="4" xr9:uid="{00000000-0011-0000-FFFF-FFFF80000000}">
      <tableStyleElement type="wholeTable" size="0" dxfId="448"/>
      <tableStyleElement type="headerRow" dxfId="451"/>
      <tableStyleElement type="firstRowStripe" dxfId="450"/>
      <tableStyleElement type="secondRowStripe" dxfId="449"/>
    </tableStyle>
    <tableStyle name="SILK - PENDING-style 25" pivot="0" count="4" xr9:uid="{00000000-0011-0000-FFFF-FFFF81000000}">
      <tableStyleElement type="wholeTable" size="0" dxfId="444"/>
      <tableStyleElement type="headerRow" dxfId="447"/>
      <tableStyleElement type="firstRowStripe" dxfId="446"/>
      <tableStyleElement type="secondRowStripe" dxfId="445"/>
    </tableStyle>
    <tableStyle name="SILK - PENDING-style 26" pivot="0" count="4" xr9:uid="{00000000-0011-0000-FFFF-FFFF82000000}">
      <tableStyleElement type="wholeTable" size="0" dxfId="440"/>
      <tableStyleElement type="headerRow" dxfId="443"/>
      <tableStyleElement type="firstRowStripe" dxfId="442"/>
      <tableStyleElement type="secondRowStripe" dxfId="441"/>
    </tableStyle>
    <tableStyle name="SILK - PENDING-style 27" pivot="0" count="4" xr9:uid="{00000000-0011-0000-FFFF-FFFF83000000}">
      <tableStyleElement type="wholeTable" size="0" dxfId="436"/>
      <tableStyleElement type="headerRow" dxfId="439"/>
      <tableStyleElement type="firstRowStripe" dxfId="438"/>
      <tableStyleElement type="secondRowStripe" dxfId="437"/>
    </tableStyle>
    <tableStyle name="SILK - PENDING-style 28" pivot="0" count="4" xr9:uid="{00000000-0011-0000-FFFF-FFFF84000000}">
      <tableStyleElement type="wholeTable" size="0" dxfId="432"/>
      <tableStyleElement type="headerRow" dxfId="435"/>
      <tableStyleElement type="firstRowStripe" dxfId="434"/>
      <tableStyleElement type="secondRowStripe" dxfId="433"/>
    </tableStyle>
    <tableStyle name="SILK - PENDING-style 29" pivot="0" count="4" xr9:uid="{00000000-0011-0000-FFFF-FFFF85000000}">
      <tableStyleElement type="wholeTable" size="0" dxfId="428"/>
      <tableStyleElement type="headerRow" dxfId="431"/>
      <tableStyleElement type="firstRowStripe" dxfId="430"/>
      <tableStyleElement type="secondRowStripe" dxfId="429"/>
    </tableStyle>
    <tableStyle name="SILK - PENDING-style 30" pivot="0" count="4" xr9:uid="{00000000-0011-0000-FFFF-FFFF86000000}">
      <tableStyleElement type="wholeTable" size="0" dxfId="424"/>
      <tableStyleElement type="headerRow" dxfId="427"/>
      <tableStyleElement type="firstRowStripe" dxfId="426"/>
      <tableStyleElement type="secondRowStripe" dxfId="425"/>
    </tableStyle>
    <tableStyle name="SILK - PENDING-style 31" pivot="0" count="4" xr9:uid="{00000000-0011-0000-FFFF-FFFF87000000}">
      <tableStyleElement type="wholeTable" size="0" dxfId="420"/>
      <tableStyleElement type="headerRow" dxfId="423"/>
      <tableStyleElement type="firstRowStripe" dxfId="422"/>
      <tableStyleElement type="secondRowStripe" dxfId="421"/>
    </tableStyle>
    <tableStyle name="SILK - PENDING-style 32" pivot="0" count="4" xr9:uid="{00000000-0011-0000-FFFF-FFFF88000000}">
      <tableStyleElement type="wholeTable" size="0" dxfId="416"/>
      <tableStyleElement type="headerRow" dxfId="419"/>
      <tableStyleElement type="firstRowStripe" dxfId="418"/>
      <tableStyleElement type="secondRowStripe" dxfId="417"/>
    </tableStyle>
    <tableStyle name="SILK - PENDING-style 33" pivot="0" count="4" xr9:uid="{00000000-0011-0000-FFFF-FFFF89000000}">
      <tableStyleElement type="wholeTable" size="0" dxfId="412"/>
      <tableStyleElement type="headerRow" dxfId="415"/>
      <tableStyleElement type="firstRowStripe" dxfId="414"/>
      <tableStyleElement type="secondRowStripe" dxfId="413"/>
    </tableStyle>
    <tableStyle name="SILK - PENDING-style 34" pivot="0" count="4" xr9:uid="{00000000-0011-0000-FFFF-FFFF8A000000}">
      <tableStyleElement type="wholeTable" size="0" dxfId="408"/>
      <tableStyleElement type="headerRow" dxfId="411"/>
      <tableStyleElement type="firstRowStripe" dxfId="410"/>
      <tableStyleElement type="secondRowStripe" dxfId="409"/>
    </tableStyle>
    <tableStyle name="SILK - PENDING-style 35" pivot="0" count="4" xr9:uid="{00000000-0011-0000-FFFF-FFFF8B000000}">
      <tableStyleElement type="wholeTable" size="0" dxfId="404"/>
      <tableStyleElement type="headerRow" dxfId="407"/>
      <tableStyleElement type="firstRowStripe" dxfId="406"/>
      <tableStyleElement type="secondRowStripe" dxfId="405"/>
    </tableStyle>
    <tableStyle name="SILK - PENDING-style 36" pivot="0" count="4" xr9:uid="{00000000-0011-0000-FFFF-FFFF8C000000}">
      <tableStyleElement type="wholeTable" size="0" dxfId="400"/>
      <tableStyleElement type="headerRow" dxfId="403"/>
      <tableStyleElement type="firstRowStripe" dxfId="402"/>
      <tableStyleElement type="secondRowStripe" dxfId="401"/>
    </tableStyle>
    <tableStyle name="SILK - PENDING-style 37" pivot="0" count="4" xr9:uid="{00000000-0011-0000-FFFF-FFFF8D000000}">
      <tableStyleElement type="wholeTable" size="0" dxfId="396"/>
      <tableStyleElement type="headerRow" dxfId="399"/>
      <tableStyleElement type="firstRowStripe" dxfId="398"/>
      <tableStyleElement type="secondRowStripe" dxfId="397"/>
    </tableStyle>
    <tableStyle name="SILK - PENDING-style 38" pivot="0" count="4" xr9:uid="{00000000-0011-0000-FFFF-FFFF8E000000}">
      <tableStyleElement type="wholeTable" size="0" dxfId="392"/>
      <tableStyleElement type="headerRow" dxfId="395"/>
      <tableStyleElement type="firstRowStripe" dxfId="394"/>
      <tableStyleElement type="secondRowStripe" dxfId="393"/>
    </tableStyle>
    <tableStyle name="SILK - PENDING-style 39" pivot="0" count="4" xr9:uid="{00000000-0011-0000-FFFF-FFFF8F000000}">
      <tableStyleElement type="wholeTable" size="0" dxfId="388"/>
      <tableStyleElement type="headerRow" dxfId="391"/>
      <tableStyleElement type="firstRowStripe" dxfId="390"/>
      <tableStyleElement type="secondRowStripe" dxfId="389"/>
    </tableStyle>
    <tableStyle name="SILK - PENDING-style 40" pivot="0" count="4" xr9:uid="{00000000-0011-0000-FFFF-FFFF90000000}">
      <tableStyleElement type="wholeTable" size="0" dxfId="384"/>
      <tableStyleElement type="headerRow" dxfId="387"/>
      <tableStyleElement type="firstRowStripe" dxfId="386"/>
      <tableStyleElement type="secondRowStripe" dxfId="385"/>
    </tableStyle>
    <tableStyle name="SILK - PENDING-style 41" pivot="0" count="4" xr9:uid="{00000000-0011-0000-FFFF-FFFF91000000}">
      <tableStyleElement type="wholeTable" size="0" dxfId="380"/>
      <tableStyleElement type="headerRow" dxfId="383"/>
      <tableStyleElement type="firstRowStripe" dxfId="382"/>
      <tableStyleElement type="secondRowStripe" dxfId="381"/>
    </tableStyle>
    <tableStyle name="SILK - PENDING-style 42" pivot="0" count="4" xr9:uid="{00000000-0011-0000-FFFF-FFFF92000000}">
      <tableStyleElement type="wholeTable" size="0" dxfId="376"/>
      <tableStyleElement type="headerRow" dxfId="379"/>
      <tableStyleElement type="firstRowStripe" dxfId="378"/>
      <tableStyleElement type="secondRowStripe" dxfId="377"/>
    </tableStyle>
    <tableStyle name="SILK - PENDING-style 43" pivot="0" count="4" xr9:uid="{00000000-0011-0000-FFFF-FFFF93000000}">
      <tableStyleElement type="wholeTable" size="0" dxfId="372"/>
      <tableStyleElement type="headerRow" dxfId="375"/>
      <tableStyleElement type="firstRowStripe" dxfId="374"/>
      <tableStyleElement type="secondRowStripe" dxfId="373"/>
    </tableStyle>
    <tableStyle name="SILK - PENDING-style 44" pivot="0" count="4" xr9:uid="{00000000-0011-0000-FFFF-FFFF94000000}">
      <tableStyleElement type="wholeTable" size="0" dxfId="368"/>
      <tableStyleElement type="headerRow" dxfId="371"/>
      <tableStyleElement type="firstRowStripe" dxfId="370"/>
      <tableStyleElement type="secondRowStripe" dxfId="369"/>
    </tableStyle>
    <tableStyle name="SILK - PENDING-style 45" pivot="0" count="4" xr9:uid="{00000000-0011-0000-FFFF-FFFF95000000}">
      <tableStyleElement type="wholeTable" size="0" dxfId="364"/>
      <tableStyleElement type="headerRow" dxfId="367"/>
      <tableStyleElement type="firstRowStripe" dxfId="366"/>
      <tableStyleElement type="secondRowStripe" dxfId="365"/>
    </tableStyle>
    <tableStyle name="SILK - PENDING-style 46" pivot="0" count="4" xr9:uid="{00000000-0011-0000-FFFF-FFFF96000000}">
      <tableStyleElement type="wholeTable" size="0" dxfId="360"/>
      <tableStyleElement type="headerRow" dxfId="363"/>
      <tableStyleElement type="firstRowStripe" dxfId="362"/>
      <tableStyleElement type="secondRowStripe" dxfId="361"/>
    </tableStyle>
    <tableStyle name="SILK - PENDING-style 47" pivot="0" count="4" xr9:uid="{00000000-0011-0000-FFFF-FFFF97000000}">
      <tableStyleElement type="wholeTable" size="0" dxfId="356"/>
      <tableStyleElement type="headerRow" dxfId="359"/>
      <tableStyleElement type="firstRowStripe" dxfId="358"/>
      <tableStyleElement type="secondRowStripe" dxfId="357"/>
    </tableStyle>
    <tableStyle name="SILK - PENDING-style 48" pivot="0" count="4" xr9:uid="{00000000-0011-0000-FFFF-FFFF98000000}">
      <tableStyleElement type="wholeTable" size="0" dxfId="352"/>
      <tableStyleElement type="headerRow" dxfId="355"/>
      <tableStyleElement type="firstRowStripe" dxfId="354"/>
      <tableStyleElement type="secondRowStripe" dxfId="353"/>
    </tableStyle>
    <tableStyle name="SILK - PENDING-style 49" pivot="0" count="4" xr9:uid="{00000000-0011-0000-FFFF-FFFF99000000}">
      <tableStyleElement type="wholeTable" size="0" dxfId="348"/>
      <tableStyleElement type="headerRow" dxfId="351"/>
      <tableStyleElement type="firstRowStripe" dxfId="350"/>
      <tableStyleElement type="secondRowStripe" dxfId="349"/>
    </tableStyle>
    <tableStyle name="SILK - PENDING-style 50" pivot="0" count="4" xr9:uid="{00000000-0011-0000-FFFF-FFFF9A000000}">
      <tableStyleElement type="wholeTable" size="0" dxfId="344"/>
      <tableStyleElement type="headerRow" dxfId="347"/>
      <tableStyleElement type="firstRowStripe" dxfId="346"/>
      <tableStyleElement type="secondRowStripe" dxfId="345"/>
    </tableStyle>
    <tableStyle name="SILK - PENDING-style 51" pivot="0" count="4" xr9:uid="{00000000-0011-0000-FFFF-FFFF9B000000}">
      <tableStyleElement type="wholeTable" size="0" dxfId="340"/>
      <tableStyleElement type="headerRow" dxfId="343"/>
      <tableStyleElement type="firstRowStripe" dxfId="342"/>
      <tableStyleElement type="secondRowStripe" dxfId="341"/>
    </tableStyle>
    <tableStyle name="LACE  - STOCK OVERVIEW-style" pivot="0" count="3" xr9:uid="{00000000-0011-0000-FFFF-FFFF9C000000}">
      <tableStyleElement type="headerRow" dxfId="339"/>
      <tableStyleElement type="firstRowStripe" dxfId="338"/>
      <tableStyleElement type="secondRowStripe" dxfId="337"/>
    </tableStyle>
    <tableStyle name="LACE - ALL-style" pivot="0" count="5" xr9:uid="{00000000-0011-0000-FFFF-FFFF9D000000}">
      <tableStyleElement type="wholeTable" size="0" dxfId="332"/>
      <tableStyleElement type="headerRow" dxfId="336"/>
      <tableStyleElement type="totalRow" dxfId="333"/>
      <tableStyleElement type="firstRowStripe" dxfId="335"/>
      <tableStyleElement type="secondRowStripe" dxfId="334"/>
    </tableStyle>
    <tableStyle name="LACE - ALL-style 2" pivot="0" count="4" xr9:uid="{00000000-0011-0000-FFFF-FFFF9E000000}">
      <tableStyleElement type="wholeTable" size="0" dxfId="328"/>
      <tableStyleElement type="headerRow" dxfId="331"/>
      <tableStyleElement type="firstRowStripe" dxfId="330"/>
      <tableStyleElement type="secondRowStripe" dxfId="329"/>
    </tableStyle>
    <tableStyle name="LACE - ALL-style 3" pivot="0" count="5" xr9:uid="{00000000-0011-0000-FFFF-FFFF9F000000}">
      <tableStyleElement type="wholeTable" size="0" dxfId="323"/>
      <tableStyleElement type="headerRow" dxfId="327"/>
      <tableStyleElement type="totalRow" dxfId="324"/>
      <tableStyleElement type="firstRowStripe" dxfId="326"/>
      <tableStyleElement type="secondRowStripe" dxfId="325"/>
    </tableStyle>
    <tableStyle name="LACE - ALL-style 4" pivot="0" count="4" xr9:uid="{00000000-0011-0000-FFFF-FFFFA0000000}">
      <tableStyleElement type="wholeTable" size="0" dxfId="319"/>
      <tableStyleElement type="headerRow" dxfId="322"/>
      <tableStyleElement type="firstRowStripe" dxfId="321"/>
      <tableStyleElement type="secondRowStripe" dxfId="320"/>
    </tableStyle>
    <tableStyle name="LACE - ALL-style 5" pivot="0" count="4" xr9:uid="{00000000-0011-0000-FFFF-FFFFA1000000}">
      <tableStyleElement type="wholeTable" size="0" dxfId="315"/>
      <tableStyleElement type="headerRow" dxfId="318"/>
      <tableStyleElement type="firstRowStripe" dxfId="317"/>
      <tableStyleElement type="secondRowStripe" dxfId="316"/>
    </tableStyle>
    <tableStyle name="LACE - PENDING-style" pivot="0" count="4" xr9:uid="{00000000-0011-0000-FFFF-FFFFA2000000}">
      <tableStyleElement type="wholeTable" size="0" dxfId="311"/>
      <tableStyleElement type="headerRow" dxfId="314"/>
      <tableStyleElement type="firstRowStripe" dxfId="313"/>
      <tableStyleElement type="secondRowStripe" dxfId="312"/>
    </tableStyle>
    <tableStyle name="LACE - PENDING-style 2" pivot="0" count="4" xr9:uid="{00000000-0011-0000-FFFF-FFFFA3000000}">
      <tableStyleElement type="wholeTable" size="0" dxfId="307"/>
      <tableStyleElement type="headerRow" dxfId="310"/>
      <tableStyleElement type="firstRowStripe" dxfId="309"/>
      <tableStyleElement type="secondRowStripe" dxfId="308"/>
    </tableStyle>
    <tableStyle name="LACE - PENDING-style 3" pivot="0" count="4" xr9:uid="{00000000-0011-0000-FFFF-FFFFA4000000}">
      <tableStyleElement type="wholeTable" size="0" dxfId="303"/>
      <tableStyleElement type="headerRow" dxfId="306"/>
      <tableStyleElement type="firstRowStripe" dxfId="305"/>
      <tableStyleElement type="secondRowStripe" dxfId="304"/>
    </tableStyle>
    <tableStyle name="LACE - PENDING-style 4" pivot="0" count="4" xr9:uid="{00000000-0011-0000-FFFF-FFFFA5000000}">
      <tableStyleElement type="wholeTable" size="0" dxfId="299"/>
      <tableStyleElement type="headerRow" dxfId="302"/>
      <tableStyleElement type="firstRowStripe" dxfId="301"/>
      <tableStyleElement type="secondRowStripe" dxfId="300"/>
    </tableStyle>
    <tableStyle name="LACE - PENDING-style 5" pivot="0" count="4" xr9:uid="{00000000-0011-0000-FFFF-FFFFA6000000}">
      <tableStyleElement type="wholeTable" size="0" dxfId="295"/>
      <tableStyleElement type="headerRow" dxfId="298"/>
      <tableStyleElement type="firstRowStripe" dxfId="297"/>
      <tableStyleElement type="secondRowStripe" dxfId="296"/>
    </tableStyle>
    <tableStyle name="LACE - PENDING-style 6" pivot="0" count="4" xr9:uid="{00000000-0011-0000-FFFF-FFFFA7000000}">
      <tableStyleElement type="wholeTable" size="0" dxfId="291"/>
      <tableStyleElement type="headerRow" dxfId="294"/>
      <tableStyleElement type="firstRowStripe" dxfId="293"/>
      <tableStyleElement type="secondRowStripe" dxfId="292"/>
    </tableStyle>
    <tableStyle name="LACE - PENDING-style 7" pivot="0" count="4" xr9:uid="{00000000-0011-0000-FFFF-FFFFA8000000}">
      <tableStyleElement type="wholeTable" size="0" dxfId="287"/>
      <tableStyleElement type="headerRow" dxfId="290"/>
      <tableStyleElement type="firstRowStripe" dxfId="289"/>
      <tableStyleElement type="secondRowStripe" dxfId="288"/>
    </tableStyle>
    <tableStyle name="LACE - PENDING-style 8" pivot="0" count="4" xr9:uid="{00000000-0011-0000-FFFF-FFFFA9000000}">
      <tableStyleElement type="wholeTable" size="0" dxfId="283"/>
      <tableStyleElement type="headerRow" dxfId="286"/>
      <tableStyleElement type="firstRowStripe" dxfId="285"/>
      <tableStyleElement type="secondRowStripe" dxfId="284"/>
    </tableStyle>
    <tableStyle name="LACE - PENDING-style 9" pivot="0" count="4" xr9:uid="{00000000-0011-0000-FFFF-FFFFAA000000}">
      <tableStyleElement type="wholeTable" size="0" dxfId="279"/>
      <tableStyleElement type="headerRow" dxfId="282"/>
      <tableStyleElement type="firstRowStripe" dxfId="281"/>
      <tableStyleElement type="secondRowStripe" dxfId="280"/>
    </tableStyle>
    <tableStyle name="LACE - PENDING-style 10" pivot="0" count="4" xr9:uid="{00000000-0011-0000-FFFF-FFFFAB000000}">
      <tableStyleElement type="wholeTable" size="0" dxfId="275"/>
      <tableStyleElement type="headerRow" dxfId="278"/>
      <tableStyleElement type="firstRowStripe" dxfId="277"/>
      <tableStyleElement type="secondRowStripe" dxfId="276"/>
    </tableStyle>
    <tableStyle name="LACE - SOLD-style" pivot="0" count="4" xr9:uid="{00000000-0011-0000-FFFF-FFFFAC000000}">
      <tableStyleElement type="wholeTable" size="0" dxfId="271"/>
      <tableStyleElement type="headerRow" dxfId="274"/>
      <tableStyleElement type="firstRowStripe" dxfId="273"/>
      <tableStyleElement type="secondRowStripe" dxfId="272"/>
    </tableStyle>
    <tableStyle name="LACE - SOLD-style 2" pivot="0" count="4" xr9:uid="{00000000-0011-0000-FFFF-FFFFAD000000}">
      <tableStyleElement type="wholeTable" size="0" dxfId="267"/>
      <tableStyleElement type="headerRow" dxfId="270"/>
      <tableStyleElement type="firstRowStripe" dxfId="269"/>
      <tableStyleElement type="secondRowStripe" dxfId="268"/>
    </tableStyle>
    <tableStyle name="LACE - SOLD-style 3" pivot="0" count="4" xr9:uid="{00000000-0011-0000-FFFF-FFFFAE000000}">
      <tableStyleElement type="wholeTable" size="0" dxfId="263"/>
      <tableStyleElement type="headerRow" dxfId="266"/>
      <tableStyleElement type="firstRowStripe" dxfId="265"/>
      <tableStyleElement type="secondRowStripe" dxfId="264"/>
    </tableStyle>
    <tableStyle name="LACE - SOLD-style 4" pivot="0" count="4" xr9:uid="{00000000-0011-0000-FFFF-FFFFAF000000}">
      <tableStyleElement type="wholeTable" size="0" dxfId="259"/>
      <tableStyleElement type="headerRow" dxfId="262"/>
      <tableStyleElement type="firstRowStripe" dxfId="261"/>
      <tableStyleElement type="secondRowStripe" dxfId="260"/>
    </tableStyle>
    <tableStyle name="LACE - SOLD-style 5" pivot="0" count="4" xr9:uid="{00000000-0011-0000-FFFF-FFFFB0000000}">
      <tableStyleElement type="wholeTable" size="0" dxfId="255"/>
      <tableStyleElement type="headerRow" dxfId="258"/>
      <tableStyleElement type="firstRowStripe" dxfId="257"/>
      <tableStyleElement type="secondRowStripe" dxfId="256"/>
    </tableStyle>
    <tableStyle name="LACE - SOLD-style 6" pivot="0" count="4" xr9:uid="{00000000-0011-0000-FFFF-FFFFB1000000}">
      <tableStyleElement type="wholeTable" size="0" dxfId="251"/>
      <tableStyleElement type="headerRow" dxfId="254"/>
      <tableStyleElement type="firstRowStripe" dxfId="253"/>
      <tableStyleElement type="secondRowStripe" dxfId="252"/>
    </tableStyle>
    <tableStyle name="LACE - SOLD-style 7" pivot="0" count="2" xr9:uid="{00000000-0011-0000-FFFF-FFFFB2000000}">
      <tableStyleElement type="firstRowStripe" dxfId="250"/>
      <tableStyleElement type="secondRowStripe" dxfId="249"/>
    </tableStyle>
    <tableStyle name="LACE - SOLD-style 8" pivot="0" count="2" xr9:uid="{00000000-0011-0000-FFFF-FFFFB3000000}">
      <tableStyleElement type="firstRowStripe" dxfId="248"/>
      <tableStyleElement type="secondRowStripe" dxfId="247"/>
    </tableStyle>
    <tableStyle name="LACE - SOLD-style 9" pivot="0" count="2" xr9:uid="{00000000-0011-0000-FFFF-FFFFB4000000}">
      <tableStyleElement type="firstRowStripe" dxfId="246"/>
      <tableStyleElement type="secondRowStripe" dxfId="245"/>
    </tableStyle>
    <tableStyle name="LACE - SOLD-style 10" pivot="0" count="2" xr9:uid="{00000000-0011-0000-FFFF-FFFFB5000000}">
      <tableStyleElement type="firstRowStripe" dxfId="244"/>
      <tableStyleElement type="secondRowStripe" dxfId="243"/>
    </tableStyle>
    <tableStyle name="CEMB - STOCK OVERVIEW-style" pivot="0" count="3" xr9:uid="{00000000-0011-0000-FFFF-FFFFB6000000}">
      <tableStyleElement type="headerRow" dxfId="242"/>
      <tableStyleElement type="firstRowStripe" dxfId="241"/>
      <tableStyleElement type="secondRowStripe" dxfId="240"/>
    </tableStyle>
    <tableStyle name="CEMB - ALL-style" pivot="0" count="4" xr9:uid="{00000000-0011-0000-FFFF-FFFFB7000000}">
      <tableStyleElement type="wholeTable" size="0" dxfId="236"/>
      <tableStyleElement type="headerRow" dxfId="239"/>
      <tableStyleElement type="firstRowStripe" dxfId="238"/>
      <tableStyleElement type="secondRowStripe" dxfId="237"/>
    </tableStyle>
    <tableStyle name="CEMB - ALL-style 2" pivot="0" count="4" xr9:uid="{00000000-0011-0000-FFFF-FFFFB8000000}">
      <tableStyleElement type="wholeTable" size="0" dxfId="232"/>
      <tableStyleElement type="headerRow" dxfId="235"/>
      <tableStyleElement type="firstRowStripe" dxfId="234"/>
      <tableStyleElement type="secondRowStripe" dxfId="233"/>
    </tableStyle>
    <tableStyle name="CEMB - ALL-style 3" pivot="0" count="4" xr9:uid="{00000000-0011-0000-FFFF-FFFFB9000000}">
      <tableStyleElement type="wholeTable" size="0" dxfId="228"/>
      <tableStyleElement type="headerRow" dxfId="231"/>
      <tableStyleElement type="firstRowStripe" dxfId="230"/>
      <tableStyleElement type="secondRowStripe" dxfId="229"/>
    </tableStyle>
    <tableStyle name="CEMB - ALL-style 4" pivot="0" count="4" xr9:uid="{00000000-0011-0000-FFFF-FFFFBA000000}">
      <tableStyleElement type="wholeTable" size="0" dxfId="224"/>
      <tableStyleElement type="headerRow" dxfId="227"/>
      <tableStyleElement type="firstRowStripe" dxfId="226"/>
      <tableStyleElement type="secondRowStripe" dxfId="225"/>
    </tableStyle>
    <tableStyle name="CEMB - ALL-style 5" pivot="0" count="4" xr9:uid="{00000000-0011-0000-FFFF-FFFFBB000000}">
      <tableStyleElement type="wholeTable" size="0" dxfId="220"/>
      <tableStyleElement type="headerRow" dxfId="223"/>
      <tableStyleElement type="firstRowStripe" dxfId="222"/>
      <tableStyleElement type="secondRowStripe" dxfId="221"/>
    </tableStyle>
    <tableStyle name="CEMB - PENDING-style" pivot="0" count="4" xr9:uid="{00000000-0011-0000-FFFF-FFFFBC000000}">
      <tableStyleElement type="wholeTable" size="0" dxfId="216"/>
      <tableStyleElement type="headerRow" dxfId="219"/>
      <tableStyleElement type="firstRowStripe" dxfId="218"/>
      <tableStyleElement type="secondRowStripe" dxfId="217"/>
    </tableStyle>
    <tableStyle name="CEMB - PENDING-style 2" pivot="0" count="5" xr9:uid="{00000000-0011-0000-FFFF-FFFFBD000000}">
      <tableStyleElement type="wholeTable" size="0" dxfId="211"/>
      <tableStyleElement type="headerRow" dxfId="215"/>
      <tableStyleElement type="totalRow" dxfId="212"/>
      <tableStyleElement type="firstRowStripe" dxfId="214"/>
      <tableStyleElement type="secondRowStripe" dxfId="213"/>
    </tableStyle>
    <tableStyle name="CEMB - PENDING-style 3" pivot="0" count="5" xr9:uid="{00000000-0011-0000-FFFF-FFFFBE000000}">
      <tableStyleElement type="wholeTable" size="0" dxfId="206"/>
      <tableStyleElement type="headerRow" dxfId="210"/>
      <tableStyleElement type="totalRow" dxfId="207"/>
      <tableStyleElement type="firstRowStripe" dxfId="209"/>
      <tableStyleElement type="secondRowStripe" dxfId="208"/>
    </tableStyle>
    <tableStyle name="CEMB - PENDING-style 4" pivot="0" count="4" xr9:uid="{00000000-0011-0000-FFFF-FFFFBF000000}">
      <tableStyleElement type="wholeTable" size="0" dxfId="202"/>
      <tableStyleElement type="headerRow" dxfId="205"/>
      <tableStyleElement type="firstRowStripe" dxfId="204"/>
      <tableStyleElement type="secondRowStripe" dxfId="203"/>
    </tableStyle>
    <tableStyle name="CEMB - PENDING-style 5" pivot="0" count="5" xr9:uid="{00000000-0011-0000-FFFF-FFFFC0000000}">
      <tableStyleElement type="wholeTable" size="0" dxfId="197"/>
      <tableStyleElement type="headerRow" dxfId="201"/>
      <tableStyleElement type="totalRow" dxfId="198"/>
      <tableStyleElement type="firstRowStripe" dxfId="200"/>
      <tableStyleElement type="secondRowStripe" dxfId="199"/>
    </tableStyle>
    <tableStyle name="CEMB - PENDING-style 6" pivot="0" count="5" xr9:uid="{00000000-0011-0000-FFFF-FFFFC1000000}">
      <tableStyleElement type="wholeTable" size="0" dxfId="192"/>
      <tableStyleElement type="headerRow" dxfId="196"/>
      <tableStyleElement type="totalRow" dxfId="193"/>
      <tableStyleElement type="firstRowStripe" dxfId="195"/>
      <tableStyleElement type="secondRowStripe" dxfId="194"/>
    </tableStyle>
    <tableStyle name="CEMB - PENDING-style 7" pivot="0" count="4" xr9:uid="{00000000-0011-0000-FFFF-FFFFC2000000}">
      <tableStyleElement type="wholeTable" size="0" dxfId="188"/>
      <tableStyleElement type="headerRow" dxfId="191"/>
      <tableStyleElement type="firstRowStripe" dxfId="190"/>
      <tableStyleElement type="secondRowStripe" dxfId="189"/>
    </tableStyle>
    <tableStyle name="CEMB - PENDING-style 8" pivot="0" count="5" xr9:uid="{00000000-0011-0000-FFFF-FFFFC3000000}">
      <tableStyleElement type="wholeTable" size="0" dxfId="183"/>
      <tableStyleElement type="headerRow" dxfId="187"/>
      <tableStyleElement type="totalRow" dxfId="184"/>
      <tableStyleElement type="firstRowStripe" dxfId="186"/>
      <tableStyleElement type="secondRowStripe" dxfId="185"/>
    </tableStyle>
    <tableStyle name="CEMB - PENDING-style 9" pivot="0" count="5" xr9:uid="{00000000-0011-0000-FFFF-FFFFC4000000}">
      <tableStyleElement type="wholeTable" size="0" dxfId="178"/>
      <tableStyleElement type="headerRow" dxfId="182"/>
      <tableStyleElement type="totalRow" dxfId="179"/>
      <tableStyleElement type="firstRowStripe" dxfId="181"/>
      <tableStyleElement type="secondRowStripe" dxfId="180"/>
    </tableStyle>
    <tableStyle name="CEMB - PENDING-style 10" pivot="0" count="4" xr9:uid="{00000000-0011-0000-FFFF-FFFFC5000000}">
      <tableStyleElement type="wholeTable" size="0" dxfId="174"/>
      <tableStyleElement type="headerRow" dxfId="177"/>
      <tableStyleElement type="firstRowStripe" dxfId="176"/>
      <tableStyleElement type="secondRowStripe" dxfId="175"/>
    </tableStyle>
    <tableStyle name="CEMB - PENDING-style 11" pivot="0" count="5" xr9:uid="{00000000-0011-0000-FFFF-FFFFC6000000}">
      <tableStyleElement type="wholeTable" size="0" dxfId="169"/>
      <tableStyleElement type="headerRow" dxfId="173"/>
      <tableStyleElement type="totalRow" dxfId="170"/>
      <tableStyleElement type="firstRowStripe" dxfId="172"/>
      <tableStyleElement type="secondRowStripe" dxfId="171"/>
    </tableStyle>
    <tableStyle name="CEMB - PENDING-style 12" pivot="0" count="5" xr9:uid="{00000000-0011-0000-FFFF-FFFFC7000000}">
      <tableStyleElement type="wholeTable" size="0" dxfId="164"/>
      <tableStyleElement type="headerRow" dxfId="168"/>
      <tableStyleElement type="totalRow" dxfId="165"/>
      <tableStyleElement type="firstRowStripe" dxfId="167"/>
      <tableStyleElement type="secondRowStripe" dxfId="166"/>
    </tableStyle>
    <tableStyle name="CEMB - SOLD-style" pivot="0" count="4" xr9:uid="{00000000-0011-0000-FFFF-FFFFC8000000}">
      <tableStyleElement type="wholeTable" size="0" dxfId="160"/>
      <tableStyleElement type="headerRow" dxfId="163"/>
      <tableStyleElement type="firstRowStripe" dxfId="162"/>
      <tableStyleElement type="secondRowStripe" dxfId="161"/>
    </tableStyle>
    <tableStyle name="CEMB - SOLD-style 2" pivot="0" count="5" xr9:uid="{00000000-0011-0000-FFFF-FFFFC9000000}">
      <tableStyleElement type="wholeTable" size="0" dxfId="155"/>
      <tableStyleElement type="headerRow" dxfId="159"/>
      <tableStyleElement type="totalRow" dxfId="156"/>
      <tableStyleElement type="firstRowStripe" dxfId="158"/>
      <tableStyleElement type="secondRowStripe" dxfId="157"/>
    </tableStyle>
    <tableStyle name="CEMB - SOLD-style 3" pivot="0" count="5" xr9:uid="{00000000-0011-0000-FFFF-FFFFCA000000}">
      <tableStyleElement type="wholeTable" size="0" dxfId="150"/>
      <tableStyleElement type="headerRow" dxfId="154"/>
      <tableStyleElement type="totalRow" dxfId="151"/>
      <tableStyleElement type="firstRowStripe" dxfId="153"/>
      <tableStyleElement type="secondRowStripe" dxfId="152"/>
    </tableStyle>
    <tableStyle name="CEMB - SOLD-style 4" pivot="0" count="4" xr9:uid="{00000000-0011-0000-FFFF-FFFFCB000000}">
      <tableStyleElement type="wholeTable" size="0" dxfId="146"/>
      <tableStyleElement type="headerRow" dxfId="149"/>
      <tableStyleElement type="firstRowStripe" dxfId="148"/>
      <tableStyleElement type="secondRowStripe" dxfId="147"/>
    </tableStyle>
    <tableStyle name="CEMB - SOLD-style 5" pivot="0" count="5" xr9:uid="{00000000-0011-0000-FFFF-FFFFCC000000}">
      <tableStyleElement type="wholeTable" size="0" dxfId="141"/>
      <tableStyleElement type="headerRow" dxfId="145"/>
      <tableStyleElement type="totalRow" dxfId="142"/>
      <tableStyleElement type="firstRowStripe" dxfId="144"/>
      <tableStyleElement type="secondRowStripe" dxfId="143"/>
    </tableStyle>
    <tableStyle name="CEMB - SOLD-style 6" pivot="0" count="5" xr9:uid="{00000000-0011-0000-FFFF-FFFFCD000000}">
      <tableStyleElement type="wholeTable" size="0" dxfId="136"/>
      <tableStyleElement type="headerRow" dxfId="140"/>
      <tableStyleElement type="totalRow" dxfId="137"/>
      <tableStyleElement type="firstRowStripe" dxfId="139"/>
      <tableStyleElement type="secondRowStripe" dxfId="138"/>
    </tableStyle>
    <tableStyle name="CEMB - SOLD-style 7" pivot="0" count="5" xr9:uid="{00000000-0011-0000-FFFF-FFFFCE000000}">
      <tableStyleElement type="wholeTable" size="0" dxfId="131"/>
      <tableStyleElement type="headerRow" dxfId="135"/>
      <tableStyleElement type="totalRow" dxfId="132"/>
      <tableStyleElement type="firstRowStripe" dxfId="134"/>
      <tableStyleElement type="secondRowStripe" dxfId="133"/>
    </tableStyle>
    <tableStyle name="CEMB - SOLD-style 8" pivot="0" count="5" xr9:uid="{00000000-0011-0000-FFFF-FFFFCF000000}">
      <tableStyleElement type="wholeTable" size="0" dxfId="126"/>
      <tableStyleElement type="headerRow" dxfId="130"/>
      <tableStyleElement type="totalRow" dxfId="127"/>
      <tableStyleElement type="firstRowStripe" dxfId="129"/>
      <tableStyleElement type="secondRowStripe" dxfId="128"/>
    </tableStyle>
    <tableStyle name="CEMB - SOLD-style 9" pivot="0" count="5" xr9:uid="{00000000-0011-0000-FFFF-FFFFD0000000}">
      <tableStyleElement type="wholeTable" size="0" dxfId="121"/>
      <tableStyleElement type="headerRow" dxfId="125"/>
      <tableStyleElement type="totalRow" dxfId="122"/>
      <tableStyleElement type="firstRowStripe" dxfId="124"/>
      <tableStyleElement type="secondRowStripe" dxfId="123"/>
    </tableStyle>
    <tableStyle name="CEMB - SOLD-style 10" pivot="0" count="5" xr9:uid="{00000000-0011-0000-FFFF-FFFFD1000000}">
      <tableStyleElement type="wholeTable" size="0" dxfId="116"/>
      <tableStyleElement type="headerRow" dxfId="120"/>
      <tableStyleElement type="totalRow" dxfId="117"/>
      <tableStyleElement type="firstRowStripe" dxfId="119"/>
      <tableStyleElement type="secondRowStripe" dxfId="118"/>
    </tableStyle>
    <tableStyle name="EMBROIDERY - STOCK OVERVIEW -style" pivot="0" count="3" xr9:uid="{00000000-0011-0000-FFFF-FFFFD2000000}">
      <tableStyleElement type="headerRow" dxfId="115"/>
      <tableStyleElement type="firstRowStripe" dxfId="114"/>
      <tableStyleElement type="secondRowStripe" dxfId="113"/>
    </tableStyle>
    <tableStyle name="EMBROIDERY - ALL-style" pivot="0" count="4" xr9:uid="{00000000-0011-0000-FFFF-FFFFD3000000}">
      <tableStyleElement type="wholeTable" size="0" dxfId="109"/>
      <tableStyleElement type="headerRow" dxfId="112"/>
      <tableStyleElement type="firstRowStripe" dxfId="111"/>
      <tableStyleElement type="secondRowStripe" dxfId="110"/>
    </tableStyle>
    <tableStyle name="EMBROIDERY - ALL-style 2" pivot="0" count="4" xr9:uid="{00000000-0011-0000-FFFF-FFFFD4000000}">
      <tableStyleElement type="wholeTable" size="0" dxfId="105"/>
      <tableStyleElement type="headerRow" dxfId="108"/>
      <tableStyleElement type="firstRowStripe" dxfId="107"/>
      <tableStyleElement type="secondRowStripe" dxfId="106"/>
    </tableStyle>
    <tableStyle name="EMBROIDERY - ALL-style 3" pivot="0" count="4" xr9:uid="{00000000-0011-0000-FFFF-FFFFD5000000}">
      <tableStyleElement type="wholeTable" size="0" dxfId="101"/>
      <tableStyleElement type="headerRow" dxfId="104"/>
      <tableStyleElement type="firstRowStripe" dxfId="103"/>
      <tableStyleElement type="secondRowStripe" dxfId="102"/>
    </tableStyle>
    <tableStyle name="EMBROIDERY - ALL-style 4" pivot="0" count="4" xr9:uid="{00000000-0011-0000-FFFF-FFFFD6000000}">
      <tableStyleElement type="wholeTable" size="0" dxfId="97"/>
      <tableStyleElement type="headerRow" dxfId="100"/>
      <tableStyleElement type="firstRowStripe" dxfId="99"/>
      <tableStyleElement type="secondRowStripe" dxfId="98"/>
    </tableStyle>
    <tableStyle name="EMBROIDERY - ALL-style 5" pivot="0" count="4" xr9:uid="{00000000-0011-0000-FFFF-FFFFD7000000}">
      <tableStyleElement type="wholeTable" size="0" dxfId="93"/>
      <tableStyleElement type="headerRow" dxfId="96"/>
      <tableStyleElement type="firstRowStripe" dxfId="95"/>
      <tableStyleElement type="secondRowStripe" dxfId="94"/>
    </tableStyle>
    <tableStyle name="EMBROIDERY - ALL-style 6" pivot="0" count="4" xr9:uid="{00000000-0011-0000-FFFF-FFFFD8000000}">
      <tableStyleElement type="wholeTable" size="0" dxfId="89"/>
      <tableStyleElement type="headerRow" dxfId="92"/>
      <tableStyleElement type="firstRowStripe" dxfId="91"/>
      <tableStyleElement type="secondRowStripe" dxfId="90"/>
    </tableStyle>
    <tableStyle name="EMBROIDERY - ALL-style 7" pivot="0" count="4" xr9:uid="{00000000-0011-0000-FFFF-FFFFD9000000}">
      <tableStyleElement type="wholeTable" size="0" dxfId="85"/>
      <tableStyleElement type="headerRow" dxfId="88"/>
      <tableStyleElement type="firstRowStripe" dxfId="87"/>
      <tableStyleElement type="secondRowStripe" dxfId="86"/>
    </tableStyle>
    <tableStyle name="EMBROIDERY - ALL-style 8" pivot="0" count="4" xr9:uid="{00000000-0011-0000-FFFF-FFFFDA000000}">
      <tableStyleElement type="wholeTable" size="0" dxfId="81"/>
      <tableStyleElement type="headerRow" dxfId="84"/>
      <tableStyleElement type="firstRowStripe" dxfId="83"/>
      <tableStyleElement type="secondRowStripe" dxfId="82"/>
    </tableStyle>
    <tableStyle name="EMBROIDERY - ALL-style 9" pivot="0" count="4" xr9:uid="{00000000-0011-0000-FFFF-FFFFDB000000}">
      <tableStyleElement type="wholeTable" size="0" dxfId="77"/>
      <tableStyleElement type="headerRow" dxfId="80"/>
      <tableStyleElement type="firstRowStripe" dxfId="79"/>
      <tableStyleElement type="secondRowStripe" dxfId="78"/>
    </tableStyle>
    <tableStyle name="EMBROIDERY - ALL-style 10" pivot="0" count="4" xr9:uid="{00000000-0011-0000-FFFF-FFFFDC000000}">
      <tableStyleElement type="wholeTable" size="0" dxfId="73"/>
      <tableStyleElement type="headerRow" dxfId="76"/>
      <tableStyleElement type="firstRowStripe" dxfId="75"/>
      <tableStyleElement type="secondRowStripe" dxfId="74"/>
    </tableStyle>
    <tableStyle name="EMBROIDERY - ALL-style 11" pivot="0" count="4" xr9:uid="{00000000-0011-0000-FFFF-FFFFDD000000}">
      <tableStyleElement type="wholeTable" size="0" dxfId="69"/>
      <tableStyleElement type="headerRow" dxfId="72"/>
      <tableStyleElement type="firstRowStripe" dxfId="71"/>
      <tableStyleElement type="secondRowStripe" dxfId="70"/>
    </tableStyle>
    <tableStyle name="EMBROIDERY - ALL-style 12" pivot="0" count="4" xr9:uid="{00000000-0011-0000-FFFF-FFFFDE000000}">
      <tableStyleElement type="wholeTable" size="0" dxfId="65"/>
      <tableStyleElement type="headerRow" dxfId="68"/>
      <tableStyleElement type="firstRowStripe" dxfId="67"/>
      <tableStyleElement type="secondRowStripe" dxfId="66"/>
    </tableStyle>
    <tableStyle name="EMBROIDERY - ALL-style 13" pivot="0" count="4" xr9:uid="{00000000-0011-0000-FFFF-FFFFDF000000}">
      <tableStyleElement type="wholeTable" size="0" dxfId="61"/>
      <tableStyleElement type="headerRow" dxfId="64"/>
      <tableStyleElement type="firstRowStripe" dxfId="63"/>
      <tableStyleElement type="secondRowStripe" dxfId="62"/>
    </tableStyle>
    <tableStyle name="EMBROIDERY - ALL-style 14" pivot="0" count="4" xr9:uid="{00000000-0011-0000-FFFF-FFFFE0000000}">
      <tableStyleElement type="wholeTable" size="0" dxfId="57"/>
      <tableStyleElement type="headerRow" dxfId="60"/>
      <tableStyleElement type="firstRowStripe" dxfId="59"/>
      <tableStyleElement type="secondRowStripe" dxfId="58"/>
    </tableStyle>
    <tableStyle name="EMBROIDERY - ALL-style 15" pivot="0" count="4" xr9:uid="{00000000-0011-0000-FFFF-FFFFE1000000}">
      <tableStyleElement type="wholeTable" size="0" dxfId="53"/>
      <tableStyleElement type="headerRow" dxfId="56"/>
      <tableStyleElement type="firstRowStripe" dxfId="55"/>
      <tableStyleElement type="secondRowStripe" dxfId="54"/>
    </tableStyle>
    <tableStyle name="EMBROIDERY - ALL-style 16" pivot="0" count="4" xr9:uid="{00000000-0011-0000-FFFF-FFFFE2000000}">
      <tableStyleElement type="wholeTable" size="0" dxfId="49"/>
      <tableStyleElement type="headerRow" dxfId="52"/>
      <tableStyleElement type="firstRowStripe" dxfId="51"/>
      <tableStyleElement type="secondRowStripe" dxfId="50"/>
    </tableStyle>
    <tableStyle name="EMBROIDERY - ALL-style 17" pivot="0" count="4" xr9:uid="{00000000-0011-0000-FFFF-FFFFE3000000}">
      <tableStyleElement type="wholeTable" size="0" dxfId="45"/>
      <tableStyleElement type="headerRow" dxfId="48"/>
      <tableStyleElement type="firstRowStripe" dxfId="47"/>
      <tableStyleElement type="secondRowStripe" dxfId="46"/>
    </tableStyle>
    <tableStyle name="EMBROIDERY - ALL-style 18" pivot="0" count="4" xr9:uid="{00000000-0011-0000-FFFF-FFFFE4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EMBROIDERY - ALL-style 19" pivot="0" count="4" xr9:uid="{00000000-0011-0000-FFFF-FFFFE5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EMBROIDERY - ALL-style 20" pivot="0" count="4" xr9:uid="{00000000-0011-0000-FFFF-FFFFE6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EMBROIDERY - ALL-style 21" pivot="0" count="4" xr9:uid="{00000000-0011-0000-FFFF-FFFFE7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EMBROIDERY - ALL-style 22" pivot="0" count="4" xr9:uid="{00000000-0011-0000-FFFF-FFFFE8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EMBROIDERY - ALL-style 23" pivot="0" count="4" xr9:uid="{00000000-0011-0000-FFFF-FFFFE9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EMBROIDERY - ALL-style 24" pivot="0" count="4" xr9:uid="{00000000-0011-0000-FFFF-FFFFEA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EMBROIDERY - ALL-style 25" pivot="0" count="4" xr9:uid="{00000000-0011-0000-FFFF-FFFFEB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EMBROIDERY - ALL-style 26" pivot="0" count="4" xr9:uid="{00000000-0011-0000-FFFF-FFFFEC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EMBROIDERY - ALL-style 27" pivot="0" count="4" xr9:uid="{00000000-0011-0000-FFFF-FFFFED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EMBROIDERY - ALL-style 28" pivot="0" count="4" xr9:uid="{00000000-0011-0000-FFFF-FFFFEE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Scotty Workz" id="{58c214a6-38b4-49e9-b963-609cd917e708}" providerId="google-sheets"/>
  <x18tc:person displayName="MIKE Spain" id="{a4cf836f-69e1-4d43-bf6e-73b075b42d4b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91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TOTAL OFFICE STOCK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O118">
  <tableColumns count="15">
    <tableColumn id="1" xr3:uid="{00000000-0010-0000-0100-000001000000}" name="ITEM"/>
    <tableColumn id="2" xr3:uid="{00000000-0010-0000-0100-000002000000}" name="TOTAL BOXES"/>
    <tableColumn id="3" xr3:uid="{00000000-0010-0000-0100-000003000000}" name="BOXES SOLD "/>
    <tableColumn id="4" xr3:uid="{00000000-0010-0000-0100-000004000000}" name="TOTAL BOXES IN OFFICE"/>
    <tableColumn id="5" xr3:uid="{00000000-0010-0000-0100-000005000000}" name="BOXES AVAILABLE"/>
    <tableColumn id="6" xr3:uid="{00000000-0010-0000-0100-000006000000}" name="BOXES PENDING"/>
    <tableColumn id="7" xr3:uid="{00000000-0010-0000-0100-000007000000}" name="TOTAL METERS"/>
    <tableColumn id="8" xr3:uid="{00000000-0010-0000-0100-000008000000}" name="TOTAL METERS IN OFFICE"/>
    <tableColumn id="9" xr3:uid="{00000000-0010-0000-0100-000009000000}" name="TOTAL METERS IN SOLD"/>
    <tableColumn id="10" xr3:uid="{00000000-0010-0000-0100-00000A000000}" name="TOTAL METERS PENDING"/>
    <tableColumn id="11" xr3:uid="{00000000-0010-0000-0100-00000B000000}" name="TOTAL COST VALUE MYR"/>
    <tableColumn id="12" xr3:uid="{00000000-0010-0000-0100-00000C000000}" name="TOTAL COST VALUE OF SOLD"/>
    <tableColumn id="13" xr3:uid="{00000000-0010-0000-0100-00000D000000}" name="TOTAL COST VALUE IN OFFICE MYR"/>
    <tableColumn id="14" xr3:uid="{00000000-0010-0000-0100-00000E000000}" name="TOTAL COST VALUE OF PENDING"/>
    <tableColumn id="15" xr3:uid="{00000000-0010-0000-0100-00000F000000}" name="NET PROFIT AFTER COST"/>
  </tableColumns>
  <tableStyleInfo name="SILK  - STOCK OVERVIEW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7M_A" displayName="M7M_A" ref="D12:D83" totalsRowCount="1">
  <tableColumns count="1">
    <tableColumn id="1" xr3:uid="{00000000-0010-0000-0200-000001000000}" name="QUALITY" totalsRowFunction="custom">
      <totalsRowFormula>COUNTA(M7M_A[QUALITY])</totalsRowFormula>
    </tableColumn>
  </tableColumns>
  <tableStyleInfo name="SILK - ALL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M_OF" displayName="MM_OF" ref="E12:E83">
  <tableColumns count="1">
    <tableColumn id="1" xr3:uid="{00000000-0010-0000-0300-000001000000}" name="QTY"/>
  </tableColumns>
  <tableStyleInfo name="SILK - ALL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M_AVA" displayName="MM_AVA" ref="H12:H83">
  <tableColumns count="1">
    <tableColumn id="1" xr3:uid="{00000000-0010-0000-0400-000001000000}" name="COST PIECE RM"/>
  </tableColumns>
  <tableStyleInfo name="SILK - ALL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RGO_A" displayName="ARGO_A" ref="D87:D189" totalsRowCount="1">
  <tableColumns count="1">
    <tableColumn id="1" xr3:uid="{00000000-0010-0000-0500-000001000000}" name="QUALITY" totalsRowFunction="custom">
      <totalsRowFormula>COUNTA(ARGO_A[QUALITY])</totalsRowFormula>
    </tableColumn>
  </tableColumns>
  <tableStyleInfo name="SILK - ALL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RGO_OF" displayName="ARGO_OF" ref="E87:E189">
  <tableColumns count="1">
    <tableColumn id="1" xr3:uid="{00000000-0010-0000-0600-000001000000}" name="QTY"/>
  </tableColumns>
  <tableStyleInfo name="SILK - ALL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RGO_AVA" displayName="ARGO_AVA" ref="H87:H189">
  <tableColumns count="1">
    <tableColumn id="1" xr3:uid="{00000000-0010-0000-0700-000001000000}" name="COST PIECE RM"/>
  </tableColumns>
  <tableStyleInfo name="SILK - ALL-style 6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LB_A" displayName="ALB_A" ref="D194:D321">
  <tableColumns count="1">
    <tableColumn id="1" xr3:uid="{00000000-0010-0000-0800-000001000000}" name="QUALITY"/>
  </tableColumns>
  <tableStyleInfo name="SILK - ALL-style 7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36" displayName="Table36" ref="E194:E321">
  <tableColumns count="1">
    <tableColumn id="1" xr3:uid="{00000000-0010-0000-0900-000001000000}" name="QTY"/>
  </tableColumns>
  <tableStyleInfo name="SILK - ALL-style 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48" displayName="Table48" ref="H194:H321">
  <tableColumns count="1">
    <tableColumn id="1" xr3:uid="{00000000-0010-0000-0A00-000001000000}" name="COST PIECE RM"/>
  </tableColumns>
  <tableStyleInfo name="SILK - ALL-style 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MAR_A" displayName="MAR_A" ref="D325:D402">
  <tableColumns count="1">
    <tableColumn id="1" xr3:uid="{00000000-0010-0000-0B00-000001000000}" name="QUALITY"/>
  </tableColumns>
  <tableStyleInfo name="SILK - ALL-style 10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39" displayName="Table39" ref="E325:E402">
  <tableColumns count="1">
    <tableColumn id="1" xr3:uid="{00000000-0010-0000-0C00-000001000000}" name="QTY"/>
  </tableColumns>
  <tableStyleInfo name="SILK - ALL-style 11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49" displayName="Table49" ref="H325:H402">
  <tableColumns count="1">
    <tableColumn id="1" xr3:uid="{00000000-0010-0000-0D00-000001000000}" name="COST PIECE RM"/>
  </tableColumns>
  <tableStyleInfo name="SILK - ALL-style 1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NELL_A" displayName="NELL_A" ref="D406:D448" totalsRowCount="1">
  <tableColumns count="1">
    <tableColumn id="1" xr3:uid="{00000000-0010-0000-0E00-000001000000}" name="QUALITY" totalsRowFunction="custom">
      <totalsRowFormula>COUNTA(NELL_A[QUALITY])</totalsRowFormula>
    </tableColumn>
  </tableColumns>
  <tableStyleInfo name="SILK - ALL-style 1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52" displayName="Table52" ref="E406:E448">
  <tableColumns count="1">
    <tableColumn id="1" xr3:uid="{00000000-0010-0000-0F00-000001000000}" name="QTY"/>
  </tableColumns>
  <tableStyleInfo name="SILK - ALL-style 14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50" displayName="Table50" ref="H406:H448">
  <tableColumns count="1">
    <tableColumn id="1" xr3:uid="{00000000-0010-0000-1000-000001000000}" name="COST PIECE RM"/>
  </tableColumns>
  <tableStyleInfo name="SILK - ALL-style 15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VAN_A" displayName="AVAN_A" ref="D452:D481" totalsRowCount="1">
  <tableColumns count="1">
    <tableColumn id="1" xr3:uid="{00000000-0010-0000-1100-000001000000}" name="QUALITY" totalsRowFunction="custom">
      <totalsRowFormula>COUNTA(AVAN_A[QUALITY])</totalsRowFormula>
    </tableColumn>
  </tableColumns>
  <tableStyleInfo name="SILK - ALL-style 16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53" displayName="Table53" ref="E452:E481">
  <tableColumns count="1">
    <tableColumn id="1" xr3:uid="{00000000-0010-0000-1200-000001000000}" name="QTY"/>
  </tableColumns>
  <tableStyleInfo name="SILK - ALL-style 17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51" displayName="Table51" ref="H452:H481">
  <tableColumns count="1">
    <tableColumn id="1" xr3:uid="{00000000-0010-0000-1300-000001000000}" name="COST PIECE RM"/>
  </tableColumns>
  <tableStyleInfo name="SILK - ALL-style 18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SA_A" displayName="CASA_A" ref="D486:D497">
  <tableColumns count="1">
    <tableColumn id="1" xr3:uid="{00000000-0010-0000-1400-000001000000}" name="QUALITY"/>
  </tableColumns>
  <tableStyleInfo name="SILK - ALL-style 19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SA_AV" displayName="CASA_AV" ref="E486:E497">
  <tableColumns count="1">
    <tableColumn id="1" xr3:uid="{00000000-0010-0000-1500-000001000000}" name="QTY"/>
  </tableColumns>
  <tableStyleInfo name="SILK - ALL-style 20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54" displayName="Table54" ref="H486:H497">
  <tableColumns count="1">
    <tableColumn id="1" xr3:uid="{00000000-0010-0000-1600-000001000000}" name="COST PIECE RM"/>
  </tableColumns>
  <tableStyleInfo name="SILK - ALL-style 21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STYL_A" displayName="STYL_A" ref="D501:D535" totalsRowCount="1">
  <tableColumns count="1">
    <tableColumn id="1" xr3:uid="{00000000-0010-0000-1700-000001000000}" name="QUALITY" totalsRowFunction="custom">
      <totalsRowFormula>COUNTA(STYL_A[QUALITY])</totalsRowFormula>
    </tableColumn>
  </tableColumns>
  <tableStyleInfo name="SILK - ALL-style 22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TY_A" displayName="STY_A" ref="E501:E535">
  <tableColumns count="1">
    <tableColumn id="1" xr3:uid="{00000000-0010-0000-1800-000001000000}" name="QTY"/>
  </tableColumns>
  <tableStyleInfo name="SILK - ALL-style 23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55" displayName="Table55" ref="H501:H535">
  <tableColumns count="1">
    <tableColumn id="1" xr3:uid="{00000000-0010-0000-1900-000001000000}" name="COST PIECE RM"/>
  </tableColumns>
  <tableStyleInfo name="SILK - ALL-style 24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INCO_A" displayName="INCO_A" ref="D539:D547">
  <tableColumns count="1">
    <tableColumn id="1" xr3:uid="{00000000-0010-0000-1A00-000001000000}" name="QUALITY"/>
  </tableColumns>
  <tableStyleInfo name="SILK - ALL-style 25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INCO_AV" displayName="INCO_AV" ref="E539:E547">
  <tableColumns count="1">
    <tableColumn id="1" xr3:uid="{00000000-0010-0000-1B00-000001000000}" name="QTY"/>
  </tableColumns>
  <tableStyleInfo name="SILK - ALL-style 26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56" displayName="Table56" ref="H539:H547">
  <tableColumns count="1">
    <tableColumn id="1" xr3:uid="{00000000-0010-0000-1C00-000001000000}" name="COST PIECE RM"/>
  </tableColumns>
  <tableStyleInfo name="SILK - ALL-style 27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UG_A" displayName="UG_A" ref="D551:D575" totalsRowCount="1">
  <tableColumns count="1">
    <tableColumn id="1" xr3:uid="{00000000-0010-0000-1D00-000001000000}" name="QUALITY" totalsRowFunction="custom">
      <totalsRowFormula>COUNTA(UG_A[QUALITY])</totalsRowFormula>
    </tableColumn>
  </tableColumns>
  <tableStyleInfo name="SILK - ALL-style 28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40" displayName="Table40" ref="E551:E575">
  <tableColumns count="1">
    <tableColumn id="1" xr3:uid="{00000000-0010-0000-1E00-000001000000}" name="QTY"/>
  </tableColumns>
  <tableStyleInfo name="SILK - ALL-style 29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57" displayName="Table57" ref="H551:H575">
  <tableColumns count="1">
    <tableColumn id="1" xr3:uid="{00000000-0010-0000-1F00-000001000000}" name="COST PIECE RM"/>
  </tableColumns>
  <tableStyleInfo name="SILK - ALL-style 30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VA_TGM_ROTARY" displayName="CAVA_TGM_ROTARY" ref="C580:C586">
  <tableColumns count="1">
    <tableColumn id="1" xr3:uid="{00000000-0010-0000-2000-000001000000}" name="ARTICLE "/>
  </tableColumns>
  <tableStyleInfo name="SILK - ALL-style 31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VA_A" displayName="CAVA_A" ref="D580:D586">
  <tableColumns count="1">
    <tableColumn id="1" xr3:uid="{00000000-0010-0000-2100-000001000000}" name="QUALITY"/>
  </tableColumns>
  <tableStyleInfo name="SILK - ALL-style 32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VA_AV" displayName="CAVA_AV" ref="E580:E586">
  <tableColumns count="1">
    <tableColumn id="1" xr3:uid="{00000000-0010-0000-2200-000001000000}" name="QTY"/>
  </tableColumns>
  <tableStyleInfo name="SILK - ALL-style 33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58" displayName="Table58" ref="H580:H586">
  <tableColumns count="1">
    <tableColumn id="1" xr3:uid="{00000000-0010-0000-2300-000001000000}" name="COST PIECE RM"/>
  </tableColumns>
  <tableStyleInfo name="SILK - ALL-style 34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RUFF_A" displayName="RUFF_A" ref="D590:D617" totalsRowCount="1">
  <tableColumns count="1">
    <tableColumn id="1" xr3:uid="{00000000-0010-0000-2400-000001000000}" name="QUALITY" totalsRowFunction="custom">
      <totalsRowFormula>COUNTA(RUFF_A[QUALITY])</totalsRowFormula>
    </tableColumn>
  </tableColumns>
  <tableStyleInfo name="SILK - ALL-style 35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RUFFO_A" displayName="RUFFO_A" ref="E590:E617">
  <tableColumns count="1">
    <tableColumn id="1" xr3:uid="{00000000-0010-0000-2500-000001000000}" name="QTY"/>
  </tableColumns>
  <tableStyleInfo name="SILK - ALL-style 36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59" displayName="Table59" ref="H590:H617">
  <tableColumns count="1">
    <tableColumn id="1" xr3:uid="{00000000-0010-0000-2600-000001000000}" name="COST PIECE RM"/>
  </tableColumns>
  <tableStyleInfo name="SILK - ALL-style 37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SETE_A" displayName="SETE_A" ref="D621:D655">
  <tableColumns count="1">
    <tableColumn id="1" xr3:uid="{00000000-0010-0000-2700-000001000000}" name="QUALITY"/>
  </tableColumns>
  <tableStyleInfo name="SILK - ALL-style 38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41" displayName="Table41" ref="E621:E655">
  <tableColumns count="1">
    <tableColumn id="1" xr3:uid="{00000000-0010-0000-2800-000001000000}" name="QTY"/>
  </tableColumns>
  <tableStyleInfo name="SILK - ALL-style 39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60" displayName="Table60" ref="H621:H655">
  <tableColumns count="1">
    <tableColumn id="1" xr3:uid="{00000000-0010-0000-2900-000001000000}" name="COST PIECE RM"/>
  </tableColumns>
  <tableStyleInfo name="SILK - ALL-style 40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ESSI_A" displayName="TESSI_A" ref="D659:D682">
  <tableColumns count="1">
    <tableColumn id="1" xr3:uid="{00000000-0010-0000-2A00-000001000000}" name="QUALITY"/>
  </tableColumns>
  <tableStyleInfo name="SILK - ALL-style 41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42" displayName="Table42" ref="E659:E682">
  <tableColumns count="1">
    <tableColumn id="1" xr3:uid="{00000000-0010-0000-2B00-000001000000}" name="QTY"/>
  </tableColumns>
  <tableStyleInfo name="SILK - ALL-style 42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61" displayName="Table61" ref="H659:H682">
  <tableColumns count="1">
    <tableColumn id="1" xr3:uid="{00000000-0010-0000-2C00-000001000000}" name="COST PIECE RM"/>
  </tableColumns>
  <tableStyleInfo name="SILK - ALL-style 43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QUO_A" displayName="QUO_A" ref="D686:D707">
  <tableColumns count="1">
    <tableColumn id="1" xr3:uid="{00000000-0010-0000-2D00-000001000000}" name="QUALITY"/>
  </tableColumns>
  <tableStyleInfo name="SILK - ALL-style 44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QUO_AV" displayName="QUO_AV" ref="E686:E707">
  <tableColumns count="1">
    <tableColumn id="1" xr3:uid="{00000000-0010-0000-2E00-000001000000}" name="QTY"/>
  </tableColumns>
  <tableStyleInfo name="SILK - ALL-style 45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62" displayName="Table62" ref="H686:H707">
  <tableColumns count="1">
    <tableColumn id="1" xr3:uid="{00000000-0010-0000-2F00-000001000000}" name="COST PIECE RM"/>
  </tableColumns>
  <tableStyleInfo name="SILK - ALL-style 46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SILKO_A" displayName="SILKO_A" ref="D711:D718">
  <tableColumns count="1">
    <tableColumn id="1" xr3:uid="{00000000-0010-0000-3000-000001000000}" name="QUALITY"/>
  </tableColumns>
  <tableStyleInfo name="SILK - ALL-style 47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44" displayName="Table44" ref="E711:E718">
  <tableColumns count="1">
    <tableColumn id="1" xr3:uid="{00000000-0010-0000-3100-000001000000}" name="QTY"/>
  </tableColumns>
  <tableStyleInfo name="SILK - ALL-style 48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63" displayName="Table63" ref="H711:H718">
  <tableColumns count="1">
    <tableColumn id="1" xr3:uid="{00000000-0010-0000-3200-000001000000}" name="COST PIECE RM"/>
  </tableColumns>
  <tableStyleInfo name="SILK - ALL-style 49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NC_A" displayName="NC_A" ref="D722:D746">
  <tableColumns count="1">
    <tableColumn id="1" xr3:uid="{00000000-0010-0000-3300-000001000000}" name="QUALITY"/>
  </tableColumns>
  <tableStyleInfo name="SILK - ALL-style 50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43" displayName="Table43" ref="E722:E746">
  <tableColumns count="1">
    <tableColumn id="1" xr3:uid="{00000000-0010-0000-3400-000001000000}" name="QTY"/>
  </tableColumns>
  <tableStyleInfo name="SILK - ALL-style 51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64" displayName="Table64" ref="H722:H746">
  <tableColumns count="1">
    <tableColumn id="1" xr3:uid="{00000000-0010-0000-3500-000001000000}" name="COST PIECE RM"/>
  </tableColumns>
  <tableStyleInfo name="SILK - ALL-style 52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MM_S" displayName="MM_S" ref="D13:D78">
  <autoFilter ref="D13:D78" xr:uid="{00000000-0009-0000-0100-000037000000}"/>
  <tableColumns count="1">
    <tableColumn id="1" xr3:uid="{00000000-0010-0000-3600-000001000000}" name="QUALITY"/>
  </tableColumns>
  <tableStyleInfo name="SILK - SOLD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MM_SO" displayName="MM_SO" ref="E13:E79">
  <tableColumns count="1">
    <tableColumn id="1" xr3:uid="{00000000-0010-0000-3700-000001000000}" name="QTY"/>
  </tableColumns>
  <tableStyleInfo name="SILK - SOLD-style 2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45" displayName="Table45" ref="K13:K79">
  <tableColumns count="1">
    <tableColumn id="1" xr3:uid="{00000000-0010-0000-3800-000001000000}" name="COST PER PC"/>
  </tableColumns>
  <tableStyleInfo name="SILK - SOLD-style 3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ARGO_S" displayName="ARGO_S" ref="D85:D107">
  <tableColumns count="1">
    <tableColumn id="1" xr3:uid="{00000000-0010-0000-3900-000001000000}" name="QUALITY"/>
  </tableColumns>
  <tableStyleInfo name="SILK - SOLD-style 4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ARGO_SO" displayName="ARGO_SO" ref="E85:E107">
  <tableColumns count="1">
    <tableColumn id="1" xr3:uid="{00000000-0010-0000-3A00-000001000000}" name="QTY"/>
  </tableColumns>
  <tableStyleInfo name="SILK - SOLD-style 5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65" displayName="Table65" ref="K85:K107">
  <tableColumns count="1">
    <tableColumn id="1" xr3:uid="{00000000-0010-0000-3B00-000001000000}" name="COST PER PC"/>
  </tableColumns>
  <tableStyleInfo name="SILK - SOLD-style 6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21" displayName="Table21" ref="D111:D171">
  <tableColumns count="1">
    <tableColumn id="1" xr3:uid="{00000000-0010-0000-3C00-000001000000}" name="QUALITY"/>
  </tableColumns>
  <tableStyleInfo name="SILK - SOLD-style 7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ALB_SO" displayName="ALB_SO" ref="E111:E171">
  <tableColumns count="1">
    <tableColumn id="1" xr3:uid="{00000000-0010-0000-3D00-000001000000}" name="QTY"/>
  </tableColumns>
  <tableStyleInfo name="SILK - SOLD-style 8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66" displayName="Table66" ref="K111:K171">
  <tableColumns count="1">
    <tableColumn id="1" xr3:uid="{00000000-0010-0000-3E00-000001000000}" name="COST PER PC"/>
  </tableColumns>
  <tableStyleInfo name="SILK - SOLD-style 9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23" displayName="Table23" ref="D176:D267">
  <tableColumns count="1">
    <tableColumn id="1" xr3:uid="{00000000-0010-0000-3F00-000001000000}" name="QUALITY"/>
  </tableColumns>
  <tableStyleInfo name="SILK - SOLD-style 10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MAR_SO" displayName="MAR_SO" ref="E176:E267">
  <tableColumns count="1">
    <tableColumn id="1" xr3:uid="{00000000-0010-0000-4000-000001000000}" name="QTY"/>
  </tableColumns>
  <tableStyleInfo name="SILK - SOLD-style 11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67" displayName="Table67" ref="K176:K267">
  <tableColumns count="1">
    <tableColumn id="1" xr3:uid="{00000000-0010-0000-4100-000001000000}" name="COST PER PC"/>
  </tableColumns>
  <tableStyleInfo name="SILK - SOLD-style 12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25" displayName="Table25" ref="D273:D281">
  <tableColumns count="1">
    <tableColumn id="1" xr3:uid="{00000000-0010-0000-4200-000001000000}" name="QUALITY"/>
  </tableColumns>
  <tableStyleInfo name="SILK - SOLD-style 13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NELL_SO" displayName="NELL_SO" ref="E273:E281">
  <tableColumns count="1">
    <tableColumn id="1" xr3:uid="{00000000-0010-0000-4300-000001000000}" name="QTY"/>
  </tableColumns>
  <tableStyleInfo name="SILK - SOLD-style 14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68" displayName="Table68" ref="K273:K281">
  <tableColumns count="1">
    <tableColumn id="1" xr3:uid="{00000000-0010-0000-4400-000001000000}" name="COST PER PC"/>
  </tableColumns>
  <tableStyleInfo name="SILK - SOLD-style 15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20" displayName="Table20" ref="D285:D300">
  <tableColumns count="1">
    <tableColumn id="1" xr3:uid="{00000000-0010-0000-4500-000001000000}" name="QUALITY"/>
  </tableColumns>
  <tableStyleInfo name="SILK - SOLD-style 16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22" displayName="Table22" ref="E285:E300">
  <tableColumns count="1">
    <tableColumn id="1" xr3:uid="{00000000-0010-0000-4600-000001000000}" name="QTY"/>
  </tableColumns>
  <tableStyleInfo name="SILK - SOLD-style 17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69" displayName="Table69" ref="K285:K300">
  <tableColumns count="1">
    <tableColumn id="1" xr3:uid="{00000000-0010-0000-4700-000001000000}" name="COST PER PC"/>
  </tableColumns>
  <tableStyleInfo name="SILK - SOLD-style 18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CASA_SOLD" displayName="CASA_SOLD" ref="D304:D330">
  <tableColumns count="1">
    <tableColumn id="1" xr3:uid="{00000000-0010-0000-4800-000001000000}" name="QUALITY"/>
  </tableColumns>
  <tableStyleInfo name="SILK - SOLD-style 19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CASA_SO" displayName="CASA_SO" ref="E304:E330">
  <tableColumns count="1">
    <tableColumn id="1" xr3:uid="{00000000-0010-0000-4900-000001000000}" name="QTY"/>
  </tableColumns>
  <tableStyleInfo name="SILK - SOLD-style 20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70" displayName="Table70" ref="K304:K330">
  <tableColumns count="1">
    <tableColumn id="1" xr3:uid="{00000000-0010-0000-4A00-000001000000}" name="COST PER PC"/>
  </tableColumns>
  <tableStyleInfo name="SILK - SOLD-style 21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26" displayName="Table26" ref="D335:D345">
  <tableColumns count="1">
    <tableColumn id="1" xr3:uid="{00000000-0010-0000-4B00-000001000000}" name="QUALITY"/>
  </tableColumns>
  <tableStyleInfo name="SILK - SOLD-style 22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STY_SO" displayName="STY_SO" ref="E335:E345">
  <tableColumns count="1">
    <tableColumn id="1" xr3:uid="{00000000-0010-0000-4C00-000001000000}" name="QTY"/>
  </tableColumns>
  <tableStyleInfo name="SILK - SOLD-style 23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71" displayName="Table71" ref="K335:K345">
  <tableColumns count="1">
    <tableColumn id="1" xr3:uid="{00000000-0010-0000-4D00-000001000000}" name="COST PER PC"/>
  </tableColumns>
  <tableStyleInfo name="SILK - SOLD-style 24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27" displayName="Table27" ref="D349:D362">
  <tableColumns count="1">
    <tableColumn id="1" xr3:uid="{00000000-0010-0000-4E00-000001000000}" name="QUALITY"/>
  </tableColumns>
  <tableStyleInfo name="SILK - SOLD-style 25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INCO_SO" displayName="INCO_SO" ref="E349:E362">
  <tableColumns count="1">
    <tableColumn id="1" xr3:uid="{00000000-0010-0000-4F00-000001000000}" name="QTY"/>
  </tableColumns>
  <tableStyleInfo name="SILK - SOLD-style 26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72" displayName="Table72" ref="K349:K362">
  <tableColumns count="1">
    <tableColumn id="1" xr3:uid="{00000000-0010-0000-5000-000001000000}" name="COST PER PC"/>
  </tableColumns>
  <tableStyleInfo name="SILK - SOLD-style 27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28" displayName="Table28" ref="D367:D371">
  <tableColumns count="1">
    <tableColumn id="1" xr3:uid="{00000000-0010-0000-5100-000001000000}" name="QUALITY"/>
  </tableColumns>
  <tableStyleInfo name="SILK - SOLD-style 28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29" displayName="Table29" ref="E367:E371">
  <tableColumns count="1">
    <tableColumn id="1" xr3:uid="{00000000-0010-0000-5200-000001000000}" name="QTY"/>
  </tableColumns>
  <tableStyleInfo name="SILK - SOLD-style 29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73" displayName="Table73" ref="K367:K371">
  <tableColumns count="1">
    <tableColumn id="1" xr3:uid="{00000000-0010-0000-5300-000001000000}" name="COST PER PC"/>
  </tableColumns>
  <tableStyleInfo name="SILK - SOLD-style 30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30" displayName="Table30" ref="D376:D382">
  <tableColumns count="1">
    <tableColumn id="1" xr3:uid="{00000000-0010-0000-5400-000001000000}" name="QUALITY"/>
  </tableColumns>
  <tableStyleInfo name="SILK - SOLD-style 31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CAVA_SO" displayName="CAVA_SO" ref="E376:E382">
  <tableColumns count="1">
    <tableColumn id="1" xr3:uid="{00000000-0010-0000-5500-000001000000}" name="QTY"/>
  </tableColumns>
  <tableStyleInfo name="SILK - SOLD-style 32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74" displayName="Table74" ref="K376:K382">
  <tableColumns count="1">
    <tableColumn id="1" xr3:uid="{00000000-0010-0000-5600-000001000000}" name="COST PER PC"/>
  </tableColumns>
  <tableStyleInfo name="SILK - SOLD-style 33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31" displayName="Table31" ref="D386:D389">
  <tableColumns count="1">
    <tableColumn id="1" xr3:uid="{00000000-0010-0000-5700-000001000000}" name="QUALITY"/>
  </tableColumns>
  <tableStyleInfo name="SILK - SOLD-style 34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RUFFO_SO" displayName="RUFFO_SO" ref="E386:E389">
  <tableColumns count="1">
    <tableColumn id="1" xr3:uid="{00000000-0010-0000-5800-000001000000}" name="QTY"/>
  </tableColumns>
  <tableStyleInfo name="SILK - SOLD-style 35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75" displayName="Table75" ref="K386:K389">
  <tableColumns count="1">
    <tableColumn id="1" xr3:uid="{00000000-0010-0000-5900-000001000000}" name="COST PER PC"/>
  </tableColumns>
  <tableStyleInfo name="SILK - SOLD-style 36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32" displayName="Table32" ref="D394:D400">
  <tableColumns count="1">
    <tableColumn id="1" xr3:uid="{00000000-0010-0000-5A00-000001000000}" name="QUALITY"/>
  </tableColumns>
  <tableStyleInfo name="SILK - SOLD-style 37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SETE_SOL" displayName="SETE_SOL" ref="E394:E400">
  <tableColumns count="1">
    <tableColumn id="1" xr3:uid="{00000000-0010-0000-5B00-000001000000}" name="QTY"/>
  </tableColumns>
  <tableStyleInfo name="SILK - SOLD-style 38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76" displayName="Table76" ref="K394:K400">
  <tableColumns count="1">
    <tableColumn id="1" xr3:uid="{00000000-0010-0000-5C00-000001000000}" name="COST PER PC"/>
  </tableColumns>
  <tableStyleInfo name="SILK - SOLD-style 39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33" displayName="Table33" ref="D404:D413">
  <tableColumns count="1">
    <tableColumn id="1" xr3:uid="{00000000-0010-0000-5D00-000001000000}" name="QUALITY"/>
  </tableColumns>
  <tableStyleInfo name="SILK - SOLD-style 40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ESSI_SO" displayName="TESSI_SO" ref="E404:E413">
  <tableColumns count="1">
    <tableColumn id="1" xr3:uid="{00000000-0010-0000-5E00-000001000000}" name="QTY"/>
  </tableColumns>
  <tableStyleInfo name="SILK - SOLD-style 41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77" displayName="Table77" ref="K404:K413">
  <tableColumns count="1">
    <tableColumn id="1" xr3:uid="{00000000-0010-0000-5F00-000001000000}" name="COST PER PC"/>
  </tableColumns>
  <tableStyleInfo name="SILK - SOLD-style 42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34" displayName="Table34" ref="D418:D423">
  <tableColumns count="1">
    <tableColumn id="1" xr3:uid="{00000000-0010-0000-6000-000001000000}" name="QUALITY"/>
  </tableColumns>
  <tableStyleInfo name="SILK - SOLD-style 43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QUO_SO" displayName="QUO_SO" ref="E418:E423">
  <tableColumns count="1">
    <tableColumn id="1" xr3:uid="{00000000-0010-0000-6100-000001000000}" name="QTY"/>
  </tableColumns>
  <tableStyleInfo name="SILK - SOLD-style 44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78" displayName="Table78" ref="K418:K423">
  <tableColumns count="1">
    <tableColumn id="1" xr3:uid="{00000000-0010-0000-6200-000001000000}" name="COST PER PC"/>
  </tableColumns>
  <tableStyleInfo name="SILK - SOLD-style 45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35" displayName="Table35" ref="D433:D447">
  <tableColumns count="1">
    <tableColumn id="1" xr3:uid="{00000000-0010-0000-6300-000001000000}" name="QUALITY"/>
  </tableColumns>
  <tableStyleInfo name="SILK - SOLD-style 46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SILKO_SO" displayName="SILKO_SO" ref="E433:E447">
  <tableColumns count="1">
    <tableColumn id="1" xr3:uid="{00000000-0010-0000-6400-000001000000}" name="QTY"/>
  </tableColumns>
  <tableStyleInfo name="SILK - SOLD-style 47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79" displayName="Table79" ref="K433:K447">
  <tableColumns count="1">
    <tableColumn id="1" xr3:uid="{00000000-0010-0000-6500-000001000000}" name="COST PER PC"/>
  </tableColumns>
  <tableStyleInfo name="SILK - SOLD-style 48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37" displayName="Table37" ref="D451:D473">
  <tableColumns count="1">
    <tableColumn id="1" xr3:uid="{00000000-0010-0000-6600-000001000000}" name="QUALITY"/>
  </tableColumns>
  <tableStyleInfo name="SILK - SOLD-style 49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38" displayName="Table38" ref="E451:E473">
  <tableColumns count="1">
    <tableColumn id="1" xr3:uid="{00000000-0010-0000-6700-000001000000}" name="QTY"/>
  </tableColumns>
  <tableStyleInfo name="SILK - SOLD-style 50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80" displayName="Table80" ref="K451:K473">
  <tableColumns count="1">
    <tableColumn id="1" xr3:uid="{00000000-0010-0000-6800-000001000000}" name="COST PER PC"/>
  </tableColumns>
  <tableStyleInfo name="SILK - SOLD-style 51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MM_P" displayName="MM_P" ref="D13:D18">
  <tableColumns count="1">
    <tableColumn id="1" xr3:uid="{00000000-0010-0000-6900-000001000000}" name="QUALITY"/>
  </tableColumns>
  <tableStyleInfo name="SILK - PENDING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6" displayName="Table6" ref="E13:E18">
  <tableColumns count="1">
    <tableColumn id="1" xr3:uid="{00000000-0010-0000-6A00-000001000000}" name="QTY"/>
  </tableColumns>
  <tableStyleInfo name="SILK - PENDING-style 2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81" displayName="Table81" ref="H13:H18">
  <tableColumns count="1">
    <tableColumn id="1" xr3:uid="{00000000-0010-0000-6B00-000001000000}" name="COST PIECE RM"/>
  </tableColumns>
  <tableStyleInfo name="SILK - PENDING-style 3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ARGO_P" displayName="ARGO_P" ref="D22:D27">
  <tableColumns count="1">
    <tableColumn id="1" xr3:uid="{00000000-0010-0000-6C00-000001000000}" name="QUALITY"/>
  </tableColumns>
  <tableStyleInfo name="SILK - PENDING-style 4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7" displayName="Table7" ref="E22:E27">
  <tableColumns count="1">
    <tableColumn id="1" xr3:uid="{00000000-0010-0000-6D00-000001000000}" name="QTY"/>
  </tableColumns>
  <tableStyleInfo name="SILK - PENDING-style 5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82" displayName="Table82" ref="H22:H27">
  <tableColumns count="1">
    <tableColumn id="1" xr3:uid="{00000000-0010-0000-6E00-000001000000}" name="COST PIECE RM"/>
  </tableColumns>
  <tableStyleInfo name="SILK - PENDING-style 6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ALB_P" displayName="ALB_P" ref="D32:D37">
  <tableColumns count="1">
    <tableColumn id="1" xr3:uid="{00000000-0010-0000-6F00-000001000000}" name="QUALITY"/>
  </tableColumns>
  <tableStyleInfo name="SILK - PENDING-style 7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8" displayName="Table8" ref="E32:E37">
  <tableColumns count="1">
    <tableColumn id="1" xr3:uid="{00000000-0010-0000-7000-000001000000}" name="QTY"/>
  </tableColumns>
  <tableStyleInfo name="SILK - PENDING-style 8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83" displayName="Table83" ref="H32:H37">
  <tableColumns count="1">
    <tableColumn id="1" xr3:uid="{00000000-0010-0000-7100-000001000000}" name="COST PIECE RM"/>
  </tableColumns>
  <tableStyleInfo name="SILK - PENDING-style 9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AR_P" displayName="MAR_P" ref="D42:D46">
  <tableColumns count="1">
    <tableColumn id="1" xr3:uid="{00000000-0010-0000-7200-000001000000}" name="QUALITY"/>
  </tableColumns>
  <tableStyleInfo name="SILK - PENDING-style 10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9" displayName="Table9" ref="E42:E46">
  <tableColumns count="1">
    <tableColumn id="1" xr3:uid="{00000000-0010-0000-7300-000001000000}" name="QTY"/>
  </tableColumns>
  <tableStyleInfo name="SILK - PENDING-style 11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84" displayName="Table84" ref="H42:H46">
  <tableColumns count="1">
    <tableColumn id="1" xr3:uid="{00000000-0010-0000-7400-000001000000}" name="COST PIECE RM"/>
  </tableColumns>
  <tableStyleInfo name="SILK - PENDING-style 12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4" displayName="Table4" ref="D51:D57">
  <tableColumns count="1">
    <tableColumn id="1" xr3:uid="{00000000-0010-0000-7500-000001000000}" name="QUALITY"/>
  </tableColumns>
  <tableStyleInfo name="SILK - PENDING-style 13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5" displayName="Table5" ref="E51:E57">
  <tableColumns count="1">
    <tableColumn id="1" xr3:uid="{00000000-0010-0000-7600-000001000000}" name="QTY"/>
  </tableColumns>
  <tableStyleInfo name="SILK - PENDING-style 14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85" displayName="Table85" ref="H51:H57">
  <tableColumns count="1">
    <tableColumn id="1" xr3:uid="{00000000-0010-0000-7700-000001000000}" name="COST PIECE RM"/>
  </tableColumns>
  <tableStyleInfo name="SILK - PENDING-style 15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10" displayName="Table10" ref="D61:D65">
  <tableColumns count="1">
    <tableColumn id="1" xr3:uid="{00000000-0010-0000-7800-000001000000}" name="QUALITY"/>
  </tableColumns>
  <tableStyleInfo name="SILK - PENDING-style 16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11" displayName="Table11" ref="E61:E65">
  <tableColumns count="1">
    <tableColumn id="1" xr3:uid="{00000000-0010-0000-7900-000001000000}" name="QTY"/>
  </tableColumns>
  <tableStyleInfo name="SILK - PENDING-style 17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86" displayName="Table86" ref="H61:H65">
  <tableColumns count="1">
    <tableColumn id="1" xr3:uid="{00000000-0010-0000-7A00-000001000000}" name="COST PIECE RM"/>
  </tableColumns>
  <tableStyleInfo name="SILK - PENDING-style 18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12" displayName="Table12" ref="D70:D75">
  <tableColumns count="1">
    <tableColumn id="1" xr3:uid="{00000000-0010-0000-7B00-000001000000}" name="QUALITY"/>
  </tableColumns>
  <tableStyleInfo name="SILK - PENDING-style 19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13" displayName="Table13" ref="E70:E75">
  <tableColumns count="1">
    <tableColumn id="1" xr3:uid="{00000000-0010-0000-7C00-000001000000}" name="QTY"/>
  </tableColumns>
  <tableStyleInfo name="SILK - PENDING-style 20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87" displayName="Table87" ref="H70:H75">
  <tableColumns count="1">
    <tableColumn id="1" xr3:uid="{00000000-0010-0000-7D00-000001000000}" name="COST PIECE RM"/>
  </tableColumns>
  <tableStyleInfo name="SILK - PENDING-style 21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14" displayName="Table14" ref="D78:D84">
  <tableColumns count="1">
    <tableColumn id="1" xr3:uid="{00000000-0010-0000-7E00-000001000000}" name="QUALITY"/>
  </tableColumns>
  <tableStyleInfo name="SILK - PENDING-style 22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15" displayName="Table15" ref="E78:E84">
  <tableColumns count="1">
    <tableColumn id="1" xr3:uid="{00000000-0010-0000-7F00-000001000000}" name="QTY"/>
  </tableColumns>
  <tableStyleInfo name="SILK - PENDING-style 23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88" displayName="Table88" ref="H78:H84">
  <tableColumns count="1">
    <tableColumn id="1" xr3:uid="{00000000-0010-0000-8000-000001000000}" name="COST PIECE RM"/>
  </tableColumns>
  <tableStyleInfo name="SILK - PENDING-style 24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16" displayName="Table16" ref="D88:D91">
  <tableColumns count="1">
    <tableColumn id="1" xr3:uid="{00000000-0010-0000-8100-000001000000}" name="QUALITY"/>
  </tableColumns>
  <tableStyleInfo name="SILK - PENDING-style 25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17" displayName="Table17" ref="E88:E91">
  <tableColumns count="1">
    <tableColumn id="1" xr3:uid="{00000000-0010-0000-8200-000001000000}" name="QTY"/>
  </tableColumns>
  <tableStyleInfo name="SILK - PENDING-style 26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89" displayName="Table89" ref="H88:H91">
  <tableColumns count="1">
    <tableColumn id="1" xr3:uid="{00000000-0010-0000-8300-000001000000}" name="COST PIECE RM"/>
  </tableColumns>
  <tableStyleInfo name="SILK - PENDING-style 27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18" displayName="Table18" ref="D96:D99">
  <tableColumns count="1">
    <tableColumn id="1" xr3:uid="{00000000-0010-0000-8400-000001000000}" name="QUALITY"/>
  </tableColumns>
  <tableStyleInfo name="SILK - PENDING-style 28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19" displayName="Table19" ref="E96:E99">
  <tableColumns count="1">
    <tableColumn id="1" xr3:uid="{00000000-0010-0000-8500-000001000000}" name="QTY"/>
  </tableColumns>
  <tableStyleInfo name="SILK - PENDING-style 29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90" displayName="Table90" ref="H96:H99">
  <tableColumns count="1">
    <tableColumn id="1" xr3:uid="{00000000-0010-0000-8600-000001000000}" name="COST PIECE RM"/>
  </tableColumns>
  <tableStyleInfo name="SILK - PENDING-style 30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46" displayName="Table46" ref="D106:D110">
  <tableColumns count="1">
    <tableColumn id="1" xr3:uid="{00000000-0010-0000-8700-000001000000}" name="QUALITY"/>
  </tableColumns>
  <tableStyleInfo name="SILK - PENDING-style 31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24" displayName="Table24" ref="E106:E110">
  <tableColumns count="1">
    <tableColumn id="1" xr3:uid="{00000000-0010-0000-8800-000001000000}" name="QTY"/>
  </tableColumns>
  <tableStyleInfo name="SILK - PENDING-style 32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91" displayName="Table91" ref="H106:H110">
  <tableColumns count="1">
    <tableColumn id="1" xr3:uid="{00000000-0010-0000-8900-000001000000}" name="COST PIECE RM"/>
  </tableColumns>
  <tableStyleInfo name="SILK - PENDING-style 33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47" displayName="Table47" ref="D115:D118">
  <tableColumns count="1">
    <tableColumn id="1" xr3:uid="{00000000-0010-0000-8A00-000001000000}" name="QUALITY"/>
  </tableColumns>
  <tableStyleInfo name="SILK - PENDING-style 34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98" displayName="Table98" ref="E115:E118">
  <tableColumns count="1">
    <tableColumn id="1" xr3:uid="{00000000-0010-0000-8B00-000001000000}" name="QTY"/>
  </tableColumns>
  <tableStyleInfo name="SILK - PENDING-style 35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92" displayName="Table92" ref="H115:H118">
  <tableColumns count="1">
    <tableColumn id="1" xr3:uid="{00000000-0010-0000-8C00-000001000000}" name="COST PIECE RM"/>
  </tableColumns>
  <tableStyleInfo name="SILK - PENDING-style 36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99" displayName="Table99" ref="D122:D125">
  <tableColumns count="1">
    <tableColumn id="1" xr3:uid="{00000000-0010-0000-8D00-000001000000}" name="QUALITY"/>
  </tableColumns>
  <tableStyleInfo name="SILK - PENDING-style 37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100" displayName="Table100" ref="E122:E125">
  <tableColumns count="1">
    <tableColumn id="1" xr3:uid="{00000000-0010-0000-8E00-000001000000}" name="QTY"/>
  </tableColumns>
  <tableStyleInfo name="SILK - PENDING-style 38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93" displayName="Table93" ref="H122:H125">
  <tableColumns count="1">
    <tableColumn id="1" xr3:uid="{00000000-0010-0000-8F00-000001000000}" name="COST PIECE RM"/>
  </tableColumns>
  <tableStyleInfo name="SILK - PENDING-style 39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101" displayName="Table101" ref="D129:D132">
  <tableColumns count="1">
    <tableColumn id="1" xr3:uid="{00000000-0010-0000-9000-000001000000}" name="QUALITY"/>
  </tableColumns>
  <tableStyleInfo name="SILK - PENDING-style 40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102" displayName="Table102" ref="E129:E132">
  <tableColumns count="1">
    <tableColumn id="1" xr3:uid="{00000000-0010-0000-9100-000001000000}" name="QTY"/>
  </tableColumns>
  <tableStyleInfo name="SILK - PENDING-style 41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94" displayName="Table94" ref="H129:H132">
  <tableColumns count="1">
    <tableColumn id="1" xr3:uid="{00000000-0010-0000-9200-000001000000}" name="COST PIECE RM"/>
  </tableColumns>
  <tableStyleInfo name="SILK - PENDING-style 42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103" displayName="Table103" ref="D137:D141">
  <tableColumns count="1">
    <tableColumn id="1" xr3:uid="{00000000-0010-0000-9300-000001000000}" name="QUALITY"/>
  </tableColumns>
  <tableStyleInfo name="SILK - PENDING-style 43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104" displayName="Table104" ref="E137:E141">
  <tableColumns count="1">
    <tableColumn id="1" xr3:uid="{00000000-0010-0000-9400-000001000000}" name="QTY"/>
  </tableColumns>
  <tableStyleInfo name="SILK - PENDING-style 44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95" displayName="Table95" ref="H137:H141">
  <tableColumns count="1">
    <tableColumn id="1" xr3:uid="{00000000-0010-0000-9500-000001000000}" name="COST PIECE RM"/>
  </tableColumns>
  <tableStyleInfo name="SILK - PENDING-style 45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105" displayName="Table105" ref="D145:D151">
  <tableColumns count="1">
    <tableColumn id="1" xr3:uid="{00000000-0010-0000-9600-000001000000}" name="QUALITY"/>
  </tableColumns>
  <tableStyleInfo name="SILK - PENDING-style 46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106" displayName="Table106" ref="E145:E151">
  <tableColumns count="1">
    <tableColumn id="1" xr3:uid="{00000000-0010-0000-9700-000001000000}" name="QTY"/>
  </tableColumns>
  <tableStyleInfo name="SILK - PENDING-style 47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96" displayName="Table96" ref="H145:H151">
  <tableColumns count="1">
    <tableColumn id="1" xr3:uid="{00000000-0010-0000-9800-000001000000}" name="COST PIECE RM"/>
  </tableColumns>
  <tableStyleInfo name="SILK - PENDING-style 48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107" displayName="Table107" ref="D155:D171">
  <tableColumns count="1">
    <tableColumn id="1" xr3:uid="{00000000-0010-0000-9900-000001000000}" name="QUALITY"/>
  </tableColumns>
  <tableStyleInfo name="SILK - PENDING-style 49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108" displayName="Table108" ref="E155:E171">
  <tableColumns count="1">
    <tableColumn id="1" xr3:uid="{00000000-0010-0000-9A00-000001000000}" name="QTY"/>
  </tableColumns>
  <tableStyleInfo name="SILK - PENDING-style 50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97" displayName="Table97" ref="H155:H171">
  <tableColumns count="1">
    <tableColumn id="1" xr3:uid="{00000000-0010-0000-9B00-000001000000}" name="COST PIECE RM"/>
  </tableColumns>
  <tableStyleInfo name="SILK - PENDING-style 51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3" displayName="Table_3" ref="A1:O9">
  <tableColumns count="15">
    <tableColumn id="1" xr3:uid="{00000000-0010-0000-9C00-000001000000}" name="ITEM"/>
    <tableColumn id="2" xr3:uid="{00000000-0010-0000-9C00-000002000000}" name="BOXES AVAILABLE"/>
    <tableColumn id="3" xr3:uid="{00000000-0010-0000-9C00-000003000000}" name="TOTAL BOXES IN OFFICE"/>
    <tableColumn id="4" xr3:uid="{00000000-0010-0000-9C00-000004000000}" name="TOTAL METERS IN OFFICE"/>
    <tableColumn id="5" xr3:uid="{00000000-0010-0000-9C00-000005000000}" name="TOTAL VALUE IN OFFICE MYR"/>
    <tableColumn id="6" xr3:uid="{00000000-0010-0000-9C00-000006000000}" name="BOXES SOLD "/>
    <tableColumn id="7" xr3:uid="{00000000-0010-0000-9C00-000007000000}" name="TOTAL METERS IN SOLD"/>
    <tableColumn id="8" xr3:uid="{00000000-0010-0000-9C00-000008000000}" name="TOTAL COST VALUE OF SOLD"/>
    <tableColumn id="9" xr3:uid="{00000000-0010-0000-9C00-000009000000}" name="BOXES PENDING"/>
    <tableColumn id="10" xr3:uid="{00000000-0010-0000-9C00-00000A000000}" name="TOTAL METERS PENDING"/>
    <tableColumn id="11" xr3:uid="{00000000-0010-0000-9C00-00000B000000}" name="TOTAL VALUE OF PENDING"/>
    <tableColumn id="12" xr3:uid="{00000000-0010-0000-9C00-00000C000000}" name="TOTAL BOXES"/>
    <tableColumn id="13" xr3:uid="{00000000-0010-0000-9C00-00000D000000}" name="TOTAL METERS"/>
    <tableColumn id="14" xr3:uid="{00000000-0010-0000-9C00-00000E000000}" name="TOTAL VALUE MYR"/>
    <tableColumn id="15" xr3:uid="{00000000-0010-0000-9C00-00000F000000}" name="NET PROFIT"/>
  </tableColumns>
  <tableStyleInfo name="LACE  - STOCK OVERVIEW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PL" displayName="PL" ref="C12:C56" totalsRowCount="1">
  <tableColumns count="1">
    <tableColumn id="1" xr3:uid="{00000000-0010-0000-9D00-000001000000}" name="ARTICLE " totalsRowFunction="custom">
      <totalsRowFormula>COUNTA(PL[[ARTICLE ]])</totalsRowFormula>
    </tableColumn>
  </tableColumns>
  <tableStyleInfo name="LACE - ALL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LL" displayName="LL" ref="C60:C111">
  <tableColumns count="1">
    <tableColumn id="1" xr3:uid="{00000000-0010-0000-9E00-000001000000}" name="ARTICLE "/>
  </tableColumns>
  <tableStyleInfo name="LACE - ALL-style 2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CD" displayName="CD" ref="C116:C151" totalsRowCount="1">
  <tableColumns count="1">
    <tableColumn id="1" xr3:uid="{00000000-0010-0000-9F00-000001000000}" name="ARTICLE " totalsRowFunction="custom">
      <totalsRowFormula>COUNTA(CD[[ARTICLE ]])</totalsRowFormula>
    </tableColumn>
  </tableColumns>
  <tableStyleInfo name="LACE - ALL-style 3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BEI" displayName="BEI" ref="B158:B252">
  <tableColumns count="1">
    <tableColumn id="1" xr3:uid="{00000000-0010-0000-A000-000001000000}" name="DESIGN"/>
  </tableColumns>
  <tableStyleInfo name="LACE - ALL-style 4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PL_R" displayName="PL_R" ref="B258:B329">
  <tableColumns count="1">
    <tableColumn id="1" xr3:uid="{00000000-0010-0000-A100-000001000000}" name="DESIGN"/>
  </tableColumns>
  <tableStyleInfo name="LACE - ALL-style 5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1" displayName="Table1" ref="C12:C18">
  <tableColumns count="1">
    <tableColumn id="1" xr3:uid="{00000000-0010-0000-A200-000001000000}" name="ARTICLE "/>
  </tableColumns>
  <tableStyleInfo name="LACE - PENDING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2" displayName="Table2" ref="E12:E18">
  <tableColumns count="1">
    <tableColumn id="1" xr3:uid="{00000000-0010-0000-A300-000001000000}" name="QTY (m)"/>
  </tableColumns>
  <tableStyleInfo name="LACE - PENDING-style 2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109" displayName="Table109" ref="C24:C30">
  <tableColumns count="1">
    <tableColumn id="1" xr3:uid="{00000000-0010-0000-A400-000001000000}" name="ARTICLE "/>
  </tableColumns>
  <tableStyleInfo name="LACE - PENDING-style 3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110" displayName="Table110" ref="E24:E30">
  <tableColumns count="1">
    <tableColumn id="1" xr3:uid="{00000000-0010-0000-A500-000001000000}" name="QTY"/>
  </tableColumns>
  <tableStyleInfo name="LACE - PENDING-style 4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111" displayName="Table111" ref="C34:C40">
  <tableColumns count="1">
    <tableColumn id="1" xr3:uid="{00000000-0010-0000-A600-000001000000}" name="ARTICLE "/>
  </tableColumns>
  <tableStyleInfo name="LACE - PENDING-style 5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112" displayName="Table112" ref="E34:E40">
  <tableColumns count="1">
    <tableColumn id="1" xr3:uid="{00000000-0010-0000-A700-000001000000}" name="QTY"/>
  </tableColumns>
  <tableStyleInfo name="LACE - PENDING-style 6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142" displayName="Table142" ref="C44:C50">
  <tableColumns count="1">
    <tableColumn id="1" xr3:uid="{00000000-0010-0000-A800-000001000000}" name="ARTICLE "/>
  </tableColumns>
  <tableStyleInfo name="LACE - PENDING-style 7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143" displayName="Table143" ref="E44:E50">
  <tableColumns count="1">
    <tableColumn id="1" xr3:uid="{00000000-0010-0000-A900-000001000000}" name="QTY"/>
  </tableColumns>
  <tableStyleInfo name="LACE - PENDING-style 8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145" displayName="Table145" ref="C55:C61">
  <tableColumns count="1">
    <tableColumn id="1" xr3:uid="{00000000-0010-0000-AA00-000001000000}" name="ARTICLE "/>
  </tableColumns>
  <tableStyleInfo name="LACE - PENDING-style 9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144" displayName="Table144" ref="E55:E61">
  <tableColumns count="1">
    <tableColumn id="1" xr3:uid="{00000000-0010-0000-AB00-000001000000}" name="QTY"/>
  </tableColumns>
  <tableStyleInfo name="LACE - PENDING-style 10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113" displayName="Table113" ref="C15:C32">
  <tableColumns count="1">
    <tableColumn id="1" xr3:uid="{00000000-0010-0000-AC00-000001000000}" name="ARTICLE"/>
  </tableColumns>
  <tableStyleInfo name="LACE - SOLD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114" displayName="Table114" ref="E15:E32">
  <tableColumns count="1">
    <tableColumn id="1" xr3:uid="{00000000-0010-0000-AD00-000001000000}" name="QTY"/>
  </tableColumns>
  <tableStyleInfo name="LACE - SOLD-style 2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115" displayName="Table115" ref="C38:C56">
  <tableColumns count="1">
    <tableColumn id="1" xr3:uid="{00000000-0010-0000-AE00-000001000000}" name="ARTICLE"/>
  </tableColumns>
  <tableStyleInfo name="LACE - SOLD-style 3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118" displayName="Table118" ref="E38:E56">
  <tableColumns count="1">
    <tableColumn id="1" xr3:uid="{00000000-0010-0000-AF00-000001000000}" name="QTY"/>
  </tableColumns>
  <tableStyleInfo name="LACE - SOLD-style 4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116" displayName="Table116" ref="C72:C91">
  <tableColumns count="1">
    <tableColumn id="1" xr3:uid="{00000000-0010-0000-B000-000001000000}" name="ARTICLE"/>
  </tableColumns>
  <tableStyleInfo name="LACE - SOLD-style 5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117" displayName="Table117" ref="E72:E91">
  <tableColumns count="1">
    <tableColumn id="1" xr3:uid="{00000000-0010-0000-B100-000001000000}" name="QTY"/>
  </tableColumns>
  <tableStyleInfo name="LACE - SOLD-style 6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4" displayName="Table_4" ref="C100" headerRowCount="0">
  <tableColumns count="1">
    <tableColumn id="1" xr3:uid="{00000000-0010-0000-B200-000001000000}" name="Column1"/>
  </tableColumns>
  <tableStyleInfo name="LACE - SOLD-style 7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5" displayName="Table_5" ref="E100" headerRowCount="0">
  <tableColumns count="1">
    <tableColumn id="1" xr3:uid="{00000000-0010-0000-B300-000001000000}" name="Column1"/>
  </tableColumns>
  <tableStyleInfo name="LACE - SOLD-style 8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6" displayName="Table_6" ref="C109" headerRowCount="0">
  <tableColumns count="1">
    <tableColumn id="1" xr3:uid="{00000000-0010-0000-B400-000001000000}" name="Column1"/>
  </tableColumns>
  <tableStyleInfo name="LACE - SOLD-style 9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7" displayName="Table_7" ref="E109" headerRowCount="0">
  <tableColumns count="1">
    <tableColumn id="1" xr3:uid="{00000000-0010-0000-B500-000001000000}" name="Column1"/>
  </tableColumns>
  <tableStyleInfo name="LACE - SOLD-style 10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8" displayName="Table_8" ref="A1:N10">
  <tableColumns count="14">
    <tableColumn id="1" xr3:uid="{00000000-0010-0000-B600-000001000000}" name="ITEM"/>
    <tableColumn id="2" xr3:uid="{00000000-0010-0000-B600-000002000000}" name="TOTAL BOXES"/>
    <tableColumn id="3" xr3:uid="{00000000-0010-0000-B600-000003000000}" name="BOXES AVAILABLE"/>
    <tableColumn id="4" xr3:uid="{00000000-0010-0000-B600-000004000000}" name="BOXES SOLD "/>
    <tableColumn id="5" xr3:uid="{00000000-0010-0000-B600-000005000000}" name="BOXES PENDING"/>
    <tableColumn id="6" xr3:uid="{00000000-0010-0000-B600-000006000000}" name="TOTAL BOXES IN OFFICE"/>
    <tableColumn id="7" xr3:uid="{00000000-0010-0000-B600-000007000000}" name="TOTAL METERS IN OFFICE"/>
    <tableColumn id="8" xr3:uid="{00000000-0010-0000-B600-000008000000}" name="TOTAL VALUE IN OFFICE MYR"/>
    <tableColumn id="9" xr3:uid="{00000000-0010-0000-B600-000009000000}" name="TOTAL METERS IN SOLD"/>
    <tableColumn id="10" xr3:uid="{00000000-0010-0000-B600-00000A000000}" name="TOTAL VALUE OF SOLD"/>
    <tableColumn id="11" xr3:uid="{00000000-0010-0000-B600-00000B000000}" name="TOTAL METERS PENDING"/>
    <tableColumn id="12" xr3:uid="{00000000-0010-0000-B600-00000C000000}" name="TOTAL VALUE OF PENDING"/>
    <tableColumn id="13" xr3:uid="{00000000-0010-0000-B600-00000D000000}" name="TOTAL METERS"/>
    <tableColumn id="14" xr3:uid="{00000000-0010-0000-B600-00000E000000}" name="TOTAL VALUE MYR"/>
  </tableColumns>
  <tableStyleInfo name="CEMB - STOCK OVERVIEW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CEMB_40" displayName="CEMB_40" ref="D12:D213">
  <tableColumns count="1">
    <tableColumn id="1" xr3:uid="{00000000-0010-0000-B700-000001000000}" name="QUALITY"/>
  </tableColumns>
  <tableStyleInfo name="CEMB - ALL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CEMB_60" displayName="CEMB_60" ref="D218" headerRowCount="0">
  <tableColumns count="1">
    <tableColumn id="1" xr3:uid="{00000000-0010-0000-B800-000001000000}" name="Column1"/>
  </tableColumns>
  <tableStyleInfo name="CEMB - ALL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139" displayName="Table139" ref="E218:E286">
  <tableColumns count="1">
    <tableColumn id="1" xr3:uid="{00000000-0010-0000-B900-000001000000}" name="QTY"/>
  </tableColumns>
  <tableStyleInfo name="CEMB - ALL-style 3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CEMB_120" displayName="CEMB_120" ref="D290" headerRowCount="0">
  <tableColumns count="1">
    <tableColumn id="1" xr3:uid="{00000000-0010-0000-BA00-000001000000}" name="Column1"/>
  </tableColumns>
  <tableStyleInfo name="CEMB - ALL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CEMB_180" displayName="CEMB_180" ref="D350" headerRowCount="0">
  <tableColumns count="1">
    <tableColumn id="1" xr3:uid="{00000000-0010-0000-BB00-000001000000}" name="Column1"/>
  </tableColumns>
  <tableStyleInfo name="CEMB - ALL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128" displayName="Table128" ref="C12:C18">
  <tableColumns count="1">
    <tableColumn id="1" xr3:uid="{00000000-0010-0000-BC00-000001000000}" name="ARTICLE "/>
  </tableColumns>
  <tableStyleInfo name="CEMB - PENDING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129" displayName="Table129" ref="E12:E18" totalsRowCount="1">
  <tableColumns count="1">
    <tableColumn id="1" xr3:uid="{00000000-0010-0000-BD00-000001000000}" name="QTY" totalsRowFunction="custom">
      <totalsRowFormula>SUM(Table129[])</totalsRowFormula>
    </tableColumn>
  </tableColumns>
  <tableStyleInfo name="CEMB - PENDING-style 2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127" displayName="Table127" ref="H12:H18" totalsRowCount="1">
  <tableColumns count="1">
    <tableColumn id="1" xr3:uid="{00000000-0010-0000-BE00-000001000000}" name="COST PIECE RM" totalsRowFunction="custom">
      <totalsRowFormula>SUM(Table127[])</totalsRowFormula>
    </tableColumn>
  </tableColumns>
  <tableStyleInfo name="CEMB - PENDING-style 3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131" displayName="Table131" ref="C25:C31">
  <tableColumns count="1">
    <tableColumn id="1" xr3:uid="{00000000-0010-0000-BF00-000001000000}" name="ARTICLE "/>
  </tableColumns>
  <tableStyleInfo name="CEMB - PENDING-style 4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134" displayName="Table134" ref="E25:E31" totalsRowCount="1">
  <tableColumns count="1">
    <tableColumn id="1" xr3:uid="{00000000-0010-0000-C000-000001000000}" name="QTY" totalsRowFunction="custom">
      <totalsRowFormula>SUM(Table134[])</totalsRowFormula>
    </tableColumn>
  </tableColumns>
  <tableStyleInfo name="CEMB - PENDING-style 5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130" displayName="Table130" ref="H25:H31" totalsRowCount="1">
  <tableColumns count="1">
    <tableColumn id="1" xr3:uid="{00000000-0010-0000-C100-000001000000}" name="COST PIECE RM" totalsRowFunction="custom">
      <totalsRowFormula>SUM(Table130[])</totalsRowFormula>
    </tableColumn>
  </tableColumns>
  <tableStyleInfo name="CEMB - PENDING-style 6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132" displayName="Table132" ref="C37:C43">
  <tableColumns count="1">
    <tableColumn id="1" xr3:uid="{00000000-0010-0000-C200-000001000000}" name="ARTICLE "/>
  </tableColumns>
  <tableStyleInfo name="CEMB - PENDING-style 7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133" displayName="Table133" ref="E37:E43" totalsRowCount="1">
  <tableColumns count="1">
    <tableColumn id="1" xr3:uid="{00000000-0010-0000-C300-000001000000}" name="QTY" totalsRowFunction="custom">
      <totalsRowFormula>SUM(Table133[])</totalsRowFormula>
    </tableColumn>
  </tableColumns>
  <tableStyleInfo name="CEMB - PENDING-style 8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137" displayName="Table137" ref="H37:H43" totalsRowCount="1">
  <tableColumns count="1">
    <tableColumn id="1" xr3:uid="{00000000-0010-0000-C400-000001000000}" name="COST PIECE RM" totalsRowFunction="custom">
      <totalsRowFormula>SUM(Table137[])</totalsRowFormula>
    </tableColumn>
  </tableColumns>
  <tableStyleInfo name="CEMB - PENDING-style 9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136" displayName="Table136" ref="C49:C55">
  <tableColumns count="1">
    <tableColumn id="1" xr3:uid="{00000000-0010-0000-C500-000001000000}" name="ARTICLE "/>
  </tableColumns>
  <tableStyleInfo name="CEMB - PENDING-style 10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135" displayName="Table135" ref="E49:E55" totalsRowCount="1">
  <tableColumns count="1">
    <tableColumn id="1" xr3:uid="{00000000-0010-0000-C600-000001000000}" name="QTY" totalsRowFunction="custom">
      <totalsRowFormula>SUM(Table135[])</totalsRowFormula>
    </tableColumn>
  </tableColumns>
  <tableStyleInfo name="CEMB - PENDING-style 11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138" displayName="Table138" ref="H49:H55" totalsRowCount="1">
  <tableColumns count="1">
    <tableColumn id="1" xr3:uid="{00000000-0010-0000-C700-000001000000}" name="COST PIECE RM" totalsRowFunction="custom">
      <totalsRowFormula>SUM(Table138[])</totalsRowFormula>
    </tableColumn>
  </tableColumns>
  <tableStyleInfo name="CEMB - PENDING-style 12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119" displayName="Table119" ref="C15:C21">
  <tableColumns count="1">
    <tableColumn id="1" xr3:uid="{00000000-0010-0000-C800-000001000000}" name="ARTICLE"/>
  </tableColumns>
  <tableStyleInfo name="CEMB - SOLD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120" displayName="Table120" ref="E15:E22" totalsRowCount="1">
  <tableColumns count="1">
    <tableColumn id="1" xr3:uid="{00000000-0010-0000-C900-000001000000}" name="QTY" totalsRowFunction="custom">
      <totalsRowFormula>SUM(Table120[QTY])</totalsRowFormula>
    </tableColumn>
  </tableColumns>
  <tableStyleInfo name="CEMB - SOLD-style 2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121" displayName="Table121" ref="K15:K22" totalsRowCount="1">
  <tableColumns count="1">
    <tableColumn id="1" xr3:uid="{00000000-0010-0000-CA00-000001000000}" name="COST PER PC" totalsRowFunction="custom">
      <totalsRowFormula>SUM(Table121[])</totalsRowFormula>
    </tableColumn>
  </tableColumns>
  <tableStyleInfo name="CEMB - SOLD-style 3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122" displayName="Table122" ref="C28:C43">
  <tableColumns count="1">
    <tableColumn id="1" xr3:uid="{00000000-0010-0000-CB00-000001000000}" name="ARTICLE"/>
  </tableColumns>
  <tableStyleInfo name="CEMB - SOLD-style 4" showFirstColumn="1" showLastColumn="1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123" displayName="Table123" ref="E28:E43" totalsRowCount="1">
  <tableColumns count="1">
    <tableColumn id="1" xr3:uid="{00000000-0010-0000-CC00-000001000000}" name="QTY" totalsRowFunction="custom">
      <totalsRowFormula>SUM(Table123[])</totalsRowFormula>
    </tableColumn>
  </tableColumns>
  <tableStyleInfo name="CEMB - SOLD-style 5" showFirstColumn="1" showLastColumn="1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126" displayName="Table126" ref="K28:K43" totalsRowCount="1">
  <tableColumns count="1">
    <tableColumn id="1" xr3:uid="{00000000-0010-0000-CD00-000001000000}" name="COST PER PC" totalsRowFunction="custom">
      <totalsRowFormula>SUM(Table126[COST PER PC])</totalsRowFormula>
    </tableColumn>
  </tableColumns>
  <tableStyleInfo name="CEMB - SOLD-style 6" showFirstColumn="1" showLastColumn="1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124" displayName="Table124" ref="E48:E56" totalsRowCount="1">
  <tableColumns count="1">
    <tableColumn id="1" xr3:uid="{00000000-0010-0000-CE00-000001000000}" name="QTY" totalsRowFunction="custom">
      <totalsRowFormula>SUM(Table124[])</totalsRowFormula>
    </tableColumn>
  </tableColumns>
  <tableStyleInfo name="CEMB - SOLD-style 7" showFirstColumn="1" showLastColumn="1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125" displayName="Table125" ref="K48:K56" totalsRowCount="1">
  <tableColumns count="1">
    <tableColumn id="1" xr3:uid="{00000000-0010-0000-CF00-000001000000}" name="COST PER PC" totalsRowFunction="custom">
      <totalsRowFormula>SUM(Table125[COST PER PC])</totalsRowFormula>
    </tableColumn>
  </tableColumns>
  <tableStyleInfo name="CEMB - SOLD-style 8" showFirstColumn="1" showLastColumn="1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140" displayName="Table140" ref="E61:E68" totalsRowCount="1">
  <tableColumns count="1">
    <tableColumn id="1" xr3:uid="{00000000-0010-0000-D000-000001000000}" name="QTY" totalsRowFunction="custom">
      <totalsRowFormula>SUM(Table140[])</totalsRowFormula>
    </tableColumn>
  </tableColumns>
  <tableStyleInfo name="CEMB - SOLD-style 9" showFirstColumn="1" showLastColumn="1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141" displayName="Table141" ref="K61:K68" totalsRowCount="1">
  <tableColumns count="1">
    <tableColumn id="1" xr3:uid="{00000000-0010-0000-D100-000001000000}" name="COST PER PC" totalsRowFunction="custom">
      <totalsRowFormula>SUM(Table141[COST PER PC])</totalsRowFormula>
    </tableColumn>
  </tableColumns>
  <tableStyleInfo name="CEMB - SOLD-style 10" showFirstColumn="1" showLastColumn="1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9" displayName="Table_9" ref="A1:N34">
  <tableColumns count="14">
    <tableColumn id="1" xr3:uid="{00000000-0010-0000-D200-000001000000}" name="ITEM"/>
    <tableColumn id="2" xr3:uid="{00000000-0010-0000-D200-000002000000}" name="TOTAL BOXES"/>
    <tableColumn id="3" xr3:uid="{00000000-0010-0000-D200-000003000000}" name="BOXES SOLD "/>
    <tableColumn id="4" xr3:uid="{00000000-0010-0000-D200-000004000000}" name="TOTAL BOXES IN OFFICE"/>
    <tableColumn id="5" xr3:uid="{00000000-0010-0000-D200-000005000000}" name="BOXES AVAILABLE"/>
    <tableColumn id="6" xr3:uid="{00000000-0010-0000-D200-000006000000}" name="BOXES PENDING"/>
    <tableColumn id="7" xr3:uid="{00000000-0010-0000-D200-000007000000}" name="TOTAL METERS"/>
    <tableColumn id="8" xr3:uid="{00000000-0010-0000-D200-000008000000}" name="TOTAL METERS IN OFFICE"/>
    <tableColumn id="9" xr3:uid="{00000000-0010-0000-D200-000009000000}" name="TOTAL METERS IN SOLD"/>
    <tableColumn id="10" xr3:uid="{00000000-0010-0000-D200-00000A000000}" name="TOTAL METERS PENDING"/>
    <tableColumn id="11" xr3:uid="{00000000-0010-0000-D200-00000B000000}" name="TOTAL VALUE MYR"/>
    <tableColumn id="12" xr3:uid="{00000000-0010-0000-D200-00000C000000}" name="TOTAL VALUE IN OFFICE MYR"/>
    <tableColumn id="13" xr3:uid="{00000000-0010-0000-D200-00000D000000}" name="TOTAL VALUE OF SOLD"/>
    <tableColumn id="14" xr3:uid="{00000000-0010-0000-D200-00000E000000}" name="TOTAL VALUE OF PENDING"/>
  </tableColumns>
  <tableStyleInfo name="EMBROIDERY - STOCK OVERVIEW -style" showFirstColumn="1" showLastColumn="1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EMB_ARGO" displayName="EMB_ARGO" ref="D14" headerRowCount="0">
  <tableColumns count="1">
    <tableColumn id="1" xr3:uid="{00000000-0010-0000-D300-000001000000}" name="Column1"/>
  </tableColumns>
  <tableStyleInfo name="EMBROIDERY - ALL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RIC_P" displayName="RIC_P" ref="D30" headerRowCount="0">
  <tableColumns count="1">
    <tableColumn id="1" xr3:uid="{00000000-0010-0000-D400-000001000000}" name="Column1"/>
  </tableColumns>
  <tableStyleInfo name="EMBROIDERY - ALL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HOFE" displayName="HOFE" ref="D39" headerRowCount="0">
  <tableColumns count="1">
    <tableColumn id="1" xr3:uid="{00000000-0010-0000-D500-000001000000}" name="Column1"/>
  </tableColumns>
  <tableStyleInfo name="EMBROIDERY - ALL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ALDO" displayName="ALDO" ref="D50" headerRowCount="0">
  <tableColumns count="1">
    <tableColumn id="1" xr3:uid="{00000000-0010-0000-D600-000001000000}" name="Column1"/>
  </tableColumns>
  <tableStyleInfo name="EMBROIDERY - ALL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RIC_G" displayName="RIC_G" ref="D68" headerRowCount="0">
  <tableColumns count="1">
    <tableColumn id="1" xr3:uid="{00000000-0010-0000-D700-000001000000}" name="Column1"/>
  </tableColumns>
  <tableStyleInfo name="EMBROIDERY - ALL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QUO_1" displayName="QUO_1" ref="D82" headerRowCount="0">
  <tableColumns count="1">
    <tableColumn id="1" xr3:uid="{00000000-0010-0000-D800-000001000000}" name="Column1"/>
  </tableColumns>
  <tableStyleInfo name="EMBROIDERY - ALL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ASPE" displayName="ASPE" ref="D94" headerRowCount="0">
  <tableColumns count="1">
    <tableColumn id="1" xr3:uid="{00000000-0010-0000-D900-000001000000}" name="Column1"/>
  </tableColumns>
  <tableStyleInfo name="EMBROIDERY - ALL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CAND" displayName="CAND" ref="D104" headerRowCount="0">
  <tableColumns count="1">
    <tableColumn id="1" xr3:uid="{00000000-0010-0000-DA00-000001000000}" name="Column1"/>
  </tableColumns>
  <tableStyleInfo name="EMBROIDERY - ALL-style 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UNI" displayName="UNI" ref="D125" headerRowCount="0">
  <tableColumns count="1">
    <tableColumn id="1" xr3:uid="{00000000-0010-0000-DB00-000001000000}" name="Column1"/>
  </tableColumns>
  <tableStyleInfo name="EMBROIDERY - ALL-style 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OKU" displayName="OKU" ref="D147" headerRowCount="0">
  <tableColumns count="1">
    <tableColumn id="1" xr3:uid="{00000000-0010-0000-DC00-000001000000}" name="Column1"/>
  </tableColumns>
  <tableStyleInfo name="EMBROIDERY - ALL-style 1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RIC_GIM" displayName="RIC_GIM" ref="D165" headerRowCount="0">
  <tableColumns count="1">
    <tableColumn id="1" xr3:uid="{00000000-0010-0000-DD00-000001000000}" name="Column1"/>
  </tableColumns>
  <tableStyleInfo name="EMBROIDERY - ALL-style 1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DIS" displayName="DIS" ref="D215" headerRowCount="0">
  <tableColumns count="1">
    <tableColumn id="1" xr3:uid="{00000000-0010-0000-DE00-000001000000}" name="Column1"/>
  </tableColumns>
  <tableStyleInfo name="EMBROIDERY - ALL-style 1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RIC_BR" displayName="RIC_BR" ref="D230" headerRowCount="0">
  <tableColumns count="1">
    <tableColumn id="1" xr3:uid="{00000000-0010-0000-DF00-000001000000}" name="Column1"/>
  </tableColumns>
  <tableStyleInfo name="EMBROIDERY - ALL-style 1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VEM" displayName="VEM" ref="D250" headerRowCount="0">
  <tableColumns count="1">
    <tableColumn id="1" xr3:uid="{00000000-0010-0000-E000-000001000000}" name="Column1"/>
  </tableColumns>
  <tableStyleInfo name="EMBROIDERY - ALL-style 1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GM_B" displayName="TGM_B" ref="D279" headerRowCount="0">
  <tableColumns count="1">
    <tableColumn id="1" xr3:uid="{00000000-0010-0000-E100-000001000000}" name="Column1"/>
  </tableColumns>
  <tableStyleInfo name="EMBROIDERY - ALL-style 1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MURA" displayName="MURA" ref="D298" headerRowCount="0">
  <tableColumns count="1">
    <tableColumn id="1" xr3:uid="{00000000-0010-0000-E200-000001000000}" name="Column1"/>
  </tableColumns>
  <tableStyleInfo name="EMBROIDERY - ALL-style 1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LAGA" displayName="LAGA" ref="D309" headerRowCount="0">
  <tableColumns count="1">
    <tableColumn id="1" xr3:uid="{00000000-0010-0000-E300-000001000000}" name="Column1"/>
  </tableColumns>
  <tableStyleInfo name="EMBROIDERY - ALL-style 1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CASA_" displayName="CASA_" ref="D322" headerRowCount="0">
  <tableColumns count="1">
    <tableColumn id="1" xr3:uid="{00000000-0010-0000-E400-000001000000}" name="Column1"/>
  </tableColumns>
  <tableStyleInfo name="EMBROIDERY - ALL-style 1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SHA" displayName="SHA" ref="D342" headerRowCount="0">
  <tableColumns count="1">
    <tableColumn id="1" xr3:uid="{00000000-0010-0000-E500-000001000000}" name="Column1"/>
  </tableColumns>
  <tableStyleInfo name="EMBROIDERY - ALL-style 1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SOL_SID" displayName="SOL_SID" ref="D351" headerRowCount="0">
  <tableColumns count="1">
    <tableColumn id="1" xr3:uid="{00000000-0010-0000-E600-000001000000}" name="Column1"/>
  </tableColumns>
  <tableStyleInfo name="EMBROIDERY - ALL-style 20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SOL_ORI" displayName="SOL_ORI" ref="D367" headerRowCount="0">
  <tableColumns count="1">
    <tableColumn id="1" xr3:uid="{00000000-0010-0000-E700-000001000000}" name="Column1"/>
  </tableColumns>
  <tableStyleInfo name="EMBROIDERY - ALL-style 2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TGM" displayName="TGM" ref="D382" headerRowCount="0">
  <tableColumns count="1">
    <tableColumn id="1" xr3:uid="{00000000-0010-0000-E800-000001000000}" name="Column1"/>
  </tableColumns>
  <tableStyleInfo name="EMBROIDERY - ALL-style 2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TGM_B2" displayName="TGM_B2" ref="D396" headerRowCount="0">
  <tableColumns count="1">
    <tableColumn id="1" xr3:uid="{00000000-0010-0000-E900-000001000000}" name="Column1"/>
  </tableColumns>
  <tableStyleInfo name="EMBROIDERY - ALL-style 2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NEC" displayName="NEC" ref="D409" headerRowCount="0">
  <tableColumns count="1">
    <tableColumn id="1" xr3:uid="{00000000-0010-0000-EA00-000001000000}" name="Column1"/>
  </tableColumns>
  <tableStyleInfo name="EMBROIDERY - ALL-style 2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RUFFO" displayName="RUFFO" ref="D420" headerRowCount="0">
  <tableColumns count="1">
    <tableColumn id="1" xr3:uid="{00000000-0010-0000-EB00-000001000000}" name="Column1"/>
  </tableColumns>
  <tableStyleInfo name="EMBROIDERY - ALL-style 2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QUO_2" displayName="QUO_2" ref="D429" headerRowCount="0">
  <tableColumns count="1">
    <tableColumn id="1" xr3:uid="{00000000-0010-0000-EC00-000001000000}" name="Column1"/>
  </tableColumns>
  <tableStyleInfo name="EMBROIDERY - ALL-style 2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Table3" displayName="Table3" ref="D438" headerRowCount="0">
  <tableColumns count="1">
    <tableColumn id="1" xr3:uid="{00000000-0010-0000-ED00-000001000000}" name="Column1"/>
  </tableColumns>
  <tableStyleInfo name="EMBROIDERY - ALL-style 2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QUO_3" displayName="QUO_3" ref="D468" headerRowCount="0">
  <tableColumns count="1">
    <tableColumn id="1" xr3:uid="{00000000-0010-0000-EE00-000001000000}" name="Column1"/>
  </tableColumns>
  <tableStyleInfo name="EMBROIDERY - ALL-style 2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16T09:07:10.00" personId="{58c214a6-38b4-49e9-b963-609cd917e708}" id="{ba6b4240-6ff3-41ed-b9fd-1e2f03cc0439}" done="1">
    <x18tc:text xml:space="preserve">Is this a total?</x18tc:text>
  </x18tc:threadedComment>
  <x18tc:threadedComment ref="A1" dT="2025-11-16T09:17:47.00" personId="{a4cf836f-69e1-4d43-bf6e-73b075b42d4b}" id="{f626dd42-aabf-4b5b-b407-7ba672d1be15}" parentId="{ba6b4240-6ff3-41ed-b9fd-1e2f03cc0439}">
    <x18tc:text xml:space="preserve">yes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8" dT="2025-11-15T07:05:17.00" personId="{58c214a6-38b4-49e9-b963-609cd917e708}" id="{1581ebac-bb21-441b-825f-ea2fb580a3cb}" done="1">
    <x18tc:text xml:space="preserve">This doesn't include Ricciarini cord lace. Is this correct?</x18tc:text>
  </x18tc:threadedComment>
  <x18tc:threadedComment ref="I28" dT="2025-11-15T07:17:19.00" personId="{a4cf836f-69e1-4d43-bf6e-73b075b42d4b}" id="{ae679213-195d-416e-afea-6839e8bed978}" parentId="{1581ebac-bb21-441b-825f-ea2fb580a3cb}">
    <x18tc:text xml:space="preserve">Yes. However i need to find a way to put this into the stock list. I have add it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6" dT="2026-03-27T15:35:55.00" personId="{a4cf836f-69e1-4d43-bf6e-73b075b42d4b}" id="{701a88fd-c7e4-4565-a4f1-7986a72de5de}" done="0">
    <x18tc:text xml:space="preserve">Price for 5 Mt Bal in office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investopedia.com/terms/p/plstatement.asp" TargetMode="Externa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5.xml"/><Relationship Id="rId18" Type="http://schemas.openxmlformats.org/officeDocument/2006/relationships/table" Target="../tables/table20.xml"/><Relationship Id="rId26" Type="http://schemas.openxmlformats.org/officeDocument/2006/relationships/table" Target="../tables/table28.xml"/><Relationship Id="rId39" Type="http://schemas.openxmlformats.org/officeDocument/2006/relationships/table" Target="../tables/table41.xml"/><Relationship Id="rId21" Type="http://schemas.openxmlformats.org/officeDocument/2006/relationships/table" Target="../tables/table23.xml"/><Relationship Id="rId34" Type="http://schemas.openxmlformats.org/officeDocument/2006/relationships/table" Target="../tables/table36.xml"/><Relationship Id="rId42" Type="http://schemas.openxmlformats.org/officeDocument/2006/relationships/table" Target="../tables/table44.xml"/><Relationship Id="rId47" Type="http://schemas.openxmlformats.org/officeDocument/2006/relationships/table" Target="../tables/table49.xml"/><Relationship Id="rId50" Type="http://schemas.openxmlformats.org/officeDocument/2006/relationships/table" Target="../tables/table52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6" Type="http://schemas.openxmlformats.org/officeDocument/2006/relationships/table" Target="../tables/table18.xml"/><Relationship Id="rId29" Type="http://schemas.openxmlformats.org/officeDocument/2006/relationships/table" Target="../tables/table31.xml"/><Relationship Id="rId11" Type="http://schemas.openxmlformats.org/officeDocument/2006/relationships/table" Target="../tables/table13.xml"/><Relationship Id="rId24" Type="http://schemas.openxmlformats.org/officeDocument/2006/relationships/table" Target="../tables/table26.xml"/><Relationship Id="rId32" Type="http://schemas.openxmlformats.org/officeDocument/2006/relationships/table" Target="../tables/table34.xml"/><Relationship Id="rId37" Type="http://schemas.openxmlformats.org/officeDocument/2006/relationships/table" Target="../tables/table39.xml"/><Relationship Id="rId40" Type="http://schemas.openxmlformats.org/officeDocument/2006/relationships/table" Target="../tables/table42.xml"/><Relationship Id="rId45" Type="http://schemas.openxmlformats.org/officeDocument/2006/relationships/table" Target="../tables/table47.xml"/><Relationship Id="rId5" Type="http://schemas.openxmlformats.org/officeDocument/2006/relationships/table" Target="../tables/table7.xml"/><Relationship Id="rId15" Type="http://schemas.openxmlformats.org/officeDocument/2006/relationships/table" Target="../tables/table17.xml"/><Relationship Id="rId23" Type="http://schemas.openxmlformats.org/officeDocument/2006/relationships/table" Target="../tables/table25.xml"/><Relationship Id="rId28" Type="http://schemas.openxmlformats.org/officeDocument/2006/relationships/table" Target="../tables/table30.xml"/><Relationship Id="rId36" Type="http://schemas.openxmlformats.org/officeDocument/2006/relationships/table" Target="../tables/table38.xml"/><Relationship Id="rId49" Type="http://schemas.openxmlformats.org/officeDocument/2006/relationships/table" Target="../tables/table51.xml"/><Relationship Id="rId10" Type="http://schemas.openxmlformats.org/officeDocument/2006/relationships/table" Target="../tables/table12.xml"/><Relationship Id="rId19" Type="http://schemas.openxmlformats.org/officeDocument/2006/relationships/table" Target="../tables/table21.xml"/><Relationship Id="rId31" Type="http://schemas.openxmlformats.org/officeDocument/2006/relationships/table" Target="../tables/table33.xml"/><Relationship Id="rId44" Type="http://schemas.openxmlformats.org/officeDocument/2006/relationships/table" Target="../tables/table46.xml"/><Relationship Id="rId52" Type="http://schemas.openxmlformats.org/officeDocument/2006/relationships/table" Target="../tables/table54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Relationship Id="rId14" Type="http://schemas.openxmlformats.org/officeDocument/2006/relationships/table" Target="../tables/table16.xml"/><Relationship Id="rId22" Type="http://schemas.openxmlformats.org/officeDocument/2006/relationships/table" Target="../tables/table24.xml"/><Relationship Id="rId27" Type="http://schemas.openxmlformats.org/officeDocument/2006/relationships/table" Target="../tables/table29.xml"/><Relationship Id="rId30" Type="http://schemas.openxmlformats.org/officeDocument/2006/relationships/table" Target="../tables/table32.xml"/><Relationship Id="rId35" Type="http://schemas.openxmlformats.org/officeDocument/2006/relationships/table" Target="../tables/table37.xml"/><Relationship Id="rId43" Type="http://schemas.openxmlformats.org/officeDocument/2006/relationships/table" Target="../tables/table45.xml"/><Relationship Id="rId48" Type="http://schemas.openxmlformats.org/officeDocument/2006/relationships/table" Target="../tables/table50.xml"/><Relationship Id="rId8" Type="http://schemas.openxmlformats.org/officeDocument/2006/relationships/table" Target="../tables/table10.xml"/><Relationship Id="rId51" Type="http://schemas.openxmlformats.org/officeDocument/2006/relationships/table" Target="../tables/table53.xml"/><Relationship Id="rId3" Type="http://schemas.openxmlformats.org/officeDocument/2006/relationships/table" Target="../tables/table5.xml"/><Relationship Id="rId12" Type="http://schemas.openxmlformats.org/officeDocument/2006/relationships/table" Target="../tables/table14.xml"/><Relationship Id="rId17" Type="http://schemas.openxmlformats.org/officeDocument/2006/relationships/table" Target="../tables/table19.xml"/><Relationship Id="rId25" Type="http://schemas.openxmlformats.org/officeDocument/2006/relationships/table" Target="../tables/table27.xml"/><Relationship Id="rId33" Type="http://schemas.openxmlformats.org/officeDocument/2006/relationships/table" Target="../tables/table35.xml"/><Relationship Id="rId38" Type="http://schemas.openxmlformats.org/officeDocument/2006/relationships/table" Target="../tables/table40.xml"/><Relationship Id="rId46" Type="http://schemas.openxmlformats.org/officeDocument/2006/relationships/table" Target="../tables/table48.xml"/><Relationship Id="rId20" Type="http://schemas.openxmlformats.org/officeDocument/2006/relationships/table" Target="../tables/table22.xml"/><Relationship Id="rId41" Type="http://schemas.openxmlformats.org/officeDocument/2006/relationships/table" Target="../tables/table43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67.xml"/><Relationship Id="rId18" Type="http://schemas.openxmlformats.org/officeDocument/2006/relationships/table" Target="../tables/table72.xml"/><Relationship Id="rId26" Type="http://schemas.openxmlformats.org/officeDocument/2006/relationships/table" Target="../tables/table80.xml"/><Relationship Id="rId39" Type="http://schemas.openxmlformats.org/officeDocument/2006/relationships/table" Target="../tables/table93.xml"/><Relationship Id="rId21" Type="http://schemas.openxmlformats.org/officeDocument/2006/relationships/table" Target="../tables/table75.xml"/><Relationship Id="rId34" Type="http://schemas.openxmlformats.org/officeDocument/2006/relationships/table" Target="../tables/table88.xml"/><Relationship Id="rId42" Type="http://schemas.openxmlformats.org/officeDocument/2006/relationships/table" Target="../tables/table96.xml"/><Relationship Id="rId47" Type="http://schemas.openxmlformats.org/officeDocument/2006/relationships/table" Target="../tables/table101.xml"/><Relationship Id="rId50" Type="http://schemas.openxmlformats.org/officeDocument/2006/relationships/table" Target="../tables/table104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6" Type="http://schemas.openxmlformats.org/officeDocument/2006/relationships/table" Target="../tables/table70.xml"/><Relationship Id="rId29" Type="http://schemas.openxmlformats.org/officeDocument/2006/relationships/table" Target="../tables/table83.xml"/><Relationship Id="rId11" Type="http://schemas.openxmlformats.org/officeDocument/2006/relationships/table" Target="../tables/table65.xml"/><Relationship Id="rId24" Type="http://schemas.openxmlformats.org/officeDocument/2006/relationships/table" Target="../tables/table78.xml"/><Relationship Id="rId32" Type="http://schemas.openxmlformats.org/officeDocument/2006/relationships/table" Target="../tables/table86.xml"/><Relationship Id="rId37" Type="http://schemas.openxmlformats.org/officeDocument/2006/relationships/table" Target="../tables/table91.xml"/><Relationship Id="rId40" Type="http://schemas.openxmlformats.org/officeDocument/2006/relationships/table" Target="../tables/table94.xml"/><Relationship Id="rId45" Type="http://schemas.openxmlformats.org/officeDocument/2006/relationships/table" Target="../tables/table99.xml"/><Relationship Id="rId5" Type="http://schemas.openxmlformats.org/officeDocument/2006/relationships/table" Target="../tables/table59.xml"/><Relationship Id="rId15" Type="http://schemas.openxmlformats.org/officeDocument/2006/relationships/table" Target="../tables/table69.xml"/><Relationship Id="rId23" Type="http://schemas.openxmlformats.org/officeDocument/2006/relationships/table" Target="../tables/table77.xml"/><Relationship Id="rId28" Type="http://schemas.openxmlformats.org/officeDocument/2006/relationships/table" Target="../tables/table82.xml"/><Relationship Id="rId36" Type="http://schemas.openxmlformats.org/officeDocument/2006/relationships/table" Target="../tables/table90.xml"/><Relationship Id="rId49" Type="http://schemas.openxmlformats.org/officeDocument/2006/relationships/table" Target="../tables/table103.xml"/><Relationship Id="rId10" Type="http://schemas.openxmlformats.org/officeDocument/2006/relationships/table" Target="../tables/table64.xml"/><Relationship Id="rId19" Type="http://schemas.openxmlformats.org/officeDocument/2006/relationships/table" Target="../tables/table73.xml"/><Relationship Id="rId31" Type="http://schemas.openxmlformats.org/officeDocument/2006/relationships/table" Target="../tables/table85.xml"/><Relationship Id="rId44" Type="http://schemas.openxmlformats.org/officeDocument/2006/relationships/table" Target="../tables/table98.xml"/><Relationship Id="rId4" Type="http://schemas.openxmlformats.org/officeDocument/2006/relationships/table" Target="../tables/table58.xml"/><Relationship Id="rId9" Type="http://schemas.openxmlformats.org/officeDocument/2006/relationships/table" Target="../tables/table63.xml"/><Relationship Id="rId14" Type="http://schemas.openxmlformats.org/officeDocument/2006/relationships/table" Target="../tables/table68.xml"/><Relationship Id="rId22" Type="http://schemas.openxmlformats.org/officeDocument/2006/relationships/table" Target="../tables/table76.xml"/><Relationship Id="rId27" Type="http://schemas.openxmlformats.org/officeDocument/2006/relationships/table" Target="../tables/table81.xml"/><Relationship Id="rId30" Type="http://schemas.openxmlformats.org/officeDocument/2006/relationships/table" Target="../tables/table84.xml"/><Relationship Id="rId35" Type="http://schemas.openxmlformats.org/officeDocument/2006/relationships/table" Target="../tables/table89.xml"/><Relationship Id="rId43" Type="http://schemas.openxmlformats.org/officeDocument/2006/relationships/table" Target="../tables/table97.xml"/><Relationship Id="rId48" Type="http://schemas.openxmlformats.org/officeDocument/2006/relationships/table" Target="../tables/table102.xml"/><Relationship Id="rId8" Type="http://schemas.openxmlformats.org/officeDocument/2006/relationships/table" Target="../tables/table62.xml"/><Relationship Id="rId51" Type="http://schemas.openxmlformats.org/officeDocument/2006/relationships/table" Target="../tables/table105.xml"/><Relationship Id="rId3" Type="http://schemas.openxmlformats.org/officeDocument/2006/relationships/table" Target="../tables/table57.xml"/><Relationship Id="rId12" Type="http://schemas.openxmlformats.org/officeDocument/2006/relationships/table" Target="../tables/table66.xml"/><Relationship Id="rId17" Type="http://schemas.openxmlformats.org/officeDocument/2006/relationships/table" Target="../tables/table71.xml"/><Relationship Id="rId25" Type="http://schemas.openxmlformats.org/officeDocument/2006/relationships/table" Target="../tables/table79.xml"/><Relationship Id="rId33" Type="http://schemas.openxmlformats.org/officeDocument/2006/relationships/table" Target="../tables/table87.xml"/><Relationship Id="rId38" Type="http://schemas.openxmlformats.org/officeDocument/2006/relationships/table" Target="../tables/table92.xml"/><Relationship Id="rId46" Type="http://schemas.openxmlformats.org/officeDocument/2006/relationships/table" Target="../tables/table100.xml"/><Relationship Id="rId20" Type="http://schemas.openxmlformats.org/officeDocument/2006/relationships/table" Target="../tables/table74.xml"/><Relationship Id="rId41" Type="http://schemas.openxmlformats.org/officeDocument/2006/relationships/table" Target="../tables/table95.xml"/><Relationship Id="rId1" Type="http://schemas.openxmlformats.org/officeDocument/2006/relationships/table" Target="../tables/table55.xml"/><Relationship Id="rId6" Type="http://schemas.openxmlformats.org/officeDocument/2006/relationships/table" Target="../tables/table60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8.xml"/><Relationship Id="rId18" Type="http://schemas.openxmlformats.org/officeDocument/2006/relationships/table" Target="../tables/table123.xml"/><Relationship Id="rId26" Type="http://schemas.openxmlformats.org/officeDocument/2006/relationships/table" Target="../tables/table131.xml"/><Relationship Id="rId39" Type="http://schemas.openxmlformats.org/officeDocument/2006/relationships/table" Target="../tables/table144.xml"/><Relationship Id="rId21" Type="http://schemas.openxmlformats.org/officeDocument/2006/relationships/table" Target="../tables/table126.xml"/><Relationship Id="rId34" Type="http://schemas.openxmlformats.org/officeDocument/2006/relationships/table" Target="../tables/table139.xml"/><Relationship Id="rId42" Type="http://schemas.openxmlformats.org/officeDocument/2006/relationships/table" Target="../tables/table147.xml"/><Relationship Id="rId47" Type="http://schemas.openxmlformats.org/officeDocument/2006/relationships/table" Target="../tables/table152.xml"/><Relationship Id="rId50" Type="http://schemas.openxmlformats.org/officeDocument/2006/relationships/table" Target="../tables/table155.xml"/><Relationship Id="rId7" Type="http://schemas.openxmlformats.org/officeDocument/2006/relationships/table" Target="../tables/table112.xml"/><Relationship Id="rId2" Type="http://schemas.openxmlformats.org/officeDocument/2006/relationships/table" Target="../tables/table107.xml"/><Relationship Id="rId16" Type="http://schemas.openxmlformats.org/officeDocument/2006/relationships/table" Target="../tables/table121.xml"/><Relationship Id="rId29" Type="http://schemas.openxmlformats.org/officeDocument/2006/relationships/table" Target="../tables/table134.xml"/><Relationship Id="rId11" Type="http://schemas.openxmlformats.org/officeDocument/2006/relationships/table" Target="../tables/table116.xml"/><Relationship Id="rId24" Type="http://schemas.openxmlformats.org/officeDocument/2006/relationships/table" Target="../tables/table129.xml"/><Relationship Id="rId32" Type="http://schemas.openxmlformats.org/officeDocument/2006/relationships/table" Target="../tables/table137.xml"/><Relationship Id="rId37" Type="http://schemas.openxmlformats.org/officeDocument/2006/relationships/table" Target="../tables/table142.xml"/><Relationship Id="rId40" Type="http://schemas.openxmlformats.org/officeDocument/2006/relationships/table" Target="../tables/table145.xml"/><Relationship Id="rId45" Type="http://schemas.openxmlformats.org/officeDocument/2006/relationships/table" Target="../tables/table150.xml"/><Relationship Id="rId5" Type="http://schemas.openxmlformats.org/officeDocument/2006/relationships/table" Target="../tables/table110.xml"/><Relationship Id="rId15" Type="http://schemas.openxmlformats.org/officeDocument/2006/relationships/table" Target="../tables/table120.xml"/><Relationship Id="rId23" Type="http://schemas.openxmlformats.org/officeDocument/2006/relationships/table" Target="../tables/table128.xml"/><Relationship Id="rId28" Type="http://schemas.openxmlformats.org/officeDocument/2006/relationships/table" Target="../tables/table133.xml"/><Relationship Id="rId36" Type="http://schemas.openxmlformats.org/officeDocument/2006/relationships/table" Target="../tables/table141.xml"/><Relationship Id="rId49" Type="http://schemas.openxmlformats.org/officeDocument/2006/relationships/table" Target="../tables/table154.xml"/><Relationship Id="rId10" Type="http://schemas.openxmlformats.org/officeDocument/2006/relationships/table" Target="../tables/table115.xml"/><Relationship Id="rId19" Type="http://schemas.openxmlformats.org/officeDocument/2006/relationships/table" Target="../tables/table124.xml"/><Relationship Id="rId31" Type="http://schemas.openxmlformats.org/officeDocument/2006/relationships/table" Target="../tables/table136.xml"/><Relationship Id="rId44" Type="http://schemas.openxmlformats.org/officeDocument/2006/relationships/table" Target="../tables/table149.xml"/><Relationship Id="rId4" Type="http://schemas.openxmlformats.org/officeDocument/2006/relationships/table" Target="../tables/table109.xml"/><Relationship Id="rId9" Type="http://schemas.openxmlformats.org/officeDocument/2006/relationships/table" Target="../tables/table114.xml"/><Relationship Id="rId14" Type="http://schemas.openxmlformats.org/officeDocument/2006/relationships/table" Target="../tables/table119.xml"/><Relationship Id="rId22" Type="http://schemas.openxmlformats.org/officeDocument/2006/relationships/table" Target="../tables/table127.xml"/><Relationship Id="rId27" Type="http://schemas.openxmlformats.org/officeDocument/2006/relationships/table" Target="../tables/table132.xml"/><Relationship Id="rId30" Type="http://schemas.openxmlformats.org/officeDocument/2006/relationships/table" Target="../tables/table135.xml"/><Relationship Id="rId35" Type="http://schemas.openxmlformats.org/officeDocument/2006/relationships/table" Target="../tables/table140.xml"/><Relationship Id="rId43" Type="http://schemas.openxmlformats.org/officeDocument/2006/relationships/table" Target="../tables/table148.xml"/><Relationship Id="rId48" Type="http://schemas.openxmlformats.org/officeDocument/2006/relationships/table" Target="../tables/table153.xml"/><Relationship Id="rId8" Type="http://schemas.openxmlformats.org/officeDocument/2006/relationships/table" Target="../tables/table113.xml"/><Relationship Id="rId51" Type="http://schemas.openxmlformats.org/officeDocument/2006/relationships/table" Target="../tables/table156.xml"/><Relationship Id="rId3" Type="http://schemas.openxmlformats.org/officeDocument/2006/relationships/table" Target="../tables/table108.xml"/><Relationship Id="rId12" Type="http://schemas.openxmlformats.org/officeDocument/2006/relationships/table" Target="../tables/table117.xml"/><Relationship Id="rId17" Type="http://schemas.openxmlformats.org/officeDocument/2006/relationships/table" Target="../tables/table122.xml"/><Relationship Id="rId25" Type="http://schemas.openxmlformats.org/officeDocument/2006/relationships/table" Target="../tables/table130.xml"/><Relationship Id="rId33" Type="http://schemas.openxmlformats.org/officeDocument/2006/relationships/table" Target="../tables/table138.xml"/><Relationship Id="rId38" Type="http://schemas.openxmlformats.org/officeDocument/2006/relationships/table" Target="../tables/table143.xml"/><Relationship Id="rId46" Type="http://schemas.openxmlformats.org/officeDocument/2006/relationships/table" Target="../tables/table151.xml"/><Relationship Id="rId20" Type="http://schemas.openxmlformats.org/officeDocument/2006/relationships/table" Target="../tables/table125.xml"/><Relationship Id="rId41" Type="http://schemas.openxmlformats.org/officeDocument/2006/relationships/table" Target="../tables/table146.xml"/><Relationship Id="rId1" Type="http://schemas.openxmlformats.org/officeDocument/2006/relationships/table" Target="../tables/table106.xml"/><Relationship Id="rId6" Type="http://schemas.openxmlformats.org/officeDocument/2006/relationships/table" Target="../tables/table1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0.xml"/><Relationship Id="rId2" Type="http://schemas.openxmlformats.org/officeDocument/2006/relationships/table" Target="../tables/table159.xml"/><Relationship Id="rId1" Type="http://schemas.openxmlformats.org/officeDocument/2006/relationships/table" Target="../tables/table158.xml"/><Relationship Id="rId5" Type="http://schemas.openxmlformats.org/officeDocument/2006/relationships/table" Target="../tables/table162.xml"/><Relationship Id="rId4" Type="http://schemas.openxmlformats.org/officeDocument/2006/relationships/table" Target="../tables/table16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0.xml"/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table" Target="../tables/table163.xml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10" Type="http://schemas.openxmlformats.org/officeDocument/2006/relationships/table" Target="../tables/table172.xml"/><Relationship Id="rId4" Type="http://schemas.openxmlformats.org/officeDocument/2006/relationships/table" Target="../tables/table166.xml"/><Relationship Id="rId9" Type="http://schemas.openxmlformats.org/officeDocument/2006/relationships/table" Target="../tables/table17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0.xml"/><Relationship Id="rId3" Type="http://schemas.openxmlformats.org/officeDocument/2006/relationships/table" Target="../tables/table175.xml"/><Relationship Id="rId7" Type="http://schemas.openxmlformats.org/officeDocument/2006/relationships/table" Target="../tables/table179.xml"/><Relationship Id="rId2" Type="http://schemas.openxmlformats.org/officeDocument/2006/relationships/table" Target="../tables/table174.xml"/><Relationship Id="rId1" Type="http://schemas.openxmlformats.org/officeDocument/2006/relationships/table" Target="../tables/table173.xml"/><Relationship Id="rId6" Type="http://schemas.openxmlformats.org/officeDocument/2006/relationships/table" Target="../tables/table178.xml"/><Relationship Id="rId5" Type="http://schemas.openxmlformats.org/officeDocument/2006/relationships/table" Target="../tables/table177.xml"/><Relationship Id="rId10" Type="http://schemas.openxmlformats.org/officeDocument/2006/relationships/table" Target="../tables/table182.xml"/><Relationship Id="rId4" Type="http://schemas.openxmlformats.org/officeDocument/2006/relationships/table" Target="../tables/table176.xml"/><Relationship Id="rId9" Type="http://schemas.openxmlformats.org/officeDocument/2006/relationships/table" Target="../tables/table18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6.xml"/><Relationship Id="rId2" Type="http://schemas.openxmlformats.org/officeDocument/2006/relationships/table" Target="../tables/table185.xml"/><Relationship Id="rId1" Type="http://schemas.openxmlformats.org/officeDocument/2006/relationships/table" Target="../tables/table184.xml"/><Relationship Id="rId5" Type="http://schemas.openxmlformats.org/officeDocument/2006/relationships/table" Target="../tables/table188.xml"/><Relationship Id="rId4" Type="http://schemas.openxmlformats.org/officeDocument/2006/relationships/table" Target="../tables/table187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6.xml"/><Relationship Id="rId3" Type="http://schemas.openxmlformats.org/officeDocument/2006/relationships/table" Target="../tables/table191.xml"/><Relationship Id="rId7" Type="http://schemas.openxmlformats.org/officeDocument/2006/relationships/table" Target="../tables/table195.xml"/><Relationship Id="rId12" Type="http://schemas.openxmlformats.org/officeDocument/2006/relationships/table" Target="../tables/table200.xml"/><Relationship Id="rId2" Type="http://schemas.openxmlformats.org/officeDocument/2006/relationships/table" Target="../tables/table190.xml"/><Relationship Id="rId1" Type="http://schemas.openxmlformats.org/officeDocument/2006/relationships/table" Target="../tables/table189.xml"/><Relationship Id="rId6" Type="http://schemas.openxmlformats.org/officeDocument/2006/relationships/table" Target="../tables/table194.xml"/><Relationship Id="rId11" Type="http://schemas.openxmlformats.org/officeDocument/2006/relationships/table" Target="../tables/table199.xml"/><Relationship Id="rId5" Type="http://schemas.openxmlformats.org/officeDocument/2006/relationships/table" Target="../tables/table193.xml"/><Relationship Id="rId10" Type="http://schemas.openxmlformats.org/officeDocument/2006/relationships/table" Target="../tables/table198.xml"/><Relationship Id="rId4" Type="http://schemas.openxmlformats.org/officeDocument/2006/relationships/table" Target="../tables/table192.xml"/><Relationship Id="rId9" Type="http://schemas.openxmlformats.org/officeDocument/2006/relationships/table" Target="../tables/table197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8.xml"/><Relationship Id="rId3" Type="http://schemas.openxmlformats.org/officeDocument/2006/relationships/table" Target="../tables/table203.xml"/><Relationship Id="rId7" Type="http://schemas.openxmlformats.org/officeDocument/2006/relationships/table" Target="../tables/table207.xml"/><Relationship Id="rId2" Type="http://schemas.openxmlformats.org/officeDocument/2006/relationships/table" Target="../tables/table202.xml"/><Relationship Id="rId1" Type="http://schemas.openxmlformats.org/officeDocument/2006/relationships/table" Target="../tables/table201.xml"/><Relationship Id="rId6" Type="http://schemas.openxmlformats.org/officeDocument/2006/relationships/table" Target="../tables/table206.xml"/><Relationship Id="rId5" Type="http://schemas.openxmlformats.org/officeDocument/2006/relationships/table" Target="../tables/table205.xml"/><Relationship Id="rId10" Type="http://schemas.openxmlformats.org/officeDocument/2006/relationships/table" Target="../tables/table210.xml"/><Relationship Id="rId4" Type="http://schemas.openxmlformats.org/officeDocument/2006/relationships/table" Target="../tables/table204.xml"/><Relationship Id="rId9" Type="http://schemas.openxmlformats.org/officeDocument/2006/relationships/table" Target="../tables/table20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11.xml"/><Relationship Id="rId1" Type="http://schemas.openxmlformats.org/officeDocument/2006/relationships/vmlDrawing" Target="../drawings/vmlDrawing3.vml"/><Relationship Id="rId5" Type="http://schemas.microsoft.com/office/2017/10/relationships/threadedComment" Target="../threadedComments/threadedComment3.xml"/><Relationship Id="rId4" Type="http://schemas.microsoft.com/office/2019/04/relationships/documenttask" Target="../documenttasks/documenttask3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9.xml"/><Relationship Id="rId13" Type="http://schemas.openxmlformats.org/officeDocument/2006/relationships/table" Target="../tables/table224.xml"/><Relationship Id="rId18" Type="http://schemas.openxmlformats.org/officeDocument/2006/relationships/table" Target="../tables/table229.xml"/><Relationship Id="rId26" Type="http://schemas.openxmlformats.org/officeDocument/2006/relationships/table" Target="../tables/table237.xml"/><Relationship Id="rId3" Type="http://schemas.openxmlformats.org/officeDocument/2006/relationships/table" Target="../tables/table214.xml"/><Relationship Id="rId21" Type="http://schemas.openxmlformats.org/officeDocument/2006/relationships/table" Target="../tables/table232.xml"/><Relationship Id="rId7" Type="http://schemas.openxmlformats.org/officeDocument/2006/relationships/table" Target="../tables/table218.xml"/><Relationship Id="rId12" Type="http://schemas.openxmlformats.org/officeDocument/2006/relationships/table" Target="../tables/table223.xml"/><Relationship Id="rId17" Type="http://schemas.openxmlformats.org/officeDocument/2006/relationships/table" Target="../tables/table228.xml"/><Relationship Id="rId25" Type="http://schemas.openxmlformats.org/officeDocument/2006/relationships/table" Target="../tables/table236.xml"/><Relationship Id="rId2" Type="http://schemas.openxmlformats.org/officeDocument/2006/relationships/table" Target="../tables/table213.xml"/><Relationship Id="rId16" Type="http://schemas.openxmlformats.org/officeDocument/2006/relationships/table" Target="../tables/table227.xml"/><Relationship Id="rId20" Type="http://schemas.openxmlformats.org/officeDocument/2006/relationships/table" Target="../tables/table231.xml"/><Relationship Id="rId1" Type="http://schemas.openxmlformats.org/officeDocument/2006/relationships/table" Target="../tables/table212.xml"/><Relationship Id="rId6" Type="http://schemas.openxmlformats.org/officeDocument/2006/relationships/table" Target="../tables/table217.xml"/><Relationship Id="rId11" Type="http://schemas.openxmlformats.org/officeDocument/2006/relationships/table" Target="../tables/table222.xml"/><Relationship Id="rId24" Type="http://schemas.openxmlformats.org/officeDocument/2006/relationships/table" Target="../tables/table235.xml"/><Relationship Id="rId5" Type="http://schemas.openxmlformats.org/officeDocument/2006/relationships/table" Target="../tables/table216.xml"/><Relationship Id="rId15" Type="http://schemas.openxmlformats.org/officeDocument/2006/relationships/table" Target="../tables/table226.xml"/><Relationship Id="rId23" Type="http://schemas.openxmlformats.org/officeDocument/2006/relationships/table" Target="../tables/table234.xml"/><Relationship Id="rId28" Type="http://schemas.openxmlformats.org/officeDocument/2006/relationships/table" Target="../tables/table239.xml"/><Relationship Id="rId10" Type="http://schemas.openxmlformats.org/officeDocument/2006/relationships/table" Target="../tables/table221.xml"/><Relationship Id="rId19" Type="http://schemas.openxmlformats.org/officeDocument/2006/relationships/table" Target="../tables/table230.xml"/><Relationship Id="rId4" Type="http://schemas.openxmlformats.org/officeDocument/2006/relationships/table" Target="../tables/table215.xml"/><Relationship Id="rId9" Type="http://schemas.openxmlformats.org/officeDocument/2006/relationships/table" Target="../tables/table220.xml"/><Relationship Id="rId14" Type="http://schemas.openxmlformats.org/officeDocument/2006/relationships/table" Target="../tables/table225.xml"/><Relationship Id="rId22" Type="http://schemas.openxmlformats.org/officeDocument/2006/relationships/table" Target="../tables/table233.xml"/><Relationship Id="rId27" Type="http://schemas.openxmlformats.org/officeDocument/2006/relationships/table" Target="../tables/table2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I25"/>
  <sheetViews>
    <sheetView topLeftCell="A10"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" max="1" width="42.44140625" customWidth="1"/>
    <col min="2" max="2" width="12.33203125" customWidth="1"/>
    <col min="3" max="3" width="21.6640625" customWidth="1"/>
    <col min="4" max="4" width="12.6640625" customWidth="1"/>
    <col min="5" max="5" width="20" customWidth="1"/>
    <col min="6" max="6" width="16" customWidth="1"/>
    <col min="7" max="7" width="19" customWidth="1"/>
    <col min="8" max="8" width="16.21875" customWidth="1"/>
    <col min="9" max="9" width="21.21875" customWidth="1"/>
  </cols>
  <sheetData>
    <row r="1" spans="1:9">
      <c r="A1" s="1" t="s">
        <v>0</v>
      </c>
      <c r="B1" s="928" t="s">
        <v>1</v>
      </c>
      <c r="C1" s="929"/>
      <c r="D1" s="929"/>
      <c r="E1" s="929"/>
      <c r="F1" s="929"/>
      <c r="G1" s="929"/>
      <c r="H1" s="929"/>
      <c r="I1" s="929"/>
    </row>
    <row r="2" spans="1:9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 t="s">
        <v>10</v>
      </c>
    </row>
    <row r="3" spans="1:9" ht="15.75" customHeight="1">
      <c r="A3" s="5" t="s">
        <v>11</v>
      </c>
      <c r="B3" s="6"/>
      <c r="C3" s="7"/>
      <c r="D3" s="6"/>
      <c r="E3" s="6"/>
      <c r="F3" s="6"/>
      <c r="G3" s="6"/>
      <c r="H3" s="6"/>
      <c r="I3" s="6"/>
    </row>
    <row r="4" spans="1:9" ht="15.75" customHeight="1">
      <c r="A4" s="8" t="s">
        <v>12</v>
      </c>
      <c r="B4" s="9"/>
      <c r="C4" s="10"/>
      <c r="D4" s="9"/>
      <c r="E4" s="9"/>
      <c r="F4" s="9"/>
      <c r="G4" s="9"/>
      <c r="H4" s="9"/>
      <c r="I4" s="9"/>
    </row>
    <row r="5" spans="1:9" ht="15.75" customHeight="1">
      <c r="A5" s="11" t="s">
        <v>13</v>
      </c>
      <c r="B5" s="12">
        <f>'STOCK OVERVIEW'!B10</f>
        <v>2114</v>
      </c>
      <c r="C5" s="13">
        <f>'STOCK OVERVIEW'!C10</f>
        <v>2098139.5099999998</v>
      </c>
      <c r="D5" s="12">
        <f>'TOTAL OFFICE STOCK'!C22</f>
        <v>360</v>
      </c>
      <c r="E5" s="14">
        <f>'TOTAL OFFICE STOCK'!G22</f>
        <v>224661.1</v>
      </c>
      <c r="F5" s="12">
        <f>'TOTAL OFFICE STOCK'!D22</f>
        <v>44</v>
      </c>
      <c r="G5" s="14">
        <f>'TOTAL OFFICE STOCK'!H22</f>
        <v>24677.5</v>
      </c>
      <c r="H5" s="12">
        <f>'TOTAL OFFICE STOCK'!E22</f>
        <v>650</v>
      </c>
      <c r="I5" s="14">
        <f>'TOTAL OFFICE STOCK'!I22</f>
        <v>449941.02</v>
      </c>
    </row>
    <row r="6" spans="1:9" ht="15.75" customHeight="1">
      <c r="A6" s="8" t="s">
        <v>14</v>
      </c>
      <c r="B6" s="9"/>
      <c r="C6" s="10"/>
      <c r="D6" s="9"/>
      <c r="E6" s="9"/>
      <c r="F6" s="9"/>
      <c r="G6" s="9"/>
      <c r="H6" s="9"/>
      <c r="I6" s="9"/>
    </row>
    <row r="7" spans="1:9" ht="15.75" customHeight="1">
      <c r="A7" s="11" t="s">
        <v>15</v>
      </c>
      <c r="B7" s="6"/>
      <c r="C7" s="7"/>
      <c r="D7" s="6"/>
      <c r="E7" s="6"/>
      <c r="F7" s="6"/>
      <c r="G7" s="6"/>
      <c r="H7" s="6"/>
      <c r="I7" s="6"/>
    </row>
    <row r="8" spans="1:9" ht="15.75" customHeight="1">
      <c r="A8" s="15" t="s">
        <v>16</v>
      </c>
      <c r="B8" s="16"/>
      <c r="C8" s="17"/>
      <c r="D8" s="16"/>
      <c r="E8" s="16"/>
      <c r="F8" s="16"/>
      <c r="G8" s="16"/>
      <c r="H8" s="16"/>
      <c r="I8" s="16"/>
    </row>
    <row r="9" spans="1:9" ht="15.75" customHeight="1">
      <c r="A9" s="11" t="s">
        <v>17</v>
      </c>
      <c r="B9" s="6"/>
      <c r="C9" s="7"/>
      <c r="D9" s="6"/>
      <c r="E9" s="6"/>
      <c r="F9" s="6"/>
      <c r="G9" s="6"/>
      <c r="H9" s="6"/>
      <c r="I9" s="6"/>
    </row>
    <row r="10" spans="1:9" ht="15.75" customHeight="1">
      <c r="A10" s="8" t="s">
        <v>18</v>
      </c>
      <c r="B10" s="9"/>
      <c r="C10" s="10"/>
      <c r="D10" s="9"/>
      <c r="E10" s="9"/>
      <c r="F10" s="9"/>
      <c r="G10" s="9"/>
      <c r="H10" s="9"/>
      <c r="I10" s="9"/>
    </row>
    <row r="11" spans="1:9" ht="15.75" customHeight="1">
      <c r="A11" s="11" t="s">
        <v>19</v>
      </c>
      <c r="B11" s="6"/>
      <c r="C11" s="7"/>
      <c r="D11" s="6"/>
      <c r="E11" s="6"/>
      <c r="F11" s="6"/>
      <c r="G11" s="6"/>
      <c r="H11" s="6"/>
      <c r="I11" s="6"/>
    </row>
    <row r="12" spans="1:9" ht="15.75" customHeight="1">
      <c r="A12" s="8" t="s">
        <v>20</v>
      </c>
      <c r="B12" s="9"/>
      <c r="C12" s="10"/>
      <c r="D12" s="9"/>
      <c r="E12" s="9"/>
      <c r="F12" s="9"/>
      <c r="G12" s="9"/>
      <c r="H12" s="9"/>
      <c r="I12" s="9"/>
    </row>
    <row r="13" spans="1:9" ht="15.75" customHeight="1">
      <c r="A13" s="11" t="s">
        <v>21</v>
      </c>
      <c r="B13" s="6"/>
      <c r="C13" s="7"/>
      <c r="D13" s="6"/>
      <c r="E13" s="6"/>
      <c r="F13" s="6"/>
      <c r="G13" s="6"/>
      <c r="H13" s="6"/>
      <c r="I13" s="6"/>
    </row>
    <row r="14" spans="1:9" ht="15.75" customHeight="1">
      <c r="A14" s="15"/>
      <c r="B14" s="16"/>
      <c r="C14" s="17"/>
      <c r="D14" s="16"/>
      <c r="E14" s="16"/>
      <c r="F14" s="16"/>
      <c r="G14" s="16"/>
      <c r="H14" s="16"/>
      <c r="I14" s="16"/>
    </row>
    <row r="15" spans="1:9" ht="15.75" customHeight="1">
      <c r="A15" s="11"/>
      <c r="B15" s="6"/>
      <c r="C15" s="7"/>
      <c r="D15" s="6"/>
      <c r="E15" s="6"/>
      <c r="F15" s="6"/>
      <c r="G15" s="6"/>
      <c r="H15" s="6"/>
      <c r="I15" s="6"/>
    </row>
    <row r="16" spans="1:9" ht="15.75" customHeight="1">
      <c r="A16" s="15"/>
      <c r="B16" s="16"/>
      <c r="C16" s="17"/>
      <c r="D16" s="16"/>
      <c r="E16" s="16"/>
      <c r="F16" s="16"/>
      <c r="G16" s="16"/>
      <c r="H16" s="16"/>
      <c r="I16" s="16"/>
    </row>
    <row r="17" spans="1:9" ht="15.75" customHeight="1">
      <c r="A17" s="11"/>
      <c r="B17" s="6"/>
      <c r="C17" s="7"/>
      <c r="D17" s="6"/>
      <c r="E17" s="6"/>
      <c r="F17" s="6"/>
      <c r="G17" s="6"/>
      <c r="H17" s="6"/>
      <c r="I17" s="6"/>
    </row>
    <row r="18" spans="1:9" ht="15.75" customHeight="1">
      <c r="A18" s="15"/>
      <c r="B18" s="16"/>
      <c r="C18" s="17"/>
      <c r="D18" s="16"/>
      <c r="E18" s="16"/>
      <c r="F18" s="16"/>
      <c r="G18" s="16"/>
      <c r="H18" s="16"/>
      <c r="I18" s="16"/>
    </row>
    <row r="19" spans="1:9" ht="15.75" customHeight="1">
      <c r="A19" s="11"/>
      <c r="B19" s="6"/>
      <c r="C19" s="7"/>
      <c r="D19" s="6"/>
      <c r="E19" s="6"/>
      <c r="F19" s="6"/>
      <c r="G19" s="6"/>
      <c r="H19" s="6"/>
      <c r="I19" s="6"/>
    </row>
    <row r="20" spans="1:9" ht="15.75" customHeight="1">
      <c r="A20" s="15"/>
      <c r="B20" s="16"/>
      <c r="C20" s="17"/>
      <c r="D20" s="16"/>
      <c r="E20" s="16"/>
      <c r="F20" s="16"/>
      <c r="G20" s="16"/>
      <c r="H20" s="16"/>
      <c r="I20" s="16"/>
    </row>
    <row r="21" spans="1:9" ht="15.75" customHeight="1">
      <c r="A21" s="11"/>
      <c r="B21" s="6"/>
      <c r="C21" s="7"/>
      <c r="D21" s="6"/>
      <c r="E21" s="6"/>
      <c r="F21" s="6"/>
      <c r="G21" s="6"/>
      <c r="H21" s="6"/>
      <c r="I21" s="6"/>
    </row>
    <row r="22" spans="1:9" ht="15.75" customHeight="1">
      <c r="A22" s="15"/>
      <c r="B22" s="16"/>
      <c r="C22" s="17"/>
      <c r="D22" s="16"/>
      <c r="E22" s="16"/>
      <c r="F22" s="16"/>
      <c r="G22" s="16"/>
      <c r="H22" s="16"/>
      <c r="I22" s="16"/>
    </row>
    <row r="23" spans="1:9" ht="15.75" customHeight="1">
      <c r="A23" s="11"/>
      <c r="B23" s="6"/>
      <c r="C23" s="7"/>
      <c r="D23" s="6"/>
      <c r="E23" s="6"/>
      <c r="F23" s="6"/>
      <c r="G23" s="6"/>
      <c r="H23" s="6"/>
      <c r="I23" s="6"/>
    </row>
    <row r="24" spans="1:9" ht="15.75" customHeight="1">
      <c r="A24" s="15"/>
      <c r="B24" s="16"/>
      <c r="C24" s="17"/>
      <c r="D24" s="16"/>
      <c r="E24" s="16"/>
      <c r="F24" s="16"/>
      <c r="G24" s="16"/>
      <c r="H24" s="16"/>
      <c r="I24" s="16"/>
    </row>
    <row r="25" spans="1:9" ht="15.75" customHeight="1">
      <c r="A25" s="11"/>
      <c r="B25" s="6"/>
      <c r="C25" s="7"/>
      <c r="D25" s="6"/>
      <c r="E25" s="6"/>
      <c r="F25" s="6"/>
      <c r="G25" s="6"/>
      <c r="H25" s="6"/>
      <c r="I25" s="6"/>
    </row>
  </sheetData>
  <mergeCells count="1">
    <mergeCell ref="B1:I1"/>
  </mergeCells>
  <hyperlinks>
    <hyperlink ref="A3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J17"/>
  <sheetViews>
    <sheetView workbookViewId="0"/>
  </sheetViews>
  <sheetFormatPr defaultColWidth="12.6640625" defaultRowHeight="15.75" customHeight="1"/>
  <cols>
    <col min="1" max="1" width="36" customWidth="1"/>
    <col min="2" max="2" width="12" customWidth="1"/>
    <col min="3" max="3" width="22.88671875" customWidth="1"/>
    <col min="4" max="4" width="10.77734375" customWidth="1"/>
    <col min="5" max="5" width="22" customWidth="1"/>
    <col min="6" max="6" width="15.88671875" customWidth="1"/>
    <col min="7" max="7" width="19.77734375" customWidth="1"/>
    <col min="8" max="8" width="18.33203125" customWidth="1"/>
    <col min="9" max="10" width="24" customWidth="1"/>
  </cols>
  <sheetData>
    <row r="1" spans="1:10">
      <c r="A1" s="928" t="s">
        <v>22</v>
      </c>
      <c r="B1" s="929"/>
      <c r="C1" s="929"/>
      <c r="D1" s="929"/>
      <c r="E1" s="929"/>
      <c r="F1" s="929"/>
      <c r="G1" s="929"/>
      <c r="H1" s="929"/>
      <c r="I1" s="929"/>
      <c r="J1" s="929"/>
    </row>
    <row r="2" spans="1:10">
      <c r="A2" s="2" t="s">
        <v>2</v>
      </c>
      <c r="B2" s="3" t="s">
        <v>3</v>
      </c>
      <c r="C2" s="3" t="s">
        <v>4</v>
      </c>
      <c r="D2" s="3" t="s">
        <v>23</v>
      </c>
      <c r="E2" s="3" t="s">
        <v>24</v>
      </c>
      <c r="F2" s="3" t="s">
        <v>7</v>
      </c>
      <c r="G2" s="3" t="s">
        <v>8</v>
      </c>
      <c r="H2" s="3" t="s">
        <v>9</v>
      </c>
      <c r="I2" s="4" t="s">
        <v>10</v>
      </c>
      <c r="J2" s="4" t="s">
        <v>25</v>
      </c>
    </row>
    <row r="3" spans="1:10" ht="15.75" customHeight="1">
      <c r="A3" s="18" t="str">
        <f>'TOTAL OFFICE STOCK'!A22</f>
        <v>SILK TOTAL</v>
      </c>
      <c r="B3" s="12">
        <f>'TOTAL OFFICE STOCK'!B22</f>
        <v>1054</v>
      </c>
      <c r="C3" s="13">
        <f>'TOTAL OFFICE STOCK'!F22</f>
        <v>699279.62</v>
      </c>
      <c r="D3" s="12">
        <f>'TOTAL OFFICE STOCK'!C22</f>
        <v>360</v>
      </c>
      <c r="E3" s="19">
        <f>'TOTAL OFFICE STOCK'!G22</f>
        <v>224661.1</v>
      </c>
      <c r="F3" s="12">
        <f>'TOTAL OFFICE STOCK'!D22</f>
        <v>44</v>
      </c>
      <c r="G3" s="14">
        <f>'TOTAL OFFICE STOCK'!H22</f>
        <v>24677.5</v>
      </c>
      <c r="H3" s="12">
        <f>'TOTAL OFFICE STOCK'!E22</f>
        <v>650</v>
      </c>
      <c r="I3" s="14">
        <f>'TOTAL OFFICE STOCK'!I22</f>
        <v>449941.02</v>
      </c>
      <c r="J3" s="20">
        <f>'SILK - SOLD'!K5</f>
        <v>210978.90800000002</v>
      </c>
    </row>
    <row r="4" spans="1:10" ht="15.75" customHeight="1">
      <c r="A4" s="21" t="str">
        <f>'TOTAL OFFICE STOCK'!A30</f>
        <v>RICCIARINI CORD LACE (70)</v>
      </c>
      <c r="B4" s="22">
        <f>'TOTAL OFFICE STOCK'!B30</f>
        <v>70</v>
      </c>
      <c r="C4" s="23">
        <f>'LACE  - STOCK OVERVIEW'!E7</f>
        <v>9900</v>
      </c>
      <c r="D4" s="22">
        <f>'TOTAL OFFICE STOCK'!C30</f>
        <v>0</v>
      </c>
      <c r="E4" s="23">
        <f>'LACE  - STOCK OVERVIEW'!G7</f>
        <v>0</v>
      </c>
      <c r="F4" s="22">
        <f>'TOTAL OFFICE STOCK'!D30</f>
        <v>0</v>
      </c>
      <c r="G4" s="22">
        <f>'TOTAL OFFICE STOCK'!H30</f>
        <v>0</v>
      </c>
      <c r="H4" s="22">
        <f>'TOTAL OFFICE STOCK'!E30</f>
        <v>70</v>
      </c>
      <c r="I4" s="24">
        <f>'TOTAL OFFICE STOCK'!I30</f>
        <v>9900</v>
      </c>
      <c r="J4" s="16"/>
    </row>
    <row r="5" spans="1:10" ht="15.75" customHeight="1">
      <c r="A5" s="18" t="str">
        <f>'TOTAL OFFICE STOCK'!A28</f>
        <v>LACE TOTAL</v>
      </c>
      <c r="B5" s="12">
        <f>'TOTAL OFFICE STOCK'!B28</f>
        <v>182</v>
      </c>
      <c r="C5" s="13">
        <f>'TOTAL OFFICE STOCK'!F28</f>
        <v>179314.59000000003</v>
      </c>
      <c r="D5" s="12">
        <f>'TOTAL OFFICE STOCK'!C28</f>
        <v>51</v>
      </c>
      <c r="E5" s="19">
        <f>'TOTAL OFFICE STOCK'!G28</f>
        <v>48205.590000000004</v>
      </c>
      <c r="F5" s="12">
        <f>'TOTAL OFFICE STOCK'!D28</f>
        <v>4</v>
      </c>
      <c r="G5" s="14">
        <f>'TOTAL OFFICE STOCK'!H28</f>
        <v>3405.5</v>
      </c>
      <c r="H5" s="12">
        <f>'TOTAL OFFICE STOCK'!E28</f>
        <v>127</v>
      </c>
      <c r="I5" s="20">
        <f>'TOTAL OFFICE STOCK'!I28</f>
        <v>127703.5</v>
      </c>
      <c r="J5" s="6"/>
    </row>
    <row r="6" spans="1:10" ht="15.75" customHeight="1">
      <c r="A6" s="21" t="str">
        <f>'TOTAL OFFICE STOCK'!A38</f>
        <v>LACE (CEMB) TOTAL</v>
      </c>
      <c r="B6" s="22">
        <f>'TOTAL OFFICE STOCK'!B38</f>
        <v>396</v>
      </c>
      <c r="C6" s="25">
        <f>'TOTAL OFFICE STOCK'!F38</f>
        <v>145857.79999999999</v>
      </c>
      <c r="D6" s="22">
        <f>'TOTAL OFFICE STOCK'!C38</f>
        <v>32</v>
      </c>
      <c r="E6" s="23">
        <f>'TOTAL OFFICE STOCK'!G38</f>
        <v>13556.55</v>
      </c>
      <c r="F6" s="22">
        <f>'TOTAL OFFICE STOCK'!D38</f>
        <v>0</v>
      </c>
      <c r="G6" s="23">
        <f>'TOTAL OFFICE STOCK'!H38</f>
        <v>0</v>
      </c>
      <c r="H6" s="22">
        <f>'TOTAL OFFICE STOCK'!E38</f>
        <v>364</v>
      </c>
      <c r="I6" s="24">
        <f>'TOTAL OFFICE STOCK'!I38</f>
        <v>132301.25</v>
      </c>
      <c r="J6" s="16"/>
    </row>
    <row r="7" spans="1:10" ht="15.75" customHeight="1">
      <c r="A7" s="18" t="str">
        <f>'TOTAL OFFICE STOCK'!A43</f>
        <v>BEIRUT TOTAL</v>
      </c>
      <c r="B7" s="12">
        <f>'TOTAL OFFICE STOCK'!B43</f>
        <v>95</v>
      </c>
      <c r="C7" s="26">
        <f>'LACE  - STOCK OVERVIEW'!E6</f>
        <v>135555</v>
      </c>
      <c r="D7" s="12">
        <f>'TOTAL OFFICE STOCK'!C43</f>
        <v>2</v>
      </c>
      <c r="E7" s="19">
        <f>'TOTAL OFFICE STOCK'!G43</f>
        <v>1920</v>
      </c>
      <c r="F7" s="12">
        <f>'TOTAL OFFICE STOCK'!D43</f>
        <v>0</v>
      </c>
      <c r="G7" s="19">
        <f>'TOTAL OFFICE STOCK'!H43</f>
        <v>0</v>
      </c>
      <c r="H7" s="12">
        <f>'TOTAL OFFICE STOCK'!E43</f>
        <v>93</v>
      </c>
      <c r="I7" s="20">
        <f>'TOTAL OFFICE STOCK'!I43</f>
        <v>136515</v>
      </c>
      <c r="J7" s="6"/>
    </row>
    <row r="8" spans="1:10" ht="15.75" customHeight="1">
      <c r="A8" s="21" t="str">
        <f>'TOTAL OFFICE STOCK'!A75</f>
        <v>EMBROIDERY TOTAL</v>
      </c>
      <c r="B8" s="22">
        <f>'TOTAL OFFICE STOCK'!B75</f>
        <v>317</v>
      </c>
      <c r="C8" s="27">
        <f>'EMBROIDERY - STOCK OVERVIEW'!F34</f>
        <v>928232.5</v>
      </c>
      <c r="D8" s="22">
        <f>'TOTAL OFFICE STOCK'!C75</f>
        <v>10</v>
      </c>
      <c r="E8" s="23">
        <f>'TOTAL OFFICE STOCK'!G75</f>
        <v>31825</v>
      </c>
      <c r="F8" s="22">
        <f>'TOTAL OFFICE STOCK'!D75</f>
        <v>0</v>
      </c>
      <c r="G8" s="23">
        <f>'TOTAL OFFICE STOCK'!H75</f>
        <v>0</v>
      </c>
      <c r="H8" s="22">
        <f>'TOTAL OFFICE STOCK'!E75</f>
        <v>307</v>
      </c>
      <c r="I8" s="24">
        <f>'TOTAL OFFICE STOCK'!I75</f>
        <v>911187.5</v>
      </c>
      <c r="J8" s="16"/>
    </row>
    <row r="9" spans="1:10" ht="15.75" customHeight="1">
      <c r="A9" s="18"/>
      <c r="B9" s="6"/>
      <c r="C9" s="7"/>
      <c r="D9" s="6"/>
      <c r="E9" s="19"/>
      <c r="F9" s="6"/>
      <c r="G9" s="6"/>
      <c r="H9" s="6"/>
      <c r="I9" s="6"/>
      <c r="J9" s="6"/>
    </row>
    <row r="10" spans="1:10" ht="15.75" customHeight="1">
      <c r="A10" s="28" t="s">
        <v>26</v>
      </c>
      <c r="B10" s="29">
        <f t="shared" ref="B10:J10" si="0">SUM(B3:B9)</f>
        <v>2114</v>
      </c>
      <c r="C10" s="30">
        <f t="shared" si="0"/>
        <v>2098139.5099999998</v>
      </c>
      <c r="D10" s="29">
        <f t="shared" si="0"/>
        <v>455</v>
      </c>
      <c r="E10" s="31">
        <f t="shared" si="0"/>
        <v>320168.24</v>
      </c>
      <c r="F10" s="29">
        <f t="shared" si="0"/>
        <v>48</v>
      </c>
      <c r="G10" s="32">
        <f t="shared" si="0"/>
        <v>28083</v>
      </c>
      <c r="H10" s="29">
        <f t="shared" si="0"/>
        <v>1611</v>
      </c>
      <c r="I10" s="32">
        <f t="shared" si="0"/>
        <v>1767548.27</v>
      </c>
      <c r="J10" s="31">
        <f t="shared" si="0"/>
        <v>210978.90800000002</v>
      </c>
    </row>
    <row r="11" spans="1:10" ht="15.75" customHeight="1">
      <c r="A11" s="18"/>
      <c r="B11" s="6"/>
      <c r="C11" s="7"/>
      <c r="D11" s="6"/>
      <c r="E11" s="6"/>
      <c r="F11" s="6"/>
      <c r="G11" s="6"/>
      <c r="H11" s="6"/>
      <c r="I11" s="6"/>
      <c r="J11" s="6"/>
    </row>
    <row r="12" spans="1:10" ht="15.75" customHeight="1">
      <c r="A12" s="21"/>
      <c r="B12" s="16"/>
      <c r="C12" s="17"/>
      <c r="D12" s="16"/>
      <c r="E12" s="16"/>
      <c r="F12" s="16"/>
      <c r="G12" s="16"/>
      <c r="H12" s="16"/>
      <c r="I12" s="16"/>
      <c r="J12" s="16"/>
    </row>
    <row r="13" spans="1:10" ht="15.75" customHeight="1">
      <c r="A13" s="33" t="s">
        <v>27</v>
      </c>
      <c r="B13" s="3" t="s">
        <v>3</v>
      </c>
      <c r="C13" s="34" t="s">
        <v>4</v>
      </c>
      <c r="D13" s="35"/>
      <c r="E13" s="35"/>
      <c r="F13" s="35"/>
      <c r="G13" s="35"/>
      <c r="H13" s="35"/>
      <c r="I13" s="35"/>
      <c r="J13" s="35"/>
    </row>
    <row r="14" spans="1:10" ht="15.75" customHeight="1">
      <c r="A14" s="21"/>
      <c r="B14" s="16"/>
      <c r="C14" s="17"/>
      <c r="D14" s="16"/>
      <c r="E14" s="16"/>
      <c r="F14" s="16"/>
      <c r="G14" s="16"/>
      <c r="H14" s="16"/>
      <c r="I14" s="16"/>
      <c r="J14" s="16"/>
    </row>
    <row r="15" spans="1:10" ht="15.75" customHeight="1">
      <c r="A15" s="36" t="s">
        <v>26</v>
      </c>
      <c r="B15" s="37">
        <f>'TOTAL OFFICE STOCK'!B91</f>
        <v>0</v>
      </c>
      <c r="C15" s="38">
        <f>'TOTAL OFFICE STOCK'!F91</f>
        <v>100906.03</v>
      </c>
      <c r="D15" s="6"/>
      <c r="E15" s="6"/>
      <c r="F15" s="6"/>
      <c r="G15" s="6"/>
      <c r="H15" s="6"/>
      <c r="I15" s="6"/>
      <c r="J15" s="6"/>
    </row>
    <row r="16" spans="1:10" ht="15.75" customHeight="1">
      <c r="A16" s="21"/>
      <c r="B16" s="16"/>
      <c r="C16" s="17"/>
      <c r="D16" s="16"/>
      <c r="E16" s="16"/>
      <c r="F16" s="16"/>
      <c r="G16" s="16"/>
      <c r="H16" s="16"/>
      <c r="I16" s="16"/>
      <c r="J16" s="16"/>
    </row>
    <row r="17" spans="1:10" ht="15.75" customHeight="1">
      <c r="A17" s="18"/>
      <c r="B17" s="6"/>
      <c r="C17" s="7"/>
      <c r="D17" s="6"/>
      <c r="E17" s="6"/>
      <c r="F17" s="6"/>
      <c r="G17" s="6"/>
      <c r="H17" s="6"/>
      <c r="I17" s="6"/>
      <c r="J17" s="6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I91"/>
  <sheetViews>
    <sheetView workbookViewId="0">
      <pane ySplit="2" topLeftCell="A15" activePane="bottomLeft" state="frozen"/>
      <selection pane="bottomLeft" activeCell="B4" sqref="B4"/>
    </sheetView>
  </sheetViews>
  <sheetFormatPr defaultColWidth="12.6640625" defaultRowHeight="15.75" customHeight="1"/>
  <cols>
    <col min="1" max="1" width="32.33203125" customWidth="1"/>
    <col min="2" max="2" width="8.44140625" customWidth="1"/>
    <col min="3" max="3" width="7.6640625" customWidth="1"/>
    <col min="4" max="4" width="11" customWidth="1"/>
    <col min="5" max="5" width="12.77734375" customWidth="1"/>
    <col min="6" max="6" width="17.21875" bestFit="1" customWidth="1"/>
    <col min="7" max="7" width="16.44140625" bestFit="1" customWidth="1"/>
    <col min="8" max="8" width="16.109375" bestFit="1" customWidth="1"/>
    <col min="9" max="9" width="17.33203125" bestFit="1" customWidth="1"/>
  </cols>
  <sheetData>
    <row r="1" spans="1:9">
      <c r="A1" s="39" t="s">
        <v>28</v>
      </c>
      <c r="B1" s="40"/>
      <c r="C1" s="40"/>
      <c r="D1" s="40"/>
      <c r="E1" s="40"/>
      <c r="F1" s="40"/>
      <c r="G1" s="40"/>
      <c r="H1" s="40"/>
      <c r="I1" s="41"/>
    </row>
    <row r="2" spans="1:9">
      <c r="A2" s="42" t="s">
        <v>2</v>
      </c>
      <c r="B2" s="43" t="s">
        <v>3</v>
      </c>
      <c r="C2" s="43" t="s">
        <v>23</v>
      </c>
      <c r="D2" s="43" t="s">
        <v>7</v>
      </c>
      <c r="E2" s="43" t="s">
        <v>9</v>
      </c>
      <c r="F2" s="43" t="s">
        <v>4</v>
      </c>
      <c r="G2" s="43" t="s">
        <v>24</v>
      </c>
      <c r="H2" s="43" t="s">
        <v>8</v>
      </c>
      <c r="I2" s="44" t="s">
        <v>29</v>
      </c>
    </row>
    <row r="3" spans="1:9">
      <c r="A3" s="45" t="s">
        <v>30</v>
      </c>
      <c r="B3" s="46"/>
      <c r="C3" s="46"/>
      <c r="D3" s="46"/>
      <c r="E3" s="46"/>
      <c r="F3" s="46"/>
      <c r="G3" s="46"/>
      <c r="H3" s="46"/>
      <c r="I3" s="47"/>
    </row>
    <row r="4" spans="1:9">
      <c r="A4" s="48" t="s">
        <v>31</v>
      </c>
      <c r="B4" s="49">
        <f t="shared" ref="B4:B20" si="0">E4+D4+C4</f>
        <v>139</v>
      </c>
      <c r="C4" s="49">
        <f>'SILK - SOLD'!C79</f>
        <v>65</v>
      </c>
      <c r="D4" s="49">
        <f>'SILK - PENDING'!D18</f>
        <v>4</v>
      </c>
      <c r="E4" s="49">
        <f>M7M_A[[#Totals],[QUALITY]]</f>
        <v>70</v>
      </c>
      <c r="F4" s="50">
        <f t="shared" ref="F4:F20" si="1">G4+H4+I4</f>
        <v>80224</v>
      </c>
      <c r="G4" s="50">
        <f>'SILK - SOLD'!K79</f>
        <v>37198</v>
      </c>
      <c r="H4" s="50">
        <f>'SILK - PENDING'!H18</f>
        <v>2778</v>
      </c>
      <c r="I4" s="51">
        <f>'SILK - ALL'!H83</f>
        <v>40248</v>
      </c>
    </row>
    <row r="5" spans="1:9">
      <c r="A5" s="48" t="s">
        <v>32</v>
      </c>
      <c r="B5" s="49">
        <f t="shared" si="0"/>
        <v>122</v>
      </c>
      <c r="C5" s="49">
        <f>'SILK - SOLD'!C107</f>
        <v>21</v>
      </c>
      <c r="D5" s="49">
        <f>'SILK - PENDING'!D27</f>
        <v>0</v>
      </c>
      <c r="E5" s="49">
        <f>ARGO_A[[#Totals],[QUALITY]]</f>
        <v>101</v>
      </c>
      <c r="F5" s="50">
        <f t="shared" si="1"/>
        <v>91744</v>
      </c>
      <c r="G5" s="50">
        <f>'SILK - SOLD'!K107</f>
        <v>15636</v>
      </c>
      <c r="H5" s="50">
        <f>'SILK - PENDING'!H27</f>
        <v>0</v>
      </c>
      <c r="I5" s="51">
        <f>'SILK - ALL'!H189</f>
        <v>76108</v>
      </c>
    </row>
    <row r="6" spans="1:9">
      <c r="A6" s="48" t="s">
        <v>33</v>
      </c>
      <c r="B6" s="49">
        <f t="shared" si="0"/>
        <v>186</v>
      </c>
      <c r="C6" s="49">
        <f>'SILK - SOLD'!C171</f>
        <v>59</v>
      </c>
      <c r="D6" s="49">
        <f>'SILK - PENDING'!D37</f>
        <v>1</v>
      </c>
      <c r="E6" s="49">
        <f>'SILK - ALL'!D321</f>
        <v>126</v>
      </c>
      <c r="F6" s="50">
        <f t="shared" si="1"/>
        <v>111639.87000000001</v>
      </c>
      <c r="G6" s="50">
        <f>'SILK - SOLD'!K171</f>
        <v>34146.600000000006</v>
      </c>
      <c r="H6" s="50">
        <f>'SILK - PENDING'!H37</f>
        <v>693</v>
      </c>
      <c r="I6" s="51">
        <f>'SILK - ALL'!H321</f>
        <v>76800.27</v>
      </c>
    </row>
    <row r="7" spans="1:9">
      <c r="A7" s="48" t="s">
        <v>34</v>
      </c>
      <c r="B7" s="49">
        <f t="shared" si="0"/>
        <v>167</v>
      </c>
      <c r="C7" s="49">
        <f>'SILK - SOLD'!C267</f>
        <v>90</v>
      </c>
      <c r="D7" s="49">
        <f>'SILK - PENDING'!D46</f>
        <v>1</v>
      </c>
      <c r="E7" s="49">
        <f>'SILK - ALL'!D402</f>
        <v>76</v>
      </c>
      <c r="F7" s="50">
        <f t="shared" si="1"/>
        <v>108447.75</v>
      </c>
      <c r="G7" s="50">
        <f>'SILK - SOLD'!K267</f>
        <v>58781</v>
      </c>
      <c r="H7" s="50">
        <f>'SILK - PENDING'!H46</f>
        <v>850</v>
      </c>
      <c r="I7" s="51">
        <f>'SILK - ALL'!H402</f>
        <v>48816.75</v>
      </c>
    </row>
    <row r="8" spans="1:9">
      <c r="A8" s="48" t="s">
        <v>35</v>
      </c>
      <c r="B8" s="49">
        <f t="shared" si="0"/>
        <v>50</v>
      </c>
      <c r="C8" s="49">
        <f>'SILK - SOLD'!C281</f>
        <v>7</v>
      </c>
      <c r="D8" s="49">
        <f>'SILK - PENDING'!D57</f>
        <v>2</v>
      </c>
      <c r="E8" s="49">
        <f>'SILK - ALL'!D448</f>
        <v>41</v>
      </c>
      <c r="F8" s="50">
        <f t="shared" si="1"/>
        <v>34150</v>
      </c>
      <c r="G8" s="50">
        <f>'SILK - SOLD'!K281</f>
        <v>4672</v>
      </c>
      <c r="H8" s="50">
        <f>'SILK - PENDING'!H57</f>
        <v>1400</v>
      </c>
      <c r="I8" s="51">
        <f>'SILK - ALL'!H448</f>
        <v>28078</v>
      </c>
    </row>
    <row r="9" spans="1:9">
      <c r="A9" s="48" t="s">
        <v>36</v>
      </c>
      <c r="B9" s="49">
        <f t="shared" si="0"/>
        <v>44</v>
      </c>
      <c r="C9" s="49">
        <f>'SILK - SOLD'!C300</f>
        <v>14</v>
      </c>
      <c r="D9" s="49">
        <f>'SILK - PENDING'!D65</f>
        <v>2</v>
      </c>
      <c r="E9" s="49">
        <f>'SILK - ALL'!D481</f>
        <v>28</v>
      </c>
      <c r="F9" s="50">
        <f t="shared" si="1"/>
        <v>23225</v>
      </c>
      <c r="G9" s="50">
        <f>'SILK - SOLD'!K300</f>
        <v>7475</v>
      </c>
      <c r="H9" s="50">
        <f>'SILK - PENDING'!H65</f>
        <v>950</v>
      </c>
      <c r="I9" s="51">
        <f>'SILK - ALL'!H481</f>
        <v>14800</v>
      </c>
    </row>
    <row r="10" spans="1:9">
      <c r="A10" s="48" t="s">
        <v>37</v>
      </c>
      <c r="B10" s="49">
        <f t="shared" si="0"/>
        <v>39</v>
      </c>
      <c r="C10" s="49">
        <f>'SILK - SOLD'!C330</f>
        <v>25</v>
      </c>
      <c r="D10" s="49">
        <f>'SILK - PENDING'!D75</f>
        <v>4</v>
      </c>
      <c r="E10" s="49">
        <f>'SILK - ALL'!D497</f>
        <v>10</v>
      </c>
      <c r="F10" s="50">
        <f t="shared" si="1"/>
        <v>23382</v>
      </c>
      <c r="G10" s="50">
        <f>'SILK - SOLD'!K330</f>
        <v>15630</v>
      </c>
      <c r="H10" s="50">
        <f>'SILK - PENDING'!H75</f>
        <v>1920</v>
      </c>
      <c r="I10" s="51">
        <f>'SILK - ALL'!H497</f>
        <v>5832</v>
      </c>
    </row>
    <row r="11" spans="1:9">
      <c r="A11" s="48" t="s">
        <v>38</v>
      </c>
      <c r="B11" s="49">
        <f t="shared" si="0"/>
        <v>46</v>
      </c>
      <c r="C11" s="49">
        <f>'SILK - SOLD'!C345</f>
        <v>9</v>
      </c>
      <c r="D11" s="49">
        <f>'SILK - PENDING'!D84</f>
        <v>4</v>
      </c>
      <c r="E11" s="49">
        <f>STYL_A[[#Totals],[QUALITY]]</f>
        <v>33</v>
      </c>
      <c r="F11" s="50">
        <f t="shared" si="1"/>
        <v>26672.5</v>
      </c>
      <c r="G11" s="50">
        <f>'SILK - SOLD'!K345</f>
        <v>5297.5</v>
      </c>
      <c r="H11" s="50">
        <f>'SILK - PENDING'!H84</f>
        <v>2225</v>
      </c>
      <c r="I11" s="51">
        <f>'SILK - ALL'!H535</f>
        <v>19150</v>
      </c>
    </row>
    <row r="12" spans="1:9">
      <c r="A12" s="48" t="s">
        <v>39</v>
      </c>
      <c r="B12" s="49">
        <f t="shared" si="0"/>
        <v>20</v>
      </c>
      <c r="C12" s="49">
        <f>'SILK - SOLD'!C362</f>
        <v>12</v>
      </c>
      <c r="D12" s="49">
        <f>'SILK - PENDING'!D91</f>
        <v>1</v>
      </c>
      <c r="E12" s="49">
        <f>'SILK - ALL'!D547</f>
        <v>7</v>
      </c>
      <c r="F12" s="50">
        <f t="shared" si="1"/>
        <v>11475</v>
      </c>
      <c r="G12" s="50">
        <f>'SILK - SOLD'!K362</f>
        <v>6675</v>
      </c>
      <c r="H12" s="50">
        <f>'SILK - PENDING'!H91</f>
        <v>500</v>
      </c>
      <c r="I12" s="51">
        <f>'SILK - ALL'!H547</f>
        <v>4300</v>
      </c>
    </row>
    <row r="13" spans="1:9">
      <c r="A13" s="48" t="s">
        <v>40</v>
      </c>
      <c r="B13" s="49">
        <f t="shared" si="0"/>
        <v>26</v>
      </c>
      <c r="C13" s="49">
        <f>'SILK - SOLD'!C371</f>
        <v>3</v>
      </c>
      <c r="D13" s="49">
        <f>'SILK - PENDING'!D99</f>
        <v>0</v>
      </c>
      <c r="E13" s="49">
        <f>UG_A[[#Totals],[QUALITY]]</f>
        <v>23</v>
      </c>
      <c r="F13" s="50">
        <f t="shared" si="1"/>
        <v>20125</v>
      </c>
      <c r="G13" s="50">
        <f>'SILK - SOLD'!K371</f>
        <v>1750</v>
      </c>
      <c r="H13" s="50">
        <f>'SILK - PENDING'!H99</f>
        <v>0</v>
      </c>
      <c r="I13" s="51">
        <f>'SILK - ALL'!H575</f>
        <v>18375</v>
      </c>
    </row>
    <row r="14" spans="1:9">
      <c r="A14" s="48" t="s">
        <v>41</v>
      </c>
      <c r="B14" s="49">
        <f t="shared" si="0"/>
        <v>11</v>
      </c>
      <c r="C14" s="49">
        <f>'SILK - SOLD'!C382</f>
        <v>5</v>
      </c>
      <c r="D14" s="49">
        <f>'SILK - PENDING'!D110</f>
        <v>1</v>
      </c>
      <c r="E14" s="49">
        <f>'SILK - ALL'!D586</f>
        <v>5</v>
      </c>
      <c r="F14" s="50">
        <f t="shared" si="1"/>
        <v>11809</v>
      </c>
      <c r="G14" s="50">
        <f>'SILK - SOLD'!K382</f>
        <v>5128</v>
      </c>
      <c r="H14" s="50">
        <f>'SILK - PENDING'!H110</f>
        <v>880.00000000000011</v>
      </c>
      <c r="I14" s="51">
        <f>'SILK - ALL'!H586</f>
        <v>5801</v>
      </c>
    </row>
    <row r="15" spans="1:9">
      <c r="A15" s="48" t="s">
        <v>42</v>
      </c>
      <c r="B15" s="49">
        <f t="shared" si="0"/>
        <v>28</v>
      </c>
      <c r="C15" s="49">
        <f>'SILK - SOLD'!C389</f>
        <v>2</v>
      </c>
      <c r="D15" s="49">
        <f>'SILK - PENDING'!D118</f>
        <v>0</v>
      </c>
      <c r="E15" s="49">
        <f>RUFF_A[[#Totals],[QUALITY]]</f>
        <v>26</v>
      </c>
      <c r="F15" s="50">
        <f t="shared" si="1"/>
        <v>64450</v>
      </c>
      <c r="G15" s="50">
        <f>'SILK - SOLD'!K389</f>
        <v>5500</v>
      </c>
      <c r="H15" s="50">
        <f>'SILK - PENDING'!H118</f>
        <v>0</v>
      </c>
      <c r="I15" s="51">
        <f>'SILK - ALL'!H617</f>
        <v>58950</v>
      </c>
    </row>
    <row r="16" spans="1:9">
      <c r="A16" s="48" t="s">
        <v>43</v>
      </c>
      <c r="B16" s="49">
        <f t="shared" si="0"/>
        <v>38</v>
      </c>
      <c r="C16" s="49">
        <f>'SILK - SOLD'!C400</f>
        <v>5</v>
      </c>
      <c r="D16" s="49">
        <f>'SILK - PENDING'!D125</f>
        <v>0</v>
      </c>
      <c r="E16" s="49">
        <f>'SILK - ALL'!D655</f>
        <v>33</v>
      </c>
      <c r="F16" s="50">
        <f t="shared" si="1"/>
        <v>18345</v>
      </c>
      <c r="G16" s="50">
        <f>'SILK - SOLD'!K400</f>
        <v>3077</v>
      </c>
      <c r="H16" s="50">
        <f>'SILK - PENDING'!H125</f>
        <v>0</v>
      </c>
      <c r="I16" s="51">
        <f>'SILK - ALL'!H655</f>
        <v>15268</v>
      </c>
    </row>
    <row r="17" spans="1:9">
      <c r="A17" s="48" t="s">
        <v>44</v>
      </c>
      <c r="B17" s="49">
        <f t="shared" si="0"/>
        <v>31</v>
      </c>
      <c r="C17" s="49">
        <f>'SILK - SOLD'!C413</f>
        <v>8</v>
      </c>
      <c r="D17" s="49">
        <f>'SILK - PENDING'!D132</f>
        <v>1</v>
      </c>
      <c r="E17" s="49">
        <f>'SILK - ALL'!D682</f>
        <v>22</v>
      </c>
      <c r="F17" s="50">
        <f t="shared" si="1"/>
        <v>16769.5</v>
      </c>
      <c r="G17" s="50">
        <f>'SILK - SOLD'!K413</f>
        <v>4660.5</v>
      </c>
      <c r="H17" s="50">
        <f>'SILK - PENDING'!H132</f>
        <v>522.5</v>
      </c>
      <c r="I17" s="51">
        <f>'SILK - ALL'!H682</f>
        <v>11586.5</v>
      </c>
    </row>
    <row r="18" spans="1:9">
      <c r="A18" s="48" t="s">
        <v>45</v>
      </c>
      <c r="B18" s="49">
        <f t="shared" si="0"/>
        <v>24</v>
      </c>
      <c r="C18" s="49">
        <f>'SILK - SOLD'!C423</f>
        <v>1</v>
      </c>
      <c r="D18" s="49">
        <f>'SILK - PENDING'!D141</f>
        <v>3</v>
      </c>
      <c r="E18" s="49">
        <f>'SILK - ALL'!D707</f>
        <v>20</v>
      </c>
      <c r="F18" s="50">
        <f t="shared" si="1"/>
        <v>12240</v>
      </c>
      <c r="G18" s="50">
        <f>'SILK - SOLD'!K423</f>
        <v>539</v>
      </c>
      <c r="H18" s="50">
        <f>'SILK - PENDING'!H141</f>
        <v>1650</v>
      </c>
      <c r="I18" s="51">
        <f>'SILK - ALL'!H707</f>
        <v>10051</v>
      </c>
    </row>
    <row r="19" spans="1:9">
      <c r="A19" s="48" t="s">
        <v>46</v>
      </c>
      <c r="B19" s="49">
        <f t="shared" si="0"/>
        <v>24</v>
      </c>
      <c r="C19" s="49">
        <f>'SILK - SOLD'!C447</f>
        <v>13</v>
      </c>
      <c r="D19" s="49">
        <f>'SILK - PENDING'!D151</f>
        <v>5</v>
      </c>
      <c r="E19" s="49">
        <f>'SILK - ALL'!D718</f>
        <v>6</v>
      </c>
      <c r="F19" s="50">
        <f t="shared" si="1"/>
        <v>13476</v>
      </c>
      <c r="G19" s="50">
        <f>'SILK - SOLD'!K447</f>
        <v>7590</v>
      </c>
      <c r="H19" s="50">
        <f>'SILK - PENDING'!H151</f>
        <v>2286</v>
      </c>
      <c r="I19" s="51">
        <f>'SILK - ALL'!H718</f>
        <v>3600</v>
      </c>
    </row>
    <row r="20" spans="1:9">
      <c r="A20" s="48" t="s">
        <v>47</v>
      </c>
      <c r="B20" s="49">
        <f t="shared" si="0"/>
        <v>59</v>
      </c>
      <c r="C20" s="49">
        <f>'SILK - SOLD'!C473</f>
        <v>21</v>
      </c>
      <c r="D20" s="49">
        <f>'SILK - PENDING'!D171</f>
        <v>15</v>
      </c>
      <c r="E20" s="49">
        <f>'SILK - ALL'!D746</f>
        <v>23</v>
      </c>
      <c r="F20" s="50">
        <f t="shared" si="1"/>
        <v>31105</v>
      </c>
      <c r="G20" s="50">
        <f>'SILK - SOLD'!K473</f>
        <v>10905.5</v>
      </c>
      <c r="H20" s="50">
        <f>'SILK - PENDING'!H171</f>
        <v>8023</v>
      </c>
      <c r="I20" s="51">
        <f>'SILK - ALL'!H746</f>
        <v>12176.5</v>
      </c>
    </row>
    <row r="21" spans="1:9">
      <c r="A21" s="52"/>
      <c r="B21" s="53"/>
      <c r="C21" s="53"/>
      <c r="D21" s="53"/>
      <c r="E21" s="53"/>
      <c r="F21" s="54"/>
      <c r="G21" s="54"/>
      <c r="H21" s="54"/>
      <c r="I21" s="55"/>
    </row>
    <row r="22" spans="1:9">
      <c r="A22" s="52" t="s">
        <v>48</v>
      </c>
      <c r="B22" s="56">
        <f t="shared" ref="B22:E22" si="2">SUM(B4:B20)</f>
        <v>1054</v>
      </c>
      <c r="C22" s="56">
        <f t="shared" si="2"/>
        <v>360</v>
      </c>
      <c r="D22" s="56">
        <f t="shared" si="2"/>
        <v>44</v>
      </c>
      <c r="E22" s="56">
        <f t="shared" si="2"/>
        <v>650</v>
      </c>
      <c r="F22" s="57">
        <f>G22+H22+I22</f>
        <v>699279.62</v>
      </c>
      <c r="G22" s="57">
        <f t="shared" ref="G22:H22" si="3">SUM(G4:G20)</f>
        <v>224661.1</v>
      </c>
      <c r="H22" s="57">
        <f t="shared" si="3"/>
        <v>24677.5</v>
      </c>
      <c r="I22" s="55">
        <f>SUM(I4:I20)</f>
        <v>449941.02</v>
      </c>
    </row>
    <row r="23" spans="1:9">
      <c r="A23" s="52"/>
      <c r="B23" s="53"/>
      <c r="C23" s="53"/>
      <c r="D23" s="53"/>
      <c r="E23" s="53"/>
      <c r="F23" s="53"/>
      <c r="G23" s="53"/>
      <c r="H23" s="53"/>
      <c r="I23" s="58"/>
    </row>
    <row r="24" spans="1:9">
      <c r="A24" s="45" t="s">
        <v>49</v>
      </c>
      <c r="B24" s="46"/>
      <c r="C24" s="46"/>
      <c r="D24" s="46"/>
      <c r="E24" s="46"/>
      <c r="F24" s="46"/>
      <c r="G24" s="46"/>
      <c r="H24" s="46"/>
      <c r="I24" s="47"/>
    </row>
    <row r="25" spans="1:9">
      <c r="A25" s="59" t="s">
        <v>50</v>
      </c>
      <c r="B25" s="60">
        <f>'LACE  - STOCK OVERVIEW'!L3</f>
        <v>62</v>
      </c>
      <c r="C25" s="60">
        <f>'LACE  - STOCK OVERVIEW'!F3</f>
        <v>16</v>
      </c>
      <c r="D25" s="60">
        <f>'LACE  - STOCK OVERVIEW'!I3</f>
        <v>3</v>
      </c>
      <c r="E25" s="60">
        <f>'LACE - ALL'!C56</f>
        <v>43</v>
      </c>
      <c r="F25" s="61">
        <f t="shared" ref="F25:F27" si="4">G25+H25+I25</f>
        <v>49242.1</v>
      </c>
      <c r="G25" s="61">
        <f>'LACE  - STOCK OVERVIEW'!H3</f>
        <v>11238.6</v>
      </c>
      <c r="H25" s="61">
        <f>'LACE  - STOCK OVERVIEW'!K3</f>
        <v>2160</v>
      </c>
      <c r="I25" s="62">
        <v>35843.5</v>
      </c>
    </row>
    <row r="26" spans="1:9">
      <c r="A26" s="59" t="s">
        <v>51</v>
      </c>
      <c r="B26" s="60">
        <f>'LACE  - STOCK OVERVIEW'!L4</f>
        <v>68</v>
      </c>
      <c r="C26" s="60">
        <f>'LACE  - STOCK OVERVIEW'!F4</f>
        <v>17</v>
      </c>
      <c r="D26" s="60">
        <f>'LACE  - STOCK OVERVIEW'!I4</f>
        <v>1</v>
      </c>
      <c r="E26" s="60">
        <f>'LACE - ALL'!C111</f>
        <v>50</v>
      </c>
      <c r="F26" s="61">
        <f t="shared" si="4"/>
        <v>86282.41</v>
      </c>
      <c r="G26" s="61">
        <f>'LACE  - STOCK OVERVIEW'!H4</f>
        <v>21860.91</v>
      </c>
      <c r="H26" s="61">
        <f>'LACE  - STOCK OVERVIEW'!K4</f>
        <v>1245.5</v>
      </c>
      <c r="I26" s="62">
        <v>63176</v>
      </c>
    </row>
    <row r="27" spans="1:9">
      <c r="A27" s="59" t="s">
        <v>52</v>
      </c>
      <c r="B27" s="60">
        <f>'LACE  - STOCK OVERVIEW'!L5</f>
        <v>52</v>
      </c>
      <c r="C27" s="60">
        <f>'LACE  - STOCK OVERVIEW'!F5</f>
        <v>18</v>
      </c>
      <c r="D27" s="60">
        <f>'LACE  - STOCK OVERVIEW'!I5</f>
        <v>0</v>
      </c>
      <c r="E27" s="60">
        <f t="shared" ref="E27:E28" si="5">B27-C27-D27</f>
        <v>34</v>
      </c>
      <c r="F27" s="61">
        <f t="shared" si="4"/>
        <v>43790.080000000002</v>
      </c>
      <c r="G27" s="61">
        <f>'LACE  - STOCK OVERVIEW'!H5</f>
        <v>15106.08</v>
      </c>
      <c r="H27" s="61">
        <f>'LACE  - STOCK OVERVIEW'!K5</f>
        <v>0</v>
      </c>
      <c r="I27" s="62">
        <v>28684</v>
      </c>
    </row>
    <row r="28" spans="1:9">
      <c r="A28" s="52" t="s">
        <v>53</v>
      </c>
      <c r="B28" s="56">
        <f t="shared" ref="B28:D28" si="6">SUM(B25:B27)</f>
        <v>182</v>
      </c>
      <c r="C28" s="56">
        <f t="shared" si="6"/>
        <v>51</v>
      </c>
      <c r="D28" s="56">
        <f t="shared" si="6"/>
        <v>4</v>
      </c>
      <c r="E28" s="56">
        <f t="shared" si="5"/>
        <v>127</v>
      </c>
      <c r="F28" s="57">
        <f t="shared" ref="F28:I28" si="7">SUM(F25:F27)</f>
        <v>179314.59000000003</v>
      </c>
      <c r="G28" s="57">
        <f t="shared" si="7"/>
        <v>48205.590000000004</v>
      </c>
      <c r="H28" s="57">
        <f t="shared" si="7"/>
        <v>3405.5</v>
      </c>
      <c r="I28" s="58">
        <f t="shared" si="7"/>
        <v>127703.5</v>
      </c>
    </row>
    <row r="29" spans="1:9">
      <c r="A29" s="52"/>
      <c r="B29" s="53"/>
      <c r="C29" s="53"/>
      <c r="D29" s="53"/>
      <c r="E29" s="53"/>
      <c r="F29" s="54"/>
      <c r="G29" s="54"/>
      <c r="H29" s="53"/>
      <c r="I29" s="58"/>
    </row>
    <row r="30" spans="1:9">
      <c r="A30" s="63" t="s">
        <v>54</v>
      </c>
      <c r="B30" s="53">
        <v>70</v>
      </c>
      <c r="C30" s="53">
        <f>'LACE  - STOCK OVERVIEW'!F7</f>
        <v>0</v>
      </c>
      <c r="D30" s="53">
        <f>'LACE  - STOCK OVERVIEW'!I7</f>
        <v>0</v>
      </c>
      <c r="E30" s="53">
        <f>B30-C30-D30</f>
        <v>70</v>
      </c>
      <c r="F30" s="54">
        <f>'LACE  - STOCK OVERVIEW'!E7</f>
        <v>9900</v>
      </c>
      <c r="G30" s="54">
        <f>'LACE  - STOCK OVERVIEW'!H7</f>
        <v>0</v>
      </c>
      <c r="H30" s="53">
        <f>'LACE  - STOCK OVERVIEW'!K7</f>
        <v>0</v>
      </c>
      <c r="I30" s="64">
        <f>'LACE  - STOCK OVERVIEW'!N7</f>
        <v>9900</v>
      </c>
    </row>
    <row r="31" spans="1:9">
      <c r="A31" s="52"/>
      <c r="B31" s="53"/>
      <c r="C31" s="53"/>
      <c r="D31" s="53"/>
      <c r="E31" s="53"/>
      <c r="F31" s="53"/>
      <c r="G31" s="54"/>
      <c r="H31" s="53"/>
      <c r="I31" s="58"/>
    </row>
    <row r="32" spans="1:9">
      <c r="A32" s="45" t="s">
        <v>55</v>
      </c>
      <c r="B32" s="46"/>
      <c r="C32" s="46"/>
      <c r="D32" s="46"/>
      <c r="E32" s="46"/>
      <c r="F32" s="46"/>
      <c r="G32" s="46"/>
      <c r="H32" s="46"/>
      <c r="I32" s="47"/>
    </row>
    <row r="33" spans="1:9">
      <c r="A33" s="65" t="s">
        <v>56</v>
      </c>
      <c r="B33" s="66">
        <f>'CEMB - STOCK OVERVIEW'!C3</f>
        <v>201</v>
      </c>
      <c r="C33" s="66">
        <f>'CEMB - STOCK OVERVIEW'!D3</f>
        <v>6</v>
      </c>
      <c r="D33" s="66">
        <f>'CEMB - PENDING'!C18</f>
        <v>0</v>
      </c>
      <c r="E33" s="66">
        <f t="shared" ref="E33:E36" si="8">B33-C33-D33</f>
        <v>195</v>
      </c>
      <c r="F33" s="67">
        <f t="shared" ref="F33:F36" si="9">G33+H33+I33</f>
        <v>30476.25</v>
      </c>
      <c r="G33" s="67">
        <f>Table121[[#Totals],[COST PER PC]]</f>
        <v>301</v>
      </c>
      <c r="H33" s="67">
        <f>Table127[[#Totals],[COST PIECE RM]]</f>
        <v>0</v>
      </c>
      <c r="I33" s="68">
        <v>30175.25</v>
      </c>
    </row>
    <row r="34" spans="1:9">
      <c r="A34" s="65" t="s">
        <v>57</v>
      </c>
      <c r="B34" s="66">
        <v>81</v>
      </c>
      <c r="C34" s="66">
        <f>'CEMB - STOCK OVERVIEW'!D4</f>
        <v>14</v>
      </c>
      <c r="D34" s="66">
        <f>'CEMB - PENDING'!C31</f>
        <v>0</v>
      </c>
      <c r="E34" s="66">
        <f t="shared" si="8"/>
        <v>67</v>
      </c>
      <c r="F34" s="67">
        <f t="shared" si="9"/>
        <v>26940</v>
      </c>
      <c r="G34" s="67">
        <f>Table126[[#Totals],[COST PER PC]]</f>
        <v>4440</v>
      </c>
      <c r="H34" s="67">
        <f>Table130[[#Totals],[COST PIECE RM]]</f>
        <v>0</v>
      </c>
      <c r="I34" s="68">
        <v>22500</v>
      </c>
    </row>
    <row r="35" spans="1:9">
      <c r="A35" s="65" t="s">
        <v>58</v>
      </c>
      <c r="B35" s="66">
        <v>62</v>
      </c>
      <c r="C35" s="66">
        <f>'CEMB - STOCK OVERVIEW'!D5</f>
        <v>7</v>
      </c>
      <c r="D35" s="66">
        <f>'CEMB - PENDING'!C43</f>
        <v>0</v>
      </c>
      <c r="E35" s="66">
        <f t="shared" si="8"/>
        <v>55</v>
      </c>
      <c r="F35" s="67">
        <f t="shared" si="9"/>
        <v>35271.800000000003</v>
      </c>
      <c r="G35" s="67">
        <f>'CEMB - SOLD'!L56</f>
        <v>3975.8</v>
      </c>
      <c r="H35" s="67">
        <f>Table137[[#Totals],[COST PIECE RM]]</f>
        <v>0</v>
      </c>
      <c r="I35" s="68">
        <v>31296</v>
      </c>
    </row>
    <row r="36" spans="1:9">
      <c r="A36" s="65" t="s">
        <v>59</v>
      </c>
      <c r="B36" s="66">
        <v>52</v>
      </c>
      <c r="C36" s="66">
        <f>'CEMB - STOCK OVERVIEW'!D6</f>
        <v>5</v>
      </c>
      <c r="D36" s="66">
        <f>'CEMB - PENDING'!C55</f>
        <v>0</v>
      </c>
      <c r="E36" s="66">
        <f t="shared" si="8"/>
        <v>47</v>
      </c>
      <c r="F36" s="67">
        <f t="shared" si="9"/>
        <v>53169.75</v>
      </c>
      <c r="G36" s="67">
        <f>'CEMB - SOLD'!L68</f>
        <v>4839.75</v>
      </c>
      <c r="H36" s="67">
        <f>Table138[[#Totals],[COST PIECE RM]]</f>
        <v>0</v>
      </c>
      <c r="I36" s="68">
        <v>48330</v>
      </c>
    </row>
    <row r="37" spans="1:9">
      <c r="A37" s="52"/>
      <c r="B37" s="53"/>
      <c r="C37" s="53"/>
      <c r="D37" s="53"/>
      <c r="E37" s="53"/>
      <c r="F37" s="69"/>
      <c r="G37" s="69"/>
      <c r="H37" s="69"/>
      <c r="I37" s="58"/>
    </row>
    <row r="38" spans="1:9">
      <c r="A38" s="52" t="s">
        <v>60</v>
      </c>
      <c r="B38" s="56">
        <f t="shared" ref="B38:I38" si="10">SUM(B33:B36)</f>
        <v>396</v>
      </c>
      <c r="C38" s="56">
        <f t="shared" si="10"/>
        <v>32</v>
      </c>
      <c r="D38" s="56">
        <f t="shared" si="10"/>
        <v>0</v>
      </c>
      <c r="E38" s="56">
        <f t="shared" si="10"/>
        <v>364</v>
      </c>
      <c r="F38" s="70">
        <f t="shared" si="10"/>
        <v>145857.79999999999</v>
      </c>
      <c r="G38" s="70">
        <f t="shared" si="10"/>
        <v>13556.55</v>
      </c>
      <c r="H38" s="70">
        <f t="shared" si="10"/>
        <v>0</v>
      </c>
      <c r="I38" s="58">
        <f t="shared" si="10"/>
        <v>132301.25</v>
      </c>
    </row>
    <row r="39" spans="1:9">
      <c r="A39" s="52"/>
      <c r="B39" s="53"/>
      <c r="C39" s="53"/>
      <c r="D39" s="53"/>
      <c r="E39" s="53"/>
      <c r="F39" s="53"/>
      <c r="G39" s="53"/>
      <c r="H39" s="53"/>
      <c r="I39" s="58"/>
    </row>
    <row r="40" spans="1:9">
      <c r="A40" s="45" t="s">
        <v>61</v>
      </c>
      <c r="B40" s="46"/>
      <c r="C40" s="46"/>
      <c r="D40" s="46"/>
      <c r="E40" s="46"/>
      <c r="F40" s="46"/>
      <c r="G40" s="46"/>
      <c r="H40" s="46"/>
      <c r="I40" s="47"/>
    </row>
    <row r="41" spans="1:9">
      <c r="A41" s="52" t="s">
        <v>62</v>
      </c>
      <c r="B41" s="53">
        <v>95</v>
      </c>
      <c r="C41" s="53">
        <f>'LACE - SOLD'!C100</f>
        <v>2</v>
      </c>
      <c r="D41" s="53">
        <f>'LACE - PENDING'!C50</f>
        <v>0</v>
      </c>
      <c r="E41" s="53">
        <f>B41-C41-D41</f>
        <v>93</v>
      </c>
      <c r="F41" s="69">
        <f>G41+H41+I41</f>
        <v>138435</v>
      </c>
      <c r="G41" s="69">
        <f>'LACE - SOLD'!J100</f>
        <v>1920</v>
      </c>
      <c r="H41" s="69">
        <f>'LACE - PENDING'!G50</f>
        <v>0</v>
      </c>
      <c r="I41" s="64">
        <v>136515</v>
      </c>
    </row>
    <row r="42" spans="1:9">
      <c r="A42" s="52"/>
      <c r="B42" s="53"/>
      <c r="C42" s="53"/>
      <c r="D42" s="53"/>
      <c r="E42" s="53"/>
      <c r="F42" s="69"/>
      <c r="G42" s="69"/>
      <c r="H42" s="69"/>
      <c r="I42" s="58"/>
    </row>
    <row r="43" spans="1:9">
      <c r="A43" s="71" t="s">
        <v>63</v>
      </c>
      <c r="B43" s="72">
        <f t="shared" ref="B43:I43" si="11">B41</f>
        <v>95</v>
      </c>
      <c r="C43" s="72">
        <f t="shared" si="11"/>
        <v>2</v>
      </c>
      <c r="D43" s="72">
        <f t="shared" si="11"/>
        <v>0</v>
      </c>
      <c r="E43" s="72">
        <f t="shared" si="11"/>
        <v>93</v>
      </c>
      <c r="F43" s="73">
        <f t="shared" si="11"/>
        <v>138435</v>
      </c>
      <c r="G43" s="73">
        <f t="shared" si="11"/>
        <v>1920</v>
      </c>
      <c r="H43" s="73">
        <f t="shared" si="11"/>
        <v>0</v>
      </c>
      <c r="I43" s="74">
        <f t="shared" si="11"/>
        <v>136515</v>
      </c>
    </row>
    <row r="44" spans="1:9">
      <c r="A44" s="52"/>
      <c r="B44" s="53"/>
      <c r="C44" s="53"/>
      <c r="D44" s="53"/>
      <c r="E44" s="53"/>
      <c r="F44" s="53"/>
      <c r="G44" s="53"/>
      <c r="H44" s="53"/>
      <c r="I44" s="58"/>
    </row>
    <row r="45" spans="1:9">
      <c r="A45" s="75" t="s">
        <v>64</v>
      </c>
      <c r="B45" s="76"/>
      <c r="C45" s="76"/>
      <c r="D45" s="76"/>
      <c r="E45" s="76"/>
      <c r="F45" s="76"/>
      <c r="G45" s="76"/>
      <c r="H45" s="76"/>
      <c r="I45" s="77"/>
    </row>
    <row r="46" spans="1:9">
      <c r="A46" s="78" t="s">
        <v>32</v>
      </c>
      <c r="B46" s="79">
        <v>10</v>
      </c>
      <c r="C46" s="80">
        <v>0</v>
      </c>
      <c r="D46" s="80">
        <v>0</v>
      </c>
      <c r="E46" s="80">
        <f>'EMBROIDERY - ALL'!D25</f>
        <v>10</v>
      </c>
      <c r="F46" s="81">
        <v>15672.5</v>
      </c>
      <c r="G46" s="81">
        <v>0</v>
      </c>
      <c r="H46" s="82"/>
      <c r="I46" s="82">
        <f t="shared" ref="I46:I73" si="12">F46-G46-H46</f>
        <v>15672.5</v>
      </c>
    </row>
    <row r="47" spans="1:9">
      <c r="A47" s="83" t="s">
        <v>65</v>
      </c>
      <c r="B47" s="84">
        <v>5</v>
      </c>
      <c r="C47" s="80">
        <v>2</v>
      </c>
      <c r="D47" s="80">
        <v>0</v>
      </c>
      <c r="E47" s="80">
        <f>'EMBROIDERY - ALL'!D34</f>
        <v>3</v>
      </c>
      <c r="F47" s="81">
        <v>35185</v>
      </c>
      <c r="G47" s="81">
        <v>6210</v>
      </c>
      <c r="H47" s="81"/>
      <c r="I47" s="82">
        <f t="shared" si="12"/>
        <v>28975</v>
      </c>
    </row>
    <row r="48" spans="1:9">
      <c r="A48" s="78" t="s">
        <v>66</v>
      </c>
      <c r="B48" s="79">
        <v>5</v>
      </c>
      <c r="C48" s="80">
        <v>0</v>
      </c>
      <c r="D48" s="80">
        <v>0</v>
      </c>
      <c r="E48" s="80">
        <f>'EMBROIDERY - ALL'!D45</f>
        <v>5</v>
      </c>
      <c r="F48" s="81">
        <v>18920</v>
      </c>
      <c r="G48" s="81">
        <v>0</v>
      </c>
      <c r="H48" s="81"/>
      <c r="I48" s="82">
        <f t="shared" si="12"/>
        <v>18920</v>
      </c>
    </row>
    <row r="49" spans="1:9">
      <c r="A49" s="83" t="s">
        <v>67</v>
      </c>
      <c r="B49" s="79">
        <v>13</v>
      </c>
      <c r="C49" s="80">
        <v>1</v>
      </c>
      <c r="D49" s="80">
        <v>0</v>
      </c>
      <c r="E49" s="80">
        <f>'EMBROIDERY - ALL'!D63</f>
        <v>12</v>
      </c>
      <c r="F49" s="81">
        <v>112605</v>
      </c>
      <c r="G49" s="81">
        <v>5725</v>
      </c>
      <c r="H49" s="81"/>
      <c r="I49" s="82">
        <f t="shared" si="12"/>
        <v>106880</v>
      </c>
    </row>
    <row r="50" spans="1:9" ht="15.75" customHeight="1">
      <c r="A50" s="85" t="s">
        <v>68</v>
      </c>
      <c r="B50" s="86">
        <v>11</v>
      </c>
      <c r="C50" s="80">
        <v>3</v>
      </c>
      <c r="D50" s="80">
        <v>0</v>
      </c>
      <c r="E50" s="80">
        <f>'EMBROIDERY - ALL'!D77</f>
        <v>8</v>
      </c>
      <c r="F50" s="81">
        <v>29217.5</v>
      </c>
      <c r="G50" s="81">
        <v>7938</v>
      </c>
      <c r="H50" s="81"/>
      <c r="I50" s="82">
        <f t="shared" si="12"/>
        <v>21279.5</v>
      </c>
    </row>
    <row r="51" spans="1:9" ht="15.75" customHeight="1">
      <c r="A51" s="85" t="s">
        <v>69</v>
      </c>
      <c r="B51" s="86">
        <v>6</v>
      </c>
      <c r="C51" s="80">
        <v>0</v>
      </c>
      <c r="D51" s="80">
        <v>0</v>
      </c>
      <c r="E51" s="80">
        <f>'EMBROIDERY - ALL'!D89</f>
        <v>6</v>
      </c>
      <c r="F51" s="81">
        <v>5700</v>
      </c>
      <c r="G51" s="81">
        <v>0</v>
      </c>
      <c r="H51" s="81"/>
      <c r="I51" s="82">
        <f t="shared" si="12"/>
        <v>5700</v>
      </c>
    </row>
    <row r="52" spans="1:9" ht="15.75" customHeight="1">
      <c r="A52" s="85" t="s">
        <v>70</v>
      </c>
      <c r="B52" s="86">
        <v>4</v>
      </c>
      <c r="C52" s="80">
        <v>0</v>
      </c>
      <c r="D52" s="80">
        <v>0</v>
      </c>
      <c r="E52" s="80">
        <f>'EMBROIDERY - ALL'!D99</f>
        <v>4</v>
      </c>
      <c r="F52" s="81">
        <v>10080</v>
      </c>
      <c r="G52" s="81">
        <v>0</v>
      </c>
      <c r="H52" s="81"/>
      <c r="I52" s="82">
        <f t="shared" si="12"/>
        <v>10080</v>
      </c>
    </row>
    <row r="53" spans="1:9" ht="15.75" customHeight="1">
      <c r="A53" s="85" t="s">
        <v>71</v>
      </c>
      <c r="B53" s="86">
        <v>15</v>
      </c>
      <c r="C53" s="80">
        <v>0</v>
      </c>
      <c r="D53" s="80">
        <v>0</v>
      </c>
      <c r="E53" s="80">
        <f>'EMBROIDERY - ALL'!D120</f>
        <v>15</v>
      </c>
      <c r="F53" s="81">
        <v>26207</v>
      </c>
      <c r="G53" s="81">
        <v>0</v>
      </c>
      <c r="H53" s="81"/>
      <c r="I53" s="82">
        <f t="shared" si="12"/>
        <v>26207</v>
      </c>
    </row>
    <row r="54" spans="1:9" ht="15.75" customHeight="1">
      <c r="A54" s="85" t="s">
        <v>72</v>
      </c>
      <c r="B54" s="86">
        <v>16</v>
      </c>
      <c r="C54" s="80">
        <v>0</v>
      </c>
      <c r="D54" s="80">
        <v>0</v>
      </c>
      <c r="E54" s="80">
        <f>'EMBROIDERY - ALL'!D142</f>
        <v>16</v>
      </c>
      <c r="F54" s="81">
        <v>15503.5</v>
      </c>
      <c r="G54" s="81">
        <v>0</v>
      </c>
      <c r="H54" s="81"/>
      <c r="I54" s="82">
        <f t="shared" si="12"/>
        <v>15503.5</v>
      </c>
    </row>
    <row r="55" spans="1:9" ht="15.75" customHeight="1">
      <c r="A55" s="85" t="s">
        <v>73</v>
      </c>
      <c r="B55" s="86">
        <v>12</v>
      </c>
      <c r="C55" s="80">
        <v>0</v>
      </c>
      <c r="D55" s="80">
        <v>0</v>
      </c>
      <c r="E55" s="80">
        <f>'EMBROIDERY - ALL'!D160</f>
        <v>12</v>
      </c>
      <c r="F55" s="81">
        <v>73370</v>
      </c>
      <c r="G55" s="81">
        <v>0</v>
      </c>
      <c r="H55" s="81"/>
      <c r="I55" s="82">
        <f t="shared" si="12"/>
        <v>73370</v>
      </c>
    </row>
    <row r="56" spans="1:9" ht="15.75" customHeight="1">
      <c r="A56" s="85" t="s">
        <v>74</v>
      </c>
      <c r="B56" s="86">
        <v>44</v>
      </c>
      <c r="C56" s="80">
        <v>0</v>
      </c>
      <c r="D56" s="80">
        <v>0</v>
      </c>
      <c r="E56" s="80">
        <f>'EMBROIDERY - ALL'!D210</f>
        <v>44</v>
      </c>
      <c r="F56" s="81">
        <v>98559</v>
      </c>
      <c r="G56" s="81">
        <v>0</v>
      </c>
      <c r="H56" s="81"/>
      <c r="I56" s="82">
        <f t="shared" si="12"/>
        <v>98559</v>
      </c>
    </row>
    <row r="57" spans="1:9" ht="15.75" customHeight="1">
      <c r="A57" s="85" t="s">
        <v>75</v>
      </c>
      <c r="B57" s="86">
        <v>9</v>
      </c>
      <c r="C57" s="80">
        <v>0</v>
      </c>
      <c r="D57" s="80">
        <v>0</v>
      </c>
      <c r="E57" s="80">
        <f>'EMBROIDERY - ALL'!D225</f>
        <v>9</v>
      </c>
      <c r="F57" s="81">
        <v>44475</v>
      </c>
      <c r="G57" s="81">
        <v>0</v>
      </c>
      <c r="H57" s="81"/>
      <c r="I57" s="82">
        <f t="shared" si="12"/>
        <v>44475</v>
      </c>
    </row>
    <row r="58" spans="1:9" ht="15.75" customHeight="1">
      <c r="A58" s="85" t="s">
        <v>76</v>
      </c>
      <c r="B58" s="86">
        <v>14</v>
      </c>
      <c r="C58" s="80">
        <v>0</v>
      </c>
      <c r="D58" s="80">
        <v>0</v>
      </c>
      <c r="E58" s="80">
        <f>'EMBROIDERY - ALL'!D245</f>
        <v>14</v>
      </c>
      <c r="F58" s="81">
        <v>25584</v>
      </c>
      <c r="G58" s="81">
        <v>0</v>
      </c>
      <c r="H58" s="81"/>
      <c r="I58" s="82">
        <f t="shared" si="12"/>
        <v>25584</v>
      </c>
    </row>
    <row r="59" spans="1:9" ht="15.75" customHeight="1">
      <c r="A59" s="85" t="s">
        <v>77</v>
      </c>
      <c r="B59" s="86">
        <v>23</v>
      </c>
      <c r="C59" s="80">
        <v>0</v>
      </c>
      <c r="D59" s="80">
        <v>0</v>
      </c>
      <c r="E59" s="80">
        <f>'EMBROIDERY - ALL'!D274</f>
        <v>23</v>
      </c>
      <c r="F59" s="81">
        <v>104627.5</v>
      </c>
      <c r="G59" s="81">
        <v>0</v>
      </c>
      <c r="H59" s="81"/>
      <c r="I59" s="82">
        <f t="shared" si="12"/>
        <v>104627.5</v>
      </c>
    </row>
    <row r="60" spans="1:9" ht="15.75" customHeight="1">
      <c r="A60" s="85" t="s">
        <v>78</v>
      </c>
      <c r="B60" s="86">
        <v>13</v>
      </c>
      <c r="C60" s="80">
        <v>0</v>
      </c>
      <c r="D60" s="80">
        <v>0</v>
      </c>
      <c r="E60" s="80">
        <f>'EMBROIDERY - ALL'!D293</f>
        <v>13</v>
      </c>
      <c r="F60" s="81">
        <v>38585</v>
      </c>
      <c r="G60" s="81">
        <v>0</v>
      </c>
      <c r="H60" s="81"/>
      <c r="I60" s="82">
        <f t="shared" si="12"/>
        <v>38585</v>
      </c>
    </row>
    <row r="61" spans="1:9" ht="15.75" customHeight="1">
      <c r="A61" s="85" t="s">
        <v>79</v>
      </c>
      <c r="B61" s="86">
        <v>6</v>
      </c>
      <c r="C61" s="80">
        <v>0</v>
      </c>
      <c r="D61" s="80">
        <v>0</v>
      </c>
      <c r="E61" s="80">
        <f>'EMBROIDERY - ALL'!D305</f>
        <v>6</v>
      </c>
      <c r="F61" s="81">
        <v>6000</v>
      </c>
      <c r="G61" s="81">
        <v>0</v>
      </c>
      <c r="H61" s="81"/>
      <c r="I61" s="82">
        <f t="shared" si="12"/>
        <v>6000</v>
      </c>
    </row>
    <row r="62" spans="1:9" ht="15.75" customHeight="1">
      <c r="A62" s="85" t="s">
        <v>80</v>
      </c>
      <c r="B62" s="86">
        <v>7</v>
      </c>
      <c r="C62" s="80">
        <v>0</v>
      </c>
      <c r="D62" s="80">
        <v>0</v>
      </c>
      <c r="E62" s="80">
        <f>'EMBROIDERY - ALL'!D317</f>
        <v>7</v>
      </c>
      <c r="F62" s="81">
        <v>37700.5</v>
      </c>
      <c r="G62" s="81">
        <v>0</v>
      </c>
      <c r="H62" s="81"/>
      <c r="I62" s="82">
        <f t="shared" si="12"/>
        <v>37700.5</v>
      </c>
    </row>
    <row r="63" spans="1:9" ht="15.75" customHeight="1">
      <c r="A63" s="85" t="s">
        <v>37</v>
      </c>
      <c r="B63" s="86">
        <v>14</v>
      </c>
      <c r="C63" s="80">
        <v>0</v>
      </c>
      <c r="D63" s="80">
        <v>0</v>
      </c>
      <c r="E63" s="80">
        <f>'EMBROIDERY - ALL'!D337</f>
        <v>14</v>
      </c>
      <c r="F63" s="81">
        <v>10692.5</v>
      </c>
      <c r="G63" s="81">
        <v>0</v>
      </c>
      <c r="H63" s="81"/>
      <c r="I63" s="82">
        <f t="shared" si="12"/>
        <v>10692.5</v>
      </c>
    </row>
    <row r="64" spans="1:9" ht="15.75" customHeight="1">
      <c r="A64" s="85" t="s">
        <v>81</v>
      </c>
      <c r="B64" s="86">
        <v>3</v>
      </c>
      <c r="C64" s="80">
        <v>0</v>
      </c>
      <c r="D64" s="80">
        <v>0</v>
      </c>
      <c r="E64" s="80">
        <f>'EMBROIDERY - ALL'!D346</f>
        <v>3</v>
      </c>
      <c r="F64" s="81">
        <v>6710</v>
      </c>
      <c r="G64" s="81">
        <v>0</v>
      </c>
      <c r="H64" s="81"/>
      <c r="I64" s="82">
        <f t="shared" si="12"/>
        <v>6710</v>
      </c>
    </row>
    <row r="65" spans="1:9" ht="15.75" customHeight="1">
      <c r="A65" s="85" t="s">
        <v>82</v>
      </c>
      <c r="B65" s="86">
        <v>10</v>
      </c>
      <c r="C65" s="80">
        <v>0</v>
      </c>
      <c r="D65" s="80">
        <v>0</v>
      </c>
      <c r="E65" s="80">
        <f>'EMBROIDERY - ALL'!D362</f>
        <v>10</v>
      </c>
      <c r="F65" s="81">
        <v>42090</v>
      </c>
      <c r="G65" s="81">
        <v>0</v>
      </c>
      <c r="H65" s="81"/>
      <c r="I65" s="82">
        <f t="shared" si="12"/>
        <v>42090</v>
      </c>
    </row>
    <row r="66" spans="1:9" ht="15.75" customHeight="1">
      <c r="A66" s="85" t="s">
        <v>83</v>
      </c>
      <c r="B66" s="86">
        <v>10</v>
      </c>
      <c r="C66" s="80">
        <v>1</v>
      </c>
      <c r="D66" s="80">
        <v>0</v>
      </c>
      <c r="E66" s="80">
        <f>'EMBROIDERY - ALL'!D377</f>
        <v>9</v>
      </c>
      <c r="F66" s="81">
        <v>39892.5</v>
      </c>
      <c r="G66" s="81">
        <v>5880</v>
      </c>
      <c r="H66" s="81"/>
      <c r="I66" s="82">
        <f t="shared" si="12"/>
        <v>34012.5</v>
      </c>
    </row>
    <row r="67" spans="1:9" ht="15.75" customHeight="1">
      <c r="A67" s="85" t="s">
        <v>84</v>
      </c>
      <c r="B67" s="86">
        <v>8</v>
      </c>
      <c r="C67" s="80">
        <v>0</v>
      </c>
      <c r="D67" s="80">
        <v>0</v>
      </c>
      <c r="E67" s="80">
        <f>'EMBROIDERY - ALL'!D391</f>
        <v>8</v>
      </c>
      <c r="F67" s="81">
        <v>24500</v>
      </c>
      <c r="G67" s="81">
        <v>0</v>
      </c>
      <c r="H67" s="81"/>
      <c r="I67" s="82">
        <f t="shared" si="12"/>
        <v>24500</v>
      </c>
    </row>
    <row r="68" spans="1:9" ht="15.75" customHeight="1">
      <c r="A68" s="85" t="s">
        <v>85</v>
      </c>
      <c r="B68" s="86">
        <v>7</v>
      </c>
      <c r="C68" s="80">
        <v>0</v>
      </c>
      <c r="D68" s="80">
        <v>0</v>
      </c>
      <c r="E68" s="80">
        <f>'EMBROIDERY - ALL'!D404</f>
        <v>7</v>
      </c>
      <c r="F68" s="81">
        <v>28505</v>
      </c>
      <c r="G68" s="81">
        <v>0</v>
      </c>
      <c r="H68" s="81"/>
      <c r="I68" s="82">
        <f t="shared" si="12"/>
        <v>28505</v>
      </c>
    </row>
    <row r="69" spans="1:9" ht="15.75" customHeight="1">
      <c r="A69" s="85" t="s">
        <v>86</v>
      </c>
      <c r="B69" s="86">
        <v>5</v>
      </c>
      <c r="C69" s="80">
        <v>0</v>
      </c>
      <c r="D69" s="80">
        <v>0</v>
      </c>
      <c r="E69" s="80">
        <f>'EMBROIDERY - ALL'!D415</f>
        <v>5</v>
      </c>
      <c r="F69" s="81">
        <v>11250</v>
      </c>
      <c r="G69" s="81">
        <v>0</v>
      </c>
      <c r="H69" s="81"/>
      <c r="I69" s="82">
        <f t="shared" si="12"/>
        <v>11250</v>
      </c>
    </row>
    <row r="70" spans="1:9" ht="15.75" customHeight="1">
      <c r="A70" s="85" t="s">
        <v>87</v>
      </c>
      <c r="B70" s="86">
        <v>3</v>
      </c>
      <c r="C70" s="80">
        <v>0</v>
      </c>
      <c r="D70" s="80">
        <v>0</v>
      </c>
      <c r="E70" s="80">
        <f>'EMBROIDERY - ALL'!D424</f>
        <v>3</v>
      </c>
      <c r="F70" s="81">
        <v>7425</v>
      </c>
      <c r="G70" s="81">
        <v>0</v>
      </c>
      <c r="H70" s="81"/>
      <c r="I70" s="82">
        <f t="shared" si="12"/>
        <v>7425</v>
      </c>
    </row>
    <row r="71" spans="1:9" ht="15.75" customHeight="1">
      <c r="A71" s="85" t="s">
        <v>88</v>
      </c>
      <c r="B71" s="86">
        <v>4</v>
      </c>
      <c r="C71" s="80">
        <v>0</v>
      </c>
      <c r="D71" s="80">
        <v>0</v>
      </c>
      <c r="E71" s="80">
        <f>'EMBROIDERY - ALL'!D434</f>
        <v>4</v>
      </c>
      <c r="F71" s="81">
        <v>3950</v>
      </c>
      <c r="G71" s="81">
        <v>0</v>
      </c>
      <c r="H71" s="81"/>
      <c r="I71" s="82">
        <f t="shared" si="12"/>
        <v>3950</v>
      </c>
    </row>
    <row r="72" spans="1:9" ht="15.75" customHeight="1">
      <c r="A72" s="85" t="s">
        <v>89</v>
      </c>
      <c r="B72" s="86">
        <v>26</v>
      </c>
      <c r="C72" s="80">
        <v>3</v>
      </c>
      <c r="D72" s="80">
        <v>0</v>
      </c>
      <c r="E72" s="80">
        <f>'EMBROIDERY - ALL'!D462</f>
        <v>23</v>
      </c>
      <c r="F72" s="81">
        <v>58686</v>
      </c>
      <c r="G72" s="81">
        <v>6072</v>
      </c>
      <c r="H72" s="81"/>
      <c r="I72" s="82">
        <f t="shared" si="12"/>
        <v>52614</v>
      </c>
    </row>
    <row r="73" spans="1:9" ht="15.75" customHeight="1">
      <c r="A73" s="85" t="s">
        <v>88</v>
      </c>
      <c r="B73" s="86">
        <v>14</v>
      </c>
      <c r="C73" s="80">
        <v>0</v>
      </c>
      <c r="D73" s="80">
        <v>0</v>
      </c>
      <c r="E73" s="80">
        <f>'EMBROIDERY - ALL'!D483</f>
        <v>14</v>
      </c>
      <c r="F73" s="81">
        <v>11320</v>
      </c>
      <c r="G73" s="81">
        <v>0</v>
      </c>
      <c r="H73" s="81"/>
      <c r="I73" s="82">
        <f t="shared" si="12"/>
        <v>11320</v>
      </c>
    </row>
    <row r="74" spans="1:9">
      <c r="A74" s="87"/>
      <c r="B74" s="88"/>
      <c r="C74" s="88"/>
      <c r="D74" s="88"/>
      <c r="E74" s="88"/>
      <c r="F74" s="89"/>
      <c r="G74" s="89"/>
      <c r="H74" s="89"/>
      <c r="I74" s="82"/>
    </row>
    <row r="75" spans="1:9">
      <c r="A75" s="87" t="s">
        <v>90</v>
      </c>
      <c r="B75" s="72">
        <f t="shared" ref="B75:D75" si="13">SUM(B46:B73)</f>
        <v>317</v>
      </c>
      <c r="C75" s="72">
        <f t="shared" si="13"/>
        <v>10</v>
      </c>
      <c r="D75" s="72">
        <f t="shared" si="13"/>
        <v>0</v>
      </c>
      <c r="E75" s="72">
        <f t="shared" ref="E75:F75" si="14">SUM(E46:E74)</f>
        <v>307</v>
      </c>
      <c r="F75" s="73">
        <f t="shared" si="14"/>
        <v>943012.5</v>
      </c>
      <c r="G75" s="73">
        <f>SUM(G46:G74)</f>
        <v>31825</v>
      </c>
      <c r="H75" s="73"/>
      <c r="I75" s="74">
        <f>SUM(I46:I73)</f>
        <v>911187.5</v>
      </c>
    </row>
    <row r="76" spans="1:9">
      <c r="A76" s="87"/>
      <c r="B76" s="88"/>
      <c r="C76" s="88"/>
      <c r="D76" s="88"/>
      <c r="E76" s="88"/>
      <c r="F76" s="88"/>
      <c r="G76" s="88"/>
      <c r="H76" s="88"/>
      <c r="I76" s="74"/>
    </row>
    <row r="77" spans="1:9">
      <c r="A77" s="90"/>
      <c r="B77" s="91"/>
      <c r="C77" s="91"/>
      <c r="D77" s="91"/>
      <c r="E77" s="91"/>
      <c r="F77" s="91"/>
      <c r="G77" s="91"/>
      <c r="H77" s="91"/>
      <c r="I77" s="92"/>
    </row>
    <row r="78" spans="1:9">
      <c r="A78" s="52" t="s">
        <v>26</v>
      </c>
      <c r="B78" s="56">
        <f t="shared" ref="B78:I78" si="15">SUM(B75,B28,B22,B43,B38,B30)</f>
        <v>2114</v>
      </c>
      <c r="C78" s="56">
        <f t="shared" si="15"/>
        <v>455</v>
      </c>
      <c r="D78" s="56">
        <f t="shared" si="15"/>
        <v>48</v>
      </c>
      <c r="E78" s="56">
        <f t="shared" si="15"/>
        <v>1611</v>
      </c>
      <c r="F78" s="70">
        <f t="shared" si="15"/>
        <v>2115799.5099999998</v>
      </c>
      <c r="G78" s="70">
        <f t="shared" si="15"/>
        <v>320168.24</v>
      </c>
      <c r="H78" s="70">
        <f t="shared" si="15"/>
        <v>28083</v>
      </c>
      <c r="I78" s="93">
        <f t="shared" si="15"/>
        <v>1767548.27</v>
      </c>
    </row>
    <row r="79" spans="1:9" ht="15.75" customHeight="1">
      <c r="A79" s="94"/>
      <c r="B79" s="94"/>
      <c r="C79" s="94"/>
      <c r="D79" s="94"/>
      <c r="E79" s="94"/>
      <c r="F79" s="94"/>
      <c r="G79" s="94"/>
      <c r="H79" s="94"/>
      <c r="I79" s="94"/>
    </row>
    <row r="80" spans="1:9" ht="15.75" customHeight="1">
      <c r="A80" s="95"/>
      <c r="B80" s="96"/>
      <c r="C80" s="96"/>
      <c r="D80" s="96"/>
      <c r="E80" s="96"/>
      <c r="F80" s="96"/>
      <c r="G80" s="96"/>
      <c r="H80" s="96"/>
      <c r="I80" s="97"/>
    </row>
    <row r="81" spans="1:9" ht="15.75" customHeight="1">
      <c r="A81" s="98" t="s">
        <v>27</v>
      </c>
      <c r="B81" s="99"/>
      <c r="C81" s="99"/>
      <c r="D81" s="99"/>
      <c r="E81" s="100"/>
      <c r="F81" s="99" t="s">
        <v>91</v>
      </c>
      <c r="G81" s="100" t="s">
        <v>92</v>
      </c>
      <c r="H81" s="100"/>
      <c r="I81" s="101"/>
    </row>
    <row r="82" spans="1:9">
      <c r="A82" s="102" t="s">
        <v>93</v>
      </c>
      <c r="B82" s="103"/>
      <c r="C82" s="103"/>
      <c r="D82" s="104"/>
      <c r="E82" s="104"/>
      <c r="F82" s="69">
        <v>16131</v>
      </c>
      <c r="G82" s="105"/>
      <c r="H82" s="104"/>
      <c r="I82" s="106"/>
    </row>
    <row r="83" spans="1:9">
      <c r="A83" s="102" t="s">
        <v>94</v>
      </c>
      <c r="B83" s="103"/>
      <c r="C83" s="103"/>
      <c r="D83" s="104"/>
      <c r="E83" s="104"/>
      <c r="F83" s="69">
        <v>2193.5</v>
      </c>
      <c r="G83" s="105"/>
      <c r="H83" s="104"/>
      <c r="I83" s="106"/>
    </row>
    <row r="84" spans="1:9">
      <c r="A84" s="102" t="s">
        <v>95</v>
      </c>
      <c r="B84" s="103"/>
      <c r="C84" s="103"/>
      <c r="D84" s="107"/>
      <c r="E84" s="107"/>
      <c r="F84" s="69">
        <v>4314.6000000000004</v>
      </c>
      <c r="G84" s="107"/>
      <c r="H84" s="107"/>
      <c r="I84" s="107"/>
    </row>
    <row r="85" spans="1:9">
      <c r="A85" s="102" t="s">
        <v>95</v>
      </c>
      <c r="B85" s="103"/>
      <c r="C85" s="103"/>
      <c r="D85" s="107"/>
      <c r="E85" s="107"/>
      <c r="F85" s="69">
        <v>24620.93</v>
      </c>
      <c r="G85" s="107"/>
      <c r="H85" s="107"/>
      <c r="I85" s="107"/>
    </row>
    <row r="86" spans="1:9">
      <c r="A86" s="102" t="s">
        <v>96</v>
      </c>
      <c r="B86" s="108"/>
      <c r="C86" s="103"/>
      <c r="D86" s="109"/>
      <c r="E86" s="109"/>
      <c r="F86" s="69">
        <v>23224</v>
      </c>
      <c r="G86" s="110"/>
      <c r="H86" s="109"/>
      <c r="I86" s="111"/>
    </row>
    <row r="87" spans="1:9">
      <c r="A87" s="102" t="s">
        <v>97</v>
      </c>
      <c r="B87" s="108"/>
      <c r="C87" s="103"/>
      <c r="D87" s="107"/>
      <c r="E87" s="107"/>
      <c r="F87" s="69">
        <v>11000</v>
      </c>
      <c r="G87" s="107"/>
      <c r="H87" s="107"/>
      <c r="I87" s="107"/>
    </row>
    <row r="88" spans="1:9">
      <c r="A88" s="102" t="s">
        <v>98</v>
      </c>
      <c r="B88" s="108"/>
      <c r="C88" s="103"/>
      <c r="D88" s="107"/>
      <c r="E88" s="107"/>
      <c r="F88" s="69">
        <v>19422</v>
      </c>
      <c r="G88" s="107"/>
      <c r="H88" s="107"/>
      <c r="I88" s="107"/>
    </row>
    <row r="89" spans="1:9">
      <c r="A89" s="102"/>
      <c r="B89" s="103"/>
      <c r="C89" s="103"/>
      <c r="D89" s="107"/>
      <c r="E89" s="107"/>
      <c r="F89" s="69"/>
      <c r="G89" s="107"/>
      <c r="H89" s="107"/>
      <c r="I89" s="107"/>
    </row>
    <row r="90" spans="1:9">
      <c r="A90" s="102"/>
      <c r="B90" s="103"/>
      <c r="C90" s="103"/>
      <c r="D90" s="107"/>
      <c r="E90" s="107"/>
      <c r="F90" s="69"/>
      <c r="G90" s="107"/>
      <c r="H90" s="107"/>
      <c r="I90" s="107"/>
    </row>
    <row r="91" spans="1:9">
      <c r="A91" s="102" t="s">
        <v>26</v>
      </c>
      <c r="B91" s="112">
        <f>SUM(B82:B86)</f>
        <v>0</v>
      </c>
      <c r="C91" s="113"/>
      <c r="D91" s="109"/>
      <c r="E91" s="109"/>
      <c r="F91" s="114">
        <f>SUM(F82:F90)</f>
        <v>100906.03</v>
      </c>
      <c r="G91" s="110"/>
      <c r="H91" s="109"/>
      <c r="I91" s="111"/>
    </row>
  </sheetData>
  <printOptions horizontalCentered="1"/>
  <pageMargins left="0.25" right="0.25" top="0.75" bottom="0.75" header="0" footer="0"/>
  <pageSetup paperSize="9" fitToHeight="0" pageOrder="overThenDown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O118"/>
  <sheetViews>
    <sheetView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/>
  <cols>
    <col min="1" max="1" width="27.88671875" customWidth="1"/>
    <col min="2" max="3" width="7" customWidth="1"/>
    <col min="4" max="4" width="9.33203125" customWidth="1"/>
    <col min="5" max="5" width="10.88671875" customWidth="1"/>
    <col min="6" max="6" width="9.21875" customWidth="1"/>
    <col min="7" max="7" width="8.109375" customWidth="1"/>
    <col min="8" max="8" width="10.44140625" customWidth="1"/>
    <col min="9" max="9" width="14.21875" customWidth="1"/>
    <col min="11" max="11" width="16.5546875" bestFit="1" customWidth="1"/>
    <col min="12" max="12" width="15.88671875" bestFit="1" customWidth="1"/>
    <col min="13" max="13" width="16.6640625" bestFit="1" customWidth="1"/>
    <col min="14" max="14" width="15.5546875" bestFit="1" customWidth="1"/>
    <col min="15" max="15" width="16.109375" bestFit="1" customWidth="1"/>
  </cols>
  <sheetData>
    <row r="1" spans="1:15">
      <c r="A1" s="115" t="s">
        <v>2</v>
      </c>
      <c r="B1" s="116" t="s">
        <v>99</v>
      </c>
      <c r="C1" s="117" t="s">
        <v>100</v>
      </c>
      <c r="D1" s="116" t="s">
        <v>101</v>
      </c>
      <c r="E1" s="116" t="s">
        <v>102</v>
      </c>
      <c r="F1" s="116" t="s">
        <v>103</v>
      </c>
      <c r="G1" s="116" t="s">
        <v>104</v>
      </c>
      <c r="H1" s="118" t="s">
        <v>105</v>
      </c>
      <c r="I1" s="119" t="s">
        <v>106</v>
      </c>
      <c r="J1" s="116" t="s">
        <v>107</v>
      </c>
      <c r="K1" s="120" t="s">
        <v>108</v>
      </c>
      <c r="L1" s="121" t="s">
        <v>109</v>
      </c>
      <c r="M1" s="122" t="s">
        <v>110</v>
      </c>
      <c r="N1" s="122" t="s">
        <v>111</v>
      </c>
      <c r="O1" s="123" t="s">
        <v>25</v>
      </c>
    </row>
    <row r="2" spans="1:15">
      <c r="A2" s="124" t="s">
        <v>31</v>
      </c>
      <c r="B2" s="125"/>
      <c r="C2" s="126"/>
      <c r="D2" s="125"/>
      <c r="E2" s="125"/>
      <c r="F2" s="125"/>
      <c r="G2" s="125"/>
      <c r="H2" s="127"/>
      <c r="I2" s="128"/>
      <c r="J2" s="125"/>
      <c r="K2" s="129"/>
      <c r="L2" s="130"/>
      <c r="M2" s="131"/>
      <c r="N2" s="131"/>
      <c r="O2" s="131"/>
    </row>
    <row r="3" spans="1:15">
      <c r="A3" s="132" t="s">
        <v>112</v>
      </c>
      <c r="B3" s="133">
        <f t="shared" ref="B3:B6" si="0">C3+F3+E3</f>
        <v>69</v>
      </c>
      <c r="C3" s="134">
        <f>COUNTIFS('SILK - SOLD'!D14:D78,"*CDC*")</f>
        <v>29</v>
      </c>
      <c r="D3" s="133">
        <f t="shared" ref="D3:D6" si="1">F3+E3</f>
        <v>40</v>
      </c>
      <c r="E3" s="133">
        <f>COUNTIF(M7M_A[QUALITY],"*CDC")</f>
        <v>38</v>
      </c>
      <c r="F3" s="133">
        <f>COUNTIF('SILK - PENDING'!D13:D17,"*CDC*")</f>
        <v>2</v>
      </c>
      <c r="G3" s="135">
        <f t="shared" ref="G3:G6" si="2">H3+I3+J3</f>
        <v>354.09999999999997</v>
      </c>
      <c r="H3" s="135">
        <f>SUMIF(M7M_A[#All],"CDC",'SILK - ALL'!E12:E83)</f>
        <v>195.20000000000002</v>
      </c>
      <c r="I3" s="136">
        <f>SUMIF('SILK - SOLD'!D13:D79,"CDC",'SILK - SOLD'!E13:E79)</f>
        <v>147.69999999999999</v>
      </c>
      <c r="J3" s="135">
        <f>SUMIF(MM_P[#All],"CDC",Table6[#All])</f>
        <v>11.2</v>
      </c>
      <c r="K3" s="137">
        <f t="shared" ref="K3:K6" ca="1" si="3">L3+N3+M3</f>
        <v>46835</v>
      </c>
      <c r="L3" s="138">
        <f>SUMIF('SILK - SOLD'!D13:D79,"CDC",'SILK - SOLD'!K13:K79)</f>
        <v>19760.5</v>
      </c>
      <c r="M3" s="139">
        <f ca="1">SUMIF(M7M_A[#All],"CDC",'SILK - ALL'!H12:H82)</f>
        <v>25506.5</v>
      </c>
      <c r="N3" s="139">
        <f>SUMIF(MM_P[#All],"CDC",'SILK - PENDING'!H13:H18)</f>
        <v>1568</v>
      </c>
      <c r="O3" s="139"/>
    </row>
    <row r="4" spans="1:15">
      <c r="A4" s="132" t="s">
        <v>113</v>
      </c>
      <c r="B4" s="133">
        <f t="shared" si="0"/>
        <v>66</v>
      </c>
      <c r="C4" s="140">
        <f>COUNTIFS('SILK - SOLD'!D14:D76,"*GEORGETTE*")</f>
        <v>32</v>
      </c>
      <c r="D4" s="133">
        <f t="shared" si="1"/>
        <v>34</v>
      </c>
      <c r="E4" s="141">
        <f>COUNTIF('SILK - ALL'!D13:D83,"*GEORGETTE*")</f>
        <v>32</v>
      </c>
      <c r="F4" s="133">
        <f>COUNTIF('SILK - PENDING'!D13:D17,"*CDC*")</f>
        <v>2</v>
      </c>
      <c r="G4" s="135">
        <f t="shared" si="2"/>
        <v>299.20000000000005</v>
      </c>
      <c r="H4" s="135">
        <f>SUMIF(M7M_A[#All],"GEORGETTE*",'SILK - ALL'!E12:E83)</f>
        <v>142.00000000000003</v>
      </c>
      <c r="I4" s="136">
        <f>SUMIF('SILK - SOLD'!D13:D79,"GEORGETTE",'SILK - SOLD'!E13:E79)</f>
        <v>146.20000000000002</v>
      </c>
      <c r="J4" s="135">
        <f>SUMIF(MM_P[#All],"GEORGETTE",Table6[#All])</f>
        <v>11</v>
      </c>
      <c r="K4" s="137">
        <f t="shared" ca="1" si="3"/>
        <v>31011.5</v>
      </c>
      <c r="L4" s="138">
        <f>SUMIF('SILK - SOLD'!D13:D79,"GEORGETTE",'SILK - SOLD'!K13:K79)</f>
        <v>15060</v>
      </c>
      <c r="M4" s="139">
        <f ca="1">SUMIF(M7M_A[#All],"GEORGETTE*",'SILK - ALL'!H12:H82)</f>
        <v>14741.5</v>
      </c>
      <c r="N4" s="142">
        <f>SUMIF(MM_P[#All],"GEORGETTE",'SILK - PENDING'!H13:H18)</f>
        <v>1210</v>
      </c>
      <c r="O4" s="139"/>
    </row>
    <row r="5" spans="1:15">
      <c r="A5" s="132" t="s">
        <v>114</v>
      </c>
      <c r="B5" s="133">
        <f t="shared" si="0"/>
        <v>3</v>
      </c>
      <c r="C5" s="140">
        <f>COUNTIFS('SILK - SOLD'!D15:D79,"*CHIFFON*")</f>
        <v>3</v>
      </c>
      <c r="D5" s="133">
        <f t="shared" si="1"/>
        <v>0</v>
      </c>
      <c r="E5" s="133">
        <f>COUNTIF('SILK - ALL'!D13:D84,"*CHIFFON*")</f>
        <v>0</v>
      </c>
      <c r="F5" s="133">
        <f>COUNTIF('SILK - PENDING'!D15:D19,"*CHIFFON*")</f>
        <v>0</v>
      </c>
      <c r="G5" s="135">
        <f t="shared" si="2"/>
        <v>16</v>
      </c>
      <c r="H5" s="135">
        <f>SUMIF(M7M_A[#All],"CHIFFON*",'SILK - ALL'!E13:E84)</f>
        <v>0</v>
      </c>
      <c r="I5" s="136">
        <f>SUMIF('SILK - SOLD'!D13:D79,"CHIFFON",'SILK - SOLD'!E13:E79)</f>
        <v>16</v>
      </c>
      <c r="J5" s="135">
        <f>SUMIF(MM_P[#All],"CHIFFON",Table6[#All])</f>
        <v>0</v>
      </c>
      <c r="K5" s="137">
        <f t="shared" ca="1" si="3"/>
        <v>1745</v>
      </c>
      <c r="L5" s="138">
        <f>SUMIF('SILK - SOLD'!D13:D79,"CHIFFON",'SILK - SOLD'!K13:K79)</f>
        <v>1745</v>
      </c>
      <c r="M5" s="139">
        <f ca="1">SUMIF(M7M_A[#All],"CHIFFON",'SILK - ALL'!H12:H82)</f>
        <v>0</v>
      </c>
      <c r="N5" s="139">
        <f>SUMIF(MM_P[#All],"CHIFFON",'SILK - PENDING'!H13:H18)</f>
        <v>0</v>
      </c>
      <c r="O5" s="139"/>
    </row>
    <row r="6" spans="1:15">
      <c r="A6" s="132" t="s">
        <v>115</v>
      </c>
      <c r="B6" s="133">
        <f t="shared" si="0"/>
        <v>1</v>
      </c>
      <c r="C6" s="140">
        <f>COUNTIFS('SILK - SOLD'!D16:D80,"*SATIN*")</f>
        <v>1</v>
      </c>
      <c r="D6" s="133">
        <f t="shared" si="1"/>
        <v>0</v>
      </c>
      <c r="E6" s="133">
        <f>COUNTIF('SILK - ALL'!D13:D85,"*SATIN*")</f>
        <v>0</v>
      </c>
      <c r="F6" s="133">
        <f>COUNTIF('SILK - PENDING'!D15:D19,"*SATIN*")</f>
        <v>0</v>
      </c>
      <c r="G6" s="135">
        <f t="shared" si="2"/>
        <v>5.5</v>
      </c>
      <c r="H6" s="135">
        <f>SUMIF(M7M_A[#All],"SATIN*",'SILK - ALL'!E14:E85)</f>
        <v>0</v>
      </c>
      <c r="I6" s="136">
        <f>SUMIF('SILK - SOLD'!D13:D79,"SATIN",'SILK - SOLD'!E13:E79)</f>
        <v>5.5</v>
      </c>
      <c r="J6" s="135">
        <f>SUMIF(MM_P[#All],"SATIN",Table6[#All])</f>
        <v>0</v>
      </c>
      <c r="K6" s="137">
        <f t="shared" ca="1" si="3"/>
        <v>632.5</v>
      </c>
      <c r="L6" s="138">
        <f>SUMIF('SILK - SOLD'!D13:D79,"*SATIN*",'SILK - SOLD'!K13:K79)</f>
        <v>632.5</v>
      </c>
      <c r="M6" s="139">
        <f ca="1">SUMIF(M7M_A[#All],"*SATIN*",'SILK - ALL'!H12:H82)</f>
        <v>0</v>
      </c>
      <c r="N6" s="139">
        <f>SUMIF(MM_P[#All],"SATIN",'SILK - PENDING'!H13:H18)</f>
        <v>0</v>
      </c>
      <c r="O6" s="139"/>
    </row>
    <row r="7" spans="1:15">
      <c r="A7" s="143" t="s">
        <v>116</v>
      </c>
      <c r="B7" s="144">
        <f t="shared" ref="B7:N7" si="4">SUM(B3:B6)</f>
        <v>139</v>
      </c>
      <c r="C7" s="145">
        <f t="shared" si="4"/>
        <v>65</v>
      </c>
      <c r="D7" s="144">
        <f t="shared" si="4"/>
        <v>74</v>
      </c>
      <c r="E7" s="144">
        <f t="shared" si="4"/>
        <v>70</v>
      </c>
      <c r="F7" s="144">
        <f t="shared" si="4"/>
        <v>4</v>
      </c>
      <c r="G7" s="146">
        <f t="shared" si="4"/>
        <v>674.8</v>
      </c>
      <c r="H7" s="146">
        <f t="shared" si="4"/>
        <v>337.20000000000005</v>
      </c>
      <c r="I7" s="147">
        <f t="shared" si="4"/>
        <v>315.39999999999998</v>
      </c>
      <c r="J7" s="146">
        <f t="shared" si="4"/>
        <v>22.2</v>
      </c>
      <c r="K7" s="148">
        <f t="shared" ca="1" si="4"/>
        <v>80224</v>
      </c>
      <c r="L7" s="149">
        <f t="shared" si="4"/>
        <v>37198</v>
      </c>
      <c r="M7" s="150">
        <f t="shared" ca="1" si="4"/>
        <v>40248</v>
      </c>
      <c r="N7" s="150">
        <f t="shared" si="4"/>
        <v>2778</v>
      </c>
      <c r="O7" s="150">
        <f>'SILK - SOLD'!L79</f>
        <v>41540.199999999997</v>
      </c>
    </row>
    <row r="8" spans="1:15">
      <c r="A8" s="151"/>
      <c r="B8" s="152"/>
      <c r="C8" s="153"/>
      <c r="D8" s="152"/>
      <c r="E8" s="152"/>
      <c r="F8" s="152"/>
      <c r="G8" s="152"/>
      <c r="H8" s="154"/>
      <c r="I8" s="155"/>
      <c r="J8" s="152"/>
      <c r="K8" s="156"/>
      <c r="L8" s="157"/>
      <c r="M8" s="158"/>
      <c r="N8" s="158"/>
      <c r="O8" s="158"/>
    </row>
    <row r="9" spans="1:15">
      <c r="A9" s="124" t="s">
        <v>32</v>
      </c>
      <c r="B9" s="125"/>
      <c r="C9" s="126"/>
      <c r="D9" s="125"/>
      <c r="E9" s="125"/>
      <c r="F9" s="125"/>
      <c r="G9" s="125"/>
      <c r="H9" s="127"/>
      <c r="I9" s="128"/>
      <c r="J9" s="125"/>
      <c r="K9" s="129"/>
      <c r="L9" s="130"/>
      <c r="M9" s="131"/>
      <c r="N9" s="131"/>
      <c r="O9" s="131"/>
    </row>
    <row r="10" spans="1:15">
      <c r="A10" s="159" t="s">
        <v>112</v>
      </c>
      <c r="B10" s="133">
        <f t="shared" ref="B10:B16" si="5">C10+F10+E10</f>
        <v>55</v>
      </c>
      <c r="C10" s="140">
        <f>COUNTIFS('SILK - SOLD'!D85:D107,"*CDC*")</f>
        <v>14</v>
      </c>
      <c r="D10" s="133">
        <f t="shared" ref="D10:D16" si="6">F10+E10</f>
        <v>41</v>
      </c>
      <c r="E10" s="133">
        <f>COUNTIF(ARGO_A[#All],"CDC")</f>
        <v>41</v>
      </c>
      <c r="F10" s="133">
        <f>COUNTIF(ARGO_P[#All],"*CDC*")</f>
        <v>0</v>
      </c>
      <c r="G10" s="135">
        <f t="shared" ref="G10:G16" si="7">H10+I10+J10</f>
        <v>299.10000000000002</v>
      </c>
      <c r="H10" s="135">
        <f>SUMIF(ARGO_A[#All],"CDC",'SILK - ALL'!E87:E189)</f>
        <v>224.6</v>
      </c>
      <c r="I10" s="136">
        <f>SUMIF(ARGO_S[#All],"CDC",ARGO_SO[#All])</f>
        <v>74.5</v>
      </c>
      <c r="J10" s="135">
        <f>SUMIF(ARGO_P[#All],"CDC",Table7[#All])</f>
        <v>0</v>
      </c>
      <c r="K10" s="137">
        <f t="shared" ref="K10:K16" ca="1" si="8">M10+L10+N10</f>
        <v>42039</v>
      </c>
      <c r="L10" s="138">
        <f>SUMIF(ARGO_S[#All],"CDC",'SILK - SOLD'!K85:K107)</f>
        <v>10595</v>
      </c>
      <c r="M10" s="139">
        <f ca="1">SUMIF(ARGO_A[#All],"CDC",'SILK - ALL'!H87:H188)</f>
        <v>31444</v>
      </c>
      <c r="N10" s="139">
        <f>SUMIF(ARGO_P[#All],"CDC",Table82[#All])</f>
        <v>0</v>
      </c>
      <c r="O10" s="139"/>
    </row>
    <row r="11" spans="1:15">
      <c r="A11" s="159" t="s">
        <v>113</v>
      </c>
      <c r="B11" s="133">
        <f t="shared" si="5"/>
        <v>14</v>
      </c>
      <c r="C11" s="140">
        <f>COUNTIFS('SILK - SOLD'!D85:D107,"*GEORGETTE*")</f>
        <v>1</v>
      </c>
      <c r="D11" s="133">
        <f t="shared" si="6"/>
        <v>13</v>
      </c>
      <c r="E11" s="133">
        <f>COUNTIF(ARGO_A[#All],"GEORGETTE")</f>
        <v>13</v>
      </c>
      <c r="F11" s="133">
        <f>COUNTIF(ARGO_P[#All],"*GEORGETTE*")</f>
        <v>0</v>
      </c>
      <c r="G11" s="135">
        <f t="shared" si="7"/>
        <v>64</v>
      </c>
      <c r="H11" s="135">
        <f>SUMIF(ARGO_A[#All],"GEORGETTE",'SILK - ALL'!E87:E189)</f>
        <v>61.5</v>
      </c>
      <c r="I11" s="136">
        <f>SUMIF(ARGO_S[#All],"GEORGETTE",ARGO_SO[#All])</f>
        <v>2.5</v>
      </c>
      <c r="J11" s="135">
        <f>SUMIF(ARGO_P[#All],"GEORGETTE",Table7[#All])</f>
        <v>0</v>
      </c>
      <c r="K11" s="137">
        <f t="shared" ca="1" si="8"/>
        <v>7040</v>
      </c>
      <c r="L11" s="138">
        <f>SUMIF(ARGO_S[#All],"GEORGETTE",'SILK - SOLD'!K85:K107)</f>
        <v>275</v>
      </c>
      <c r="M11" s="139">
        <f ca="1">SUMIF(ARGO_A[#All],"GEORGETTE",'SILK - ALL'!H87:H188)</f>
        <v>6765</v>
      </c>
      <c r="N11" s="139">
        <f>SUMIF(ARGO_P[#All],"GEORGETTE",Table82[#All])</f>
        <v>0</v>
      </c>
      <c r="O11" s="139"/>
    </row>
    <row r="12" spans="1:15">
      <c r="A12" s="159" t="s">
        <v>114</v>
      </c>
      <c r="B12" s="133">
        <f t="shared" si="5"/>
        <v>10</v>
      </c>
      <c r="C12" s="140">
        <f>COUNTIFS('SILK - SOLD'!D85:D107,"*CHIFFON*")</f>
        <v>0</v>
      </c>
      <c r="D12" s="133">
        <f t="shared" si="6"/>
        <v>10</v>
      </c>
      <c r="E12" s="133">
        <f>COUNTIF(ARGO_A[#All],"CHIFFON")</f>
        <v>10</v>
      </c>
      <c r="F12" s="133">
        <f>COUNTIF(ARGO_P[#All],"*CHIFFON*")</f>
        <v>0</v>
      </c>
      <c r="G12" s="135">
        <f t="shared" si="7"/>
        <v>65.5</v>
      </c>
      <c r="H12" s="135">
        <f>SUMIF(ARGO_A[#All],"CHIFFON",'SILK - ALL'!E87:E189)</f>
        <v>65.5</v>
      </c>
      <c r="I12" s="136">
        <f>SUMIF(ARGO_S[#All],"CHIFFON",ARGO_SO[#All])</f>
        <v>0</v>
      </c>
      <c r="J12" s="135">
        <f>SUMIF(ARGO_P[#All],"CHIFFON",Table7[#All])</f>
        <v>0</v>
      </c>
      <c r="K12" s="137">
        <f t="shared" ca="1" si="8"/>
        <v>7205</v>
      </c>
      <c r="L12" s="138">
        <f>SUMIF(ARGO_S[#All],"CHIFFON",'SILK - SOLD'!K85:K107)</f>
        <v>0</v>
      </c>
      <c r="M12" s="139">
        <f ca="1">SUMIF(ARGO_A[#All],"CHIFFON",'SILK - ALL'!H87:H188)</f>
        <v>7205</v>
      </c>
      <c r="N12" s="139">
        <f>SUMIF(ARGO_P[#All],"CHIFFON",Table82[#All])</f>
        <v>0</v>
      </c>
      <c r="O12" s="139"/>
    </row>
    <row r="13" spans="1:15">
      <c r="A13" s="159" t="s">
        <v>117</v>
      </c>
      <c r="B13" s="133">
        <f t="shared" si="5"/>
        <v>35</v>
      </c>
      <c r="C13" s="140">
        <f>COUNTIFS('SILK - SOLD'!D85:D107,"*LUREX*")</f>
        <v>4</v>
      </c>
      <c r="D13" s="133">
        <f t="shared" si="6"/>
        <v>31</v>
      </c>
      <c r="E13" s="133">
        <f>COUNTIF(ARGO_A[#All],"LUREX")</f>
        <v>31</v>
      </c>
      <c r="F13" s="133">
        <f>COUNTIF(ARGO_P[#All],"*LUREX*")</f>
        <v>0</v>
      </c>
      <c r="G13" s="135">
        <f t="shared" si="7"/>
        <v>177</v>
      </c>
      <c r="H13" s="135">
        <f>SUMIF(ARGO_A[#All],"LUREX",'SILK - ALL'!E87:E189)</f>
        <v>157.19999999999999</v>
      </c>
      <c r="I13" s="136">
        <f>SUMIF(ARGO_S[#All],"LUREX",ARGO_SO[#All])</f>
        <v>19.8</v>
      </c>
      <c r="J13" s="135">
        <f>SUMIF(ARGO_P[#All],"LUREX",Table7[#All])</f>
        <v>0</v>
      </c>
      <c r="K13" s="137">
        <f t="shared" ca="1" si="8"/>
        <v>30090</v>
      </c>
      <c r="L13" s="138">
        <f>SUMIF(ARGO_S[#All],"LUREX",'SILK - SOLD'!K85:K107)</f>
        <v>3366</v>
      </c>
      <c r="M13" s="139">
        <f ca="1">SUMIF(ARGO_A[#All],"LUREX",'SILK - ALL'!H87:H188)</f>
        <v>26724</v>
      </c>
      <c r="N13" s="139">
        <f>SUMIF(ARGO_P[#All],"LUREX",Table82[#All])</f>
        <v>0</v>
      </c>
      <c r="O13" s="139"/>
    </row>
    <row r="14" spans="1:15">
      <c r="A14" s="159" t="s">
        <v>118</v>
      </c>
      <c r="B14" s="133">
        <f t="shared" si="5"/>
        <v>2</v>
      </c>
      <c r="C14" s="140">
        <f>COUNTIFS('SILK - SOLD'!D85:D107,"*LUREX_CHIFFON*")</f>
        <v>0</v>
      </c>
      <c r="D14" s="133">
        <f t="shared" si="6"/>
        <v>2</v>
      </c>
      <c r="E14" s="133">
        <f>COUNTIF(ARGO_A[#All],"*LUREX_CHIFFON")</f>
        <v>2</v>
      </c>
      <c r="F14" s="133">
        <f>COUNTIF(ARGO_P[#All],"*LUREX_CHIFFON*")</f>
        <v>0</v>
      </c>
      <c r="G14" s="135">
        <f t="shared" si="7"/>
        <v>10</v>
      </c>
      <c r="H14" s="135">
        <f>SUMIF(ARGO_A[#All],"LUREX_CHIFFON",'SILK - ALL'!E87:E189)</f>
        <v>10</v>
      </c>
      <c r="I14" s="136">
        <f>SUMIF(ARGO_S[#All],"LUREX_CHIFFON",ARGO_SO[#All])</f>
        <v>0</v>
      </c>
      <c r="J14" s="135">
        <f>SUMIF(ARGO_P[#All],"LUREX_CHIFFON",Table7[#All])</f>
        <v>0</v>
      </c>
      <c r="K14" s="137">
        <f t="shared" ca="1" si="8"/>
        <v>1100</v>
      </c>
      <c r="L14" s="138">
        <f>SUMIF(ARGO_S[#All],"LUREX_CHIFFON",'SILK - SOLD'!K85:K107)</f>
        <v>0</v>
      </c>
      <c r="M14" s="139">
        <f ca="1">SUMIF(ARGO_A[#All],"LUREX_CHIFFON",'SILK - ALL'!H87:H188)</f>
        <v>1100</v>
      </c>
      <c r="N14" s="139">
        <f>SUMIF(ARGO_P[#All],"LUREX_CHIFFONC",Table82[#All])</f>
        <v>0</v>
      </c>
      <c r="O14" s="139"/>
    </row>
    <row r="15" spans="1:15">
      <c r="A15" s="159" t="s">
        <v>115</v>
      </c>
      <c r="B15" s="133">
        <f t="shared" si="5"/>
        <v>4</v>
      </c>
      <c r="C15" s="140">
        <f>COUNTIFS('SILK - SOLD'!D85:D107,"*SATIN*")</f>
        <v>1</v>
      </c>
      <c r="D15" s="133">
        <f t="shared" si="6"/>
        <v>3</v>
      </c>
      <c r="E15" s="133">
        <f>COUNTIF(ARGO_A[#All],"SATIN")</f>
        <v>3</v>
      </c>
      <c r="F15" s="133">
        <f>COUNTIF(ARGO_P[#All],"*SATIN*")</f>
        <v>0</v>
      </c>
      <c r="G15" s="135">
        <f t="shared" si="7"/>
        <v>20.5</v>
      </c>
      <c r="H15" s="135">
        <f>SUMIF(ARGO_A[#All],"SATIN",'SILK - ALL'!E87:E189)</f>
        <v>15.5</v>
      </c>
      <c r="I15" s="136">
        <f>SUMIF(ARGO_S[#All],"SATIN",ARGO_SO[#All])</f>
        <v>5</v>
      </c>
      <c r="J15" s="135">
        <f>SUMIF(ARGO_P[#All],"SATIN",Table7[#All])</f>
        <v>0</v>
      </c>
      <c r="K15" s="137">
        <f t="shared" ca="1" si="8"/>
        <v>2870</v>
      </c>
      <c r="L15" s="138">
        <f>SUMIF(ARGO_S[#All],"SATIN",'SILK - SOLD'!K85:K107)</f>
        <v>700</v>
      </c>
      <c r="M15" s="139">
        <f ca="1">SUMIF(ARGO_A[#All],"SATIN",'SILK - ALL'!H87:H188)</f>
        <v>2170</v>
      </c>
      <c r="N15" s="139">
        <f>SUMIF(ARGO_P[#All],"SATIN",Table82[#All])</f>
        <v>0</v>
      </c>
      <c r="O15" s="139"/>
    </row>
    <row r="16" spans="1:15">
      <c r="A16" s="159" t="s">
        <v>119</v>
      </c>
      <c r="B16" s="133">
        <f t="shared" si="5"/>
        <v>2</v>
      </c>
      <c r="C16" s="140">
        <f>COUNTIFS('SILK - SOLD'!D85:D107,"*JACQUARD*")</f>
        <v>1</v>
      </c>
      <c r="D16" s="133">
        <f t="shared" si="6"/>
        <v>1</v>
      </c>
      <c r="E16" s="133">
        <f>COUNTIF(ARGO_A[#All],"*JACQUARD")</f>
        <v>1</v>
      </c>
      <c r="F16" s="133">
        <f>COUNTIF(ARGO_P[#All],"*JACQUARD*")</f>
        <v>0</v>
      </c>
      <c r="G16" s="135">
        <f t="shared" si="7"/>
        <v>10</v>
      </c>
      <c r="H16" s="135">
        <f>SUMIF(ARGO_A[#All],"JACQUARD",'SILK - ALL'!E87:E189)</f>
        <v>5</v>
      </c>
      <c r="I16" s="136">
        <f>SUMIF(ARGO_S[#All],"JACQUARD",ARGO_SO[#All])</f>
        <v>5</v>
      </c>
      <c r="J16" s="135">
        <f>SUMIF(ARGO_P[#All],"JACQUARD",Table7[#All])</f>
        <v>0</v>
      </c>
      <c r="K16" s="137">
        <f t="shared" ca="1" si="8"/>
        <v>1400</v>
      </c>
      <c r="L16" s="138">
        <f>SUMIF(ARGO_S[#All],"*JACQUARD*",'SILK - SOLD'!K85:K107)</f>
        <v>700</v>
      </c>
      <c r="M16" s="139">
        <f ca="1">SUMIF(ARGO_A[#All],"JACQUARD",'SILK - ALL'!H87:H188)</f>
        <v>700</v>
      </c>
      <c r="N16" s="139">
        <f>SUMIF(ARGO_P[#All],"JACQUARD",Table82[#All])</f>
        <v>0</v>
      </c>
      <c r="O16" s="139"/>
    </row>
    <row r="17" spans="1:15">
      <c r="A17" s="143" t="s">
        <v>120</v>
      </c>
      <c r="B17" s="144">
        <f t="shared" ref="B17:N17" si="9">SUM(B10:B16)</f>
        <v>122</v>
      </c>
      <c r="C17" s="145">
        <f t="shared" si="9"/>
        <v>21</v>
      </c>
      <c r="D17" s="144">
        <f t="shared" si="9"/>
        <v>101</v>
      </c>
      <c r="E17" s="144">
        <f t="shared" si="9"/>
        <v>101</v>
      </c>
      <c r="F17" s="144">
        <f t="shared" si="9"/>
        <v>0</v>
      </c>
      <c r="G17" s="146">
        <f t="shared" si="9"/>
        <v>646.1</v>
      </c>
      <c r="H17" s="146">
        <f t="shared" si="9"/>
        <v>539.29999999999995</v>
      </c>
      <c r="I17" s="147">
        <f t="shared" si="9"/>
        <v>106.8</v>
      </c>
      <c r="J17" s="146">
        <f t="shared" si="9"/>
        <v>0</v>
      </c>
      <c r="K17" s="148">
        <f t="shared" ca="1" si="9"/>
        <v>91744</v>
      </c>
      <c r="L17" s="149">
        <f t="shared" si="9"/>
        <v>15636</v>
      </c>
      <c r="M17" s="150">
        <f t="shared" ca="1" si="9"/>
        <v>76108</v>
      </c>
      <c r="N17" s="150">
        <f t="shared" si="9"/>
        <v>0</v>
      </c>
      <c r="O17" s="150">
        <f>'SILK - SOLD'!L107</f>
        <v>11520</v>
      </c>
    </row>
    <row r="18" spans="1:15">
      <c r="A18" s="132"/>
      <c r="B18" s="152"/>
      <c r="C18" s="153"/>
      <c r="D18" s="152"/>
      <c r="E18" s="152"/>
      <c r="F18" s="152"/>
      <c r="G18" s="152"/>
      <c r="H18" s="154"/>
      <c r="I18" s="155"/>
      <c r="J18" s="152"/>
      <c r="K18" s="156"/>
      <c r="L18" s="157"/>
      <c r="M18" s="158"/>
      <c r="N18" s="158"/>
      <c r="O18" s="158"/>
    </row>
    <row r="19" spans="1:15">
      <c r="A19" s="124" t="s">
        <v>121</v>
      </c>
      <c r="B19" s="125"/>
      <c r="C19" s="126"/>
      <c r="D19" s="125"/>
      <c r="E19" s="125"/>
      <c r="F19" s="125"/>
      <c r="G19" s="125"/>
      <c r="H19" s="127"/>
      <c r="I19" s="128"/>
      <c r="J19" s="125"/>
      <c r="K19" s="129"/>
      <c r="L19" s="130"/>
      <c r="M19" s="131"/>
      <c r="N19" s="131"/>
      <c r="O19" s="131"/>
    </row>
    <row r="20" spans="1:15">
      <c r="A20" s="159" t="s">
        <v>112</v>
      </c>
      <c r="B20" s="133">
        <f t="shared" ref="B20:B26" si="10">C20+F20+E20</f>
        <v>80</v>
      </c>
      <c r="C20" s="140">
        <f>COUNTIFS(Table21[#All],"*CDC*")</f>
        <v>23</v>
      </c>
      <c r="D20" s="133">
        <f t="shared" ref="D20:D26" si="11">F20+E20</f>
        <v>57</v>
      </c>
      <c r="E20" s="133">
        <f>COUNTIF('SILK - ALL'!D195:D320,"*CDC")</f>
        <v>56</v>
      </c>
      <c r="F20" s="133">
        <f>COUNTIF(ALB_P[#All],"*CDC*")</f>
        <v>1</v>
      </c>
      <c r="G20" s="135">
        <f t="shared" ref="G20:G26" si="12">H20+I20+J20</f>
        <v>440.10000000000008</v>
      </c>
      <c r="H20" s="135">
        <f>SUMIF(ALB_A[#All],"CDC",Table36[#All])</f>
        <v>308.90000000000003</v>
      </c>
      <c r="I20" s="136">
        <f>SUMIF(Table21[#All],"CDC",ALB_SO[#All])</f>
        <v>124.9</v>
      </c>
      <c r="J20" s="135">
        <f>SUMIF(ALB_P[#All],"CDC",Table8[#All])</f>
        <v>6.3</v>
      </c>
      <c r="K20" s="137">
        <f t="shared" ref="K20:K26" si="13">M20+L20+N20</f>
        <v>49589.270000000004</v>
      </c>
      <c r="L20" s="138">
        <f>SUMIF(Table21[#All],"CDC",Table66[#All])</f>
        <v>14917</v>
      </c>
      <c r="M20" s="139">
        <f>SUMIF(ALB_A[#All],"CDC",Table48[#All])</f>
        <v>33979.270000000004</v>
      </c>
      <c r="N20" s="139">
        <f>SUMIF(ALB_P[#All],"CDC",Table83[#All])</f>
        <v>693</v>
      </c>
      <c r="O20" s="139"/>
    </row>
    <row r="21" spans="1:15">
      <c r="A21" s="159" t="s">
        <v>113</v>
      </c>
      <c r="B21" s="133">
        <f t="shared" si="10"/>
        <v>71</v>
      </c>
      <c r="C21" s="140">
        <f>COUNTIFS(Table21[#All],"*GEORGETTE*")</f>
        <v>26</v>
      </c>
      <c r="D21" s="133">
        <f t="shared" si="11"/>
        <v>45</v>
      </c>
      <c r="E21" s="133">
        <f>COUNTIF('SILK - ALL'!D195:D320,"*GEORGETTE")</f>
        <v>45</v>
      </c>
      <c r="F21" s="133">
        <f>COUNTIF(ALB_P[#All],"*GEORGETTE*")</f>
        <v>0</v>
      </c>
      <c r="G21" s="135">
        <f t="shared" si="12"/>
        <v>372.1</v>
      </c>
      <c r="H21" s="135">
        <f>SUMIF(ALB_A[#All],"GEORGETTE",Table36[#All])</f>
        <v>242.3</v>
      </c>
      <c r="I21" s="136">
        <f>SUMIF(Table21[#All],"GEORGETTE",ALB_SO[#All])</f>
        <v>129.80000000000001</v>
      </c>
      <c r="J21" s="135">
        <f>SUMIF(ALB_P[#All],"GEORGETTE",Table8[#All])</f>
        <v>0</v>
      </c>
      <c r="K21" s="137">
        <f t="shared" si="13"/>
        <v>38878</v>
      </c>
      <c r="L21" s="138">
        <f>SUMIF(Table21[#All],"GEORGETTE",Table66[#All])</f>
        <v>12890</v>
      </c>
      <c r="M21" s="139">
        <f>SUMIF(ALB_A[#All],"GEORGETTE",Table48[#All])</f>
        <v>25988</v>
      </c>
      <c r="N21" s="139">
        <f>SUMIF(ALB_P[#All],"GEORGETTE",Table83[#All])</f>
        <v>0</v>
      </c>
      <c r="O21" s="139"/>
    </row>
    <row r="22" spans="1:15">
      <c r="A22" s="159" t="s">
        <v>114</v>
      </c>
      <c r="B22" s="133">
        <f t="shared" si="10"/>
        <v>5</v>
      </c>
      <c r="C22" s="140">
        <f>COUNTIFS(Table21[#All],"*CHIFFON*")</f>
        <v>1</v>
      </c>
      <c r="D22" s="133">
        <f t="shared" si="11"/>
        <v>4</v>
      </c>
      <c r="E22" s="133">
        <f>COUNTIF('SILK - ALL'!D195:D320,"*CHIFFON")</f>
        <v>4</v>
      </c>
      <c r="F22" s="133">
        <f>COUNTIF(ALB_P[#All],"*CHIFFON*")</f>
        <v>0</v>
      </c>
      <c r="G22" s="135">
        <f t="shared" si="12"/>
        <v>28</v>
      </c>
      <c r="H22" s="135">
        <f>SUMIF(ALB_A[#All],"CHIFFON",Table36[#All])</f>
        <v>23</v>
      </c>
      <c r="I22" s="136">
        <f>SUMIF(Table21[#All],"CHIFFON",ALB_SO[#All])</f>
        <v>5</v>
      </c>
      <c r="J22" s="135">
        <f>SUMIF(ALB_P[#All],"CHIFFON",Table8[#All])</f>
        <v>0</v>
      </c>
      <c r="K22" s="137">
        <f t="shared" si="13"/>
        <v>3080</v>
      </c>
      <c r="L22" s="138">
        <f>SUMIF(Table21[#All],"CHIFFON",Table66[#All])</f>
        <v>550</v>
      </c>
      <c r="M22" s="139">
        <f>SUMIF(ALB_A[#All],"CHIFFON",Table48[#All])</f>
        <v>2530</v>
      </c>
      <c r="N22" s="139">
        <f>SUMIF(ALB_P[#All],"CHIFFON",Table83[#All])</f>
        <v>0</v>
      </c>
      <c r="O22" s="139"/>
    </row>
    <row r="23" spans="1:15">
      <c r="A23" s="159" t="s">
        <v>117</v>
      </c>
      <c r="B23" s="133">
        <f t="shared" si="10"/>
        <v>17</v>
      </c>
      <c r="C23" s="140">
        <f>COUNTIFS(Table21[#All],"*LUREX*")</f>
        <v>7</v>
      </c>
      <c r="D23" s="133">
        <f t="shared" si="11"/>
        <v>10</v>
      </c>
      <c r="E23" s="133">
        <f>COUNTIF('SILK - ALL'!D195:D320,"*LUREX")</f>
        <v>10</v>
      </c>
      <c r="F23" s="133">
        <f>COUNTIF(ALB_P[#All],"*LUREX*")</f>
        <v>0</v>
      </c>
      <c r="G23" s="135">
        <f t="shared" si="12"/>
        <v>95.6</v>
      </c>
      <c r="H23" s="135">
        <f>SUMIF(ALB_A[#All],"LUREX",Table36[#All])</f>
        <v>58.4</v>
      </c>
      <c r="I23" s="136">
        <f>SUMIF(Table21[#All],"LUREX",ALB_SO[#All])</f>
        <v>37.200000000000003</v>
      </c>
      <c r="J23" s="135">
        <f>SUMIF(ALB_P[#All],"lUREX",Table8[#All])</f>
        <v>0</v>
      </c>
      <c r="K23" s="137">
        <f t="shared" si="13"/>
        <v>12795.6</v>
      </c>
      <c r="L23" s="138">
        <f>SUMIF(Table21[#All],"LUREX",Table66[#All])</f>
        <v>4619.6000000000004</v>
      </c>
      <c r="M23" s="139">
        <f>SUMIF(ALB_A[#All],"LUREX",Table48[#All])</f>
        <v>8176</v>
      </c>
      <c r="N23" s="139">
        <f>SUMIF(ALB_P[#All],"LUREX",Table83[#All])</f>
        <v>0</v>
      </c>
      <c r="O23" s="139"/>
    </row>
    <row r="24" spans="1:15">
      <c r="A24" s="159" t="s">
        <v>115</v>
      </c>
      <c r="B24" s="133">
        <f t="shared" si="10"/>
        <v>5</v>
      </c>
      <c r="C24" s="140">
        <f>COUNTIFS(Table21[#All],"*SATIN*")</f>
        <v>2</v>
      </c>
      <c r="D24" s="133">
        <f t="shared" si="11"/>
        <v>3</v>
      </c>
      <c r="E24" s="133">
        <f>COUNTIF('SILK - ALL'!D195:D320,"*SATIN")</f>
        <v>3</v>
      </c>
      <c r="F24" s="133">
        <f>COUNTIF(ALB_P[#All],"*SATIN*")</f>
        <v>0</v>
      </c>
      <c r="G24" s="135">
        <f t="shared" si="12"/>
        <v>25.7</v>
      </c>
      <c r="H24" s="135">
        <f>SUMIF(ALB_A[#All],"SATIN",Table36[#All])</f>
        <v>15.7</v>
      </c>
      <c r="I24" s="136">
        <f>SUMIF(Table21[#All],"SATIN",ALB_SO[#All])</f>
        <v>10</v>
      </c>
      <c r="J24" s="135">
        <f>SUMIF(ALB_P[#All],"SATIN",Table8[#All])</f>
        <v>0</v>
      </c>
      <c r="K24" s="137">
        <f t="shared" si="13"/>
        <v>2897</v>
      </c>
      <c r="L24" s="138">
        <f>SUMIF(Table21[#All],"SATIN",Table66[#All])</f>
        <v>1170</v>
      </c>
      <c r="M24" s="139">
        <f>SUMIF(ALB_A[#All],"SATIN",Table48[#All])</f>
        <v>1727</v>
      </c>
      <c r="N24" s="139">
        <f>SUMIF(ALB_P[#All],"SATIN",Table83[#All])</f>
        <v>0</v>
      </c>
      <c r="O24" s="139"/>
    </row>
    <row r="25" spans="1:15">
      <c r="A25" s="159" t="s">
        <v>119</v>
      </c>
      <c r="B25" s="133">
        <f t="shared" si="10"/>
        <v>4</v>
      </c>
      <c r="C25" s="140">
        <f>COUNTIFS(Table21[#All],"*JACQUARD*")</f>
        <v>0</v>
      </c>
      <c r="D25" s="133">
        <f t="shared" si="11"/>
        <v>4</v>
      </c>
      <c r="E25" s="133">
        <f>COUNTIF('SILK - ALL'!D195:D320,"*JACQUARD")</f>
        <v>4</v>
      </c>
      <c r="F25" s="133">
        <f>COUNTIF(ALB_P[#All],"*JACQUARD*")</f>
        <v>0</v>
      </c>
      <c r="G25" s="135">
        <f t="shared" si="12"/>
        <v>20</v>
      </c>
      <c r="H25" s="135">
        <f>SUMIF(ALB_A[#All],"JACQUARD",Table36[#All])</f>
        <v>20</v>
      </c>
      <c r="I25" s="136">
        <f>SUMIF(Table21[#All],"JACQUARD",ALB_SO[#All])</f>
        <v>0</v>
      </c>
      <c r="J25" s="135">
        <f>SUMIF(ALB_P[#All],"JACQUARD",Table8[#All])</f>
        <v>0</v>
      </c>
      <c r="K25" s="137">
        <f t="shared" si="13"/>
        <v>2200</v>
      </c>
      <c r="L25" s="138">
        <f>SUMIF(Table21[#All],"JACQUARD",Table66[#All])</f>
        <v>0</v>
      </c>
      <c r="M25" s="139">
        <f>SUMIF(ALB_A[#All],"JACQUARD",Table48[#All])</f>
        <v>2200</v>
      </c>
      <c r="N25" s="139">
        <f>SUMIF(ALB_P[#All],"JACQUARD",Table83[#All])</f>
        <v>0</v>
      </c>
      <c r="O25" s="139"/>
    </row>
    <row r="26" spans="1:15">
      <c r="A26" s="159" t="s">
        <v>122</v>
      </c>
      <c r="B26" s="133">
        <f t="shared" si="10"/>
        <v>4</v>
      </c>
      <c r="C26" s="140">
        <f>COUNTIFS(Table21[#All],"*CADY*")</f>
        <v>0</v>
      </c>
      <c r="D26" s="133">
        <f t="shared" si="11"/>
        <v>4</v>
      </c>
      <c r="E26" s="133">
        <f>COUNTIF('SILK - ALL'!D195:D320,"*CADY")</f>
        <v>4</v>
      </c>
      <c r="F26" s="133">
        <f>COUNTIF(ALB_P[#All],"*CADY*")</f>
        <v>0</v>
      </c>
      <c r="G26" s="135">
        <f t="shared" si="12"/>
        <v>20</v>
      </c>
      <c r="H26" s="135">
        <f>SUMIF(ALB_A[#All],"*CADY",Table36[#All])</f>
        <v>20</v>
      </c>
      <c r="I26" s="136">
        <f>SUMIF(Table21[#All],"*CADY*",ALB_SO[#All])</f>
        <v>0</v>
      </c>
      <c r="J26" s="135">
        <f>SUMIF(ALB_P[#All],"CADY",Table8[#All])</f>
        <v>0</v>
      </c>
      <c r="K26" s="137">
        <f t="shared" si="13"/>
        <v>2200</v>
      </c>
      <c r="L26" s="138">
        <f>SUMIF(Table21[#All],"*CADY*",Table66[#All])</f>
        <v>0</v>
      </c>
      <c r="M26" s="139">
        <f>SUMIF(ALB_A[#All],"*CADY",Table48[#All])</f>
        <v>2200</v>
      </c>
      <c r="N26" s="139">
        <f>SUMIF(ALB_P[#All],"CADY",Table83[#All])</f>
        <v>0</v>
      </c>
      <c r="O26" s="139"/>
    </row>
    <row r="27" spans="1:15">
      <c r="A27" s="143" t="s">
        <v>123</v>
      </c>
      <c r="B27" s="144">
        <f>SUM(B19:B26)</f>
        <v>186</v>
      </c>
      <c r="C27" s="145">
        <f t="shared" ref="C27:D27" si="14">SUM(C20:C26)</f>
        <v>59</v>
      </c>
      <c r="D27" s="144">
        <f t="shared" si="14"/>
        <v>127</v>
      </c>
      <c r="E27" s="144">
        <f>SUM(E19:E26)</f>
        <v>126</v>
      </c>
      <c r="F27" s="144">
        <f t="shared" ref="F27:N27" si="15">SUM(F20:F26)</f>
        <v>1</v>
      </c>
      <c r="G27" s="146">
        <f t="shared" si="15"/>
        <v>1001.5000000000001</v>
      </c>
      <c r="H27" s="146">
        <f t="shared" si="15"/>
        <v>688.30000000000007</v>
      </c>
      <c r="I27" s="147">
        <f t="shared" si="15"/>
        <v>306.90000000000003</v>
      </c>
      <c r="J27" s="146">
        <f t="shared" si="15"/>
        <v>6.3</v>
      </c>
      <c r="K27" s="148">
        <f t="shared" si="15"/>
        <v>111639.87000000001</v>
      </c>
      <c r="L27" s="149">
        <f t="shared" si="15"/>
        <v>34146.6</v>
      </c>
      <c r="M27" s="150">
        <f t="shared" si="15"/>
        <v>76800.27</v>
      </c>
      <c r="N27" s="150">
        <f t="shared" si="15"/>
        <v>693</v>
      </c>
      <c r="O27" s="150">
        <f>'SILK - SOLD'!L171</f>
        <v>30188.6</v>
      </c>
    </row>
    <row r="28" spans="1:15">
      <c r="A28" s="151"/>
      <c r="B28" s="152"/>
      <c r="C28" s="153"/>
      <c r="D28" s="152"/>
      <c r="E28" s="152"/>
      <c r="F28" s="152"/>
      <c r="G28" s="152"/>
      <c r="H28" s="154"/>
      <c r="I28" s="155"/>
      <c r="J28" s="152"/>
      <c r="K28" s="156"/>
      <c r="L28" s="157"/>
      <c r="M28" s="158"/>
      <c r="N28" s="158"/>
      <c r="O28" s="158"/>
    </row>
    <row r="29" spans="1:15">
      <c r="A29" s="160" t="s">
        <v>34</v>
      </c>
      <c r="B29" s="125"/>
      <c r="C29" s="126"/>
      <c r="D29" s="125"/>
      <c r="E29" s="125"/>
      <c r="F29" s="125"/>
      <c r="G29" s="125"/>
      <c r="H29" s="127"/>
      <c r="I29" s="128"/>
      <c r="J29" s="125"/>
      <c r="K29" s="129"/>
      <c r="L29" s="130"/>
      <c r="M29" s="131"/>
      <c r="N29" s="131"/>
      <c r="O29" s="131"/>
    </row>
    <row r="30" spans="1:15">
      <c r="A30" s="159" t="s">
        <v>112</v>
      </c>
      <c r="B30" s="133">
        <f t="shared" ref="B30:B35" si="16">C30+F30+E30</f>
        <v>74</v>
      </c>
      <c r="C30" s="140">
        <f>COUNTIFS(Table23[#All],"*CDC*")</f>
        <v>39</v>
      </c>
      <c r="D30" s="133">
        <f t="shared" ref="D30:D35" si="17">F30+E30</f>
        <v>35</v>
      </c>
      <c r="E30" s="133">
        <f>COUNTIF(MAR_A[#All],"*CDC")</f>
        <v>35</v>
      </c>
      <c r="F30" s="133">
        <f>COUNTIF('SILK - PENDING'!D42:D45,"*CDC*")</f>
        <v>0</v>
      </c>
      <c r="G30" s="135">
        <f t="shared" ref="G30:G35" si="18">H30+I30+J30</f>
        <v>370.2</v>
      </c>
      <c r="H30" s="135">
        <f>SUMIF(MAR_A[#All],"CDC",Table39[#All])</f>
        <v>175.2</v>
      </c>
      <c r="I30" s="136">
        <f>SUMIF(Table23[#All],"CDC",MAR_SO[#All])</f>
        <v>195</v>
      </c>
      <c r="J30" s="135">
        <f>SUMIF(MAR_P[#All],"CDC",Table9[#All])</f>
        <v>0</v>
      </c>
      <c r="K30" s="137">
        <f t="shared" ref="K30:K35" si="19">M30+L30+N30</f>
        <v>42588</v>
      </c>
      <c r="L30" s="138">
        <f>SUMIF(Table23[#All],"CDC",Table67[#All])</f>
        <v>22440</v>
      </c>
      <c r="M30" s="139">
        <f>SUMIF(MAR_A[#All],"CDC",Table49[#All])</f>
        <v>20148</v>
      </c>
      <c r="N30" s="139">
        <f>SUMIF(MAR_P[#All],"CDC",Table84[#All])</f>
        <v>0</v>
      </c>
      <c r="O30" s="139"/>
    </row>
    <row r="31" spans="1:15">
      <c r="A31" s="159" t="s">
        <v>113</v>
      </c>
      <c r="B31" s="133">
        <f t="shared" si="16"/>
        <v>10</v>
      </c>
      <c r="C31" s="140">
        <f>COUNTIFS(Table23[#All],"*GEORGETTE*")</f>
        <v>2</v>
      </c>
      <c r="D31" s="133">
        <f t="shared" si="17"/>
        <v>8</v>
      </c>
      <c r="E31" s="133">
        <f>COUNTIF(MAR_A[#All],"*GEORGETTE")</f>
        <v>8</v>
      </c>
      <c r="F31" s="133">
        <f>COUNTIF('SILK - PENDING'!D42:D45,"*GEORGETTE*")</f>
        <v>0</v>
      </c>
      <c r="G31" s="135">
        <f t="shared" si="18"/>
        <v>32.700000000000003</v>
      </c>
      <c r="H31" s="135">
        <f>SUMIF(MAR_A[#All],"GEORGETTE",Table39[#All])</f>
        <v>24.099999999999998</v>
      </c>
      <c r="I31" s="136">
        <f>SUMIF(Table23[#All],"GEORGETTE",MAR_SO[#All])</f>
        <v>8.6000000000000014</v>
      </c>
      <c r="J31" s="135">
        <f>SUMIF(MAR_P[#All],"GEORGETTE",Table9[#All])</f>
        <v>0</v>
      </c>
      <c r="K31" s="137">
        <f t="shared" si="19"/>
        <v>2764.75</v>
      </c>
      <c r="L31" s="138">
        <f>SUMIF(Table23[#All],"GEORGETTE",Table67[#All])</f>
        <v>656</v>
      </c>
      <c r="M31" s="139">
        <f>SUMIF(MAR_A[#All],"GEORGETTE",Table49[#All])</f>
        <v>2108.75</v>
      </c>
      <c r="N31" s="139">
        <f>SUMIF(MAR_P[#All],"GEORGETTE",Table84[#All])</f>
        <v>0</v>
      </c>
      <c r="O31" s="139"/>
    </row>
    <row r="32" spans="1:15">
      <c r="A32" s="159" t="s">
        <v>114</v>
      </c>
      <c r="B32" s="133">
        <f t="shared" si="16"/>
        <v>0</v>
      </c>
      <c r="C32" s="140">
        <f>COUNTIFS(Table23[#All],"*CHIFFON*")</f>
        <v>0</v>
      </c>
      <c r="D32" s="133">
        <f t="shared" si="17"/>
        <v>0</v>
      </c>
      <c r="E32" s="133">
        <f>COUNTIF(MAR_A[#All],"CHIFFON")</f>
        <v>0</v>
      </c>
      <c r="F32" s="133">
        <f>COUNTIF('SILK - PENDING'!D42:D45,"CHIFFON*")</f>
        <v>0</v>
      </c>
      <c r="G32" s="135">
        <f t="shared" si="18"/>
        <v>0</v>
      </c>
      <c r="H32" s="135">
        <f>SUMIF(MAR_A[#All],"CHIFFON",Table39[#All])</f>
        <v>0</v>
      </c>
      <c r="I32" s="136">
        <f>SUMIF(Table23[#All],"CHIFFON",MAR_SO[#All])</f>
        <v>0</v>
      </c>
      <c r="J32" s="135">
        <f>SUMIF(MAR_P[#All],"CHIFFON",Table9[#All])</f>
        <v>0</v>
      </c>
      <c r="K32" s="137">
        <f t="shared" si="19"/>
        <v>0</v>
      </c>
      <c r="L32" s="138">
        <f>SUMIF(Table23[#All],"CHIFFON",Table67[#All])</f>
        <v>0</v>
      </c>
      <c r="M32" s="139">
        <f>SUMIF(MAR_A[#All],"CHIFFON",Table49[#All])</f>
        <v>0</v>
      </c>
      <c r="N32" s="139">
        <f>SUMIF(MAR_P[#All],"CHIFFON",Table84[#All])</f>
        <v>0</v>
      </c>
      <c r="O32" s="139"/>
    </row>
    <row r="33" spans="1:15">
      <c r="A33" s="159" t="s">
        <v>117</v>
      </c>
      <c r="B33" s="133">
        <f t="shared" si="16"/>
        <v>78</v>
      </c>
      <c r="C33" s="140">
        <f>COUNTIFS(Table23[#All],"*LUREX*")</f>
        <v>47</v>
      </c>
      <c r="D33" s="133">
        <f t="shared" si="17"/>
        <v>31</v>
      </c>
      <c r="E33" s="133">
        <f>COUNTIF(MAR_A[#All],"LUREX")</f>
        <v>30</v>
      </c>
      <c r="F33" s="133">
        <f>COUNTIF('SILK - PENDING'!D42:D45,"LUREX")</f>
        <v>1</v>
      </c>
      <c r="G33" s="135">
        <f t="shared" si="18"/>
        <v>388</v>
      </c>
      <c r="H33" s="135">
        <f>SUMIF(MAR_A[#All],"LUREX",Table39[#All])</f>
        <v>148</v>
      </c>
      <c r="I33" s="136">
        <f>SUMIF(Table23[#All],"LUREX",MAR_SO[#All])</f>
        <v>235</v>
      </c>
      <c r="J33" s="135">
        <f>SUMIF(MAR_P[#All],"LUREX",Table9[#All])</f>
        <v>5</v>
      </c>
      <c r="K33" s="137">
        <f t="shared" si="19"/>
        <v>61695</v>
      </c>
      <c r="L33" s="138">
        <f>SUMIF(Table23[#All],"LUREX",Table67[#All])</f>
        <v>35685</v>
      </c>
      <c r="M33" s="139">
        <f>SUMIF(MAR_A[#All],"LUREX",Table49[#All])</f>
        <v>25160</v>
      </c>
      <c r="N33" s="139">
        <f>SUMIF(MAR_P[#All],"LUREX",Table84[#All])</f>
        <v>850</v>
      </c>
      <c r="O33" s="139"/>
    </row>
    <row r="34" spans="1:15">
      <c r="A34" s="159" t="s">
        <v>118</v>
      </c>
      <c r="B34" s="133">
        <f t="shared" si="16"/>
        <v>1</v>
      </c>
      <c r="C34" s="140">
        <f>COUNTIFS(Table23[#All],"*LUREX_CHIFFON*")</f>
        <v>0</v>
      </c>
      <c r="D34" s="133">
        <f t="shared" si="17"/>
        <v>1</v>
      </c>
      <c r="E34" s="133">
        <f>COUNTIF(MAR_A[#All],"*LUREX_CHIFFON")</f>
        <v>1</v>
      </c>
      <c r="F34" s="133">
        <f>COUNTIF('SILK - PENDING'!D42:D45,"LUREX_CHIFFON")</f>
        <v>0</v>
      </c>
      <c r="G34" s="135">
        <f t="shared" si="18"/>
        <v>5</v>
      </c>
      <c r="H34" s="135">
        <f>SUMIF(MAR_A[#All],"LUREX_CHIFFON",Table39[#All])</f>
        <v>5</v>
      </c>
      <c r="I34" s="136">
        <f>SUMIF(Table23[#All],"LUREX_CHIFFON",MAR_SO[#All])</f>
        <v>0</v>
      </c>
      <c r="J34" s="135">
        <f>SUMIF(MAR_P[#All],"LUREX_CHIFFON",Table9[#All])</f>
        <v>0</v>
      </c>
      <c r="K34" s="137">
        <f t="shared" si="19"/>
        <v>700</v>
      </c>
      <c r="L34" s="138">
        <f>SUMIF(Table23[#All],"LUREX_CHIFFON",Table67[#All])</f>
        <v>0</v>
      </c>
      <c r="M34" s="139">
        <f>SUMIF(MAR_A[#All],"LUREX_CHIFFON",Table49[#All])</f>
        <v>700</v>
      </c>
      <c r="N34" s="139">
        <f>SUMIF(MAR_P[#All],"LUREX_CHIFFON",Table84[#All])</f>
        <v>0</v>
      </c>
      <c r="O34" s="139"/>
    </row>
    <row r="35" spans="1:15">
      <c r="A35" s="159" t="s">
        <v>124</v>
      </c>
      <c r="B35" s="133">
        <f t="shared" si="16"/>
        <v>2</v>
      </c>
      <c r="C35" s="140">
        <f>COUNTIFS(Table23[#All],"*PRINTED_KACE*")</f>
        <v>0</v>
      </c>
      <c r="D35" s="133">
        <f t="shared" si="17"/>
        <v>2</v>
      </c>
      <c r="E35" s="133">
        <f>COUNTIF(MAR_A[#All],"*PRINTED_LACE")</f>
        <v>2</v>
      </c>
      <c r="F35" s="133">
        <f>COUNTIF('SILK - PENDING'!D42:D45,"*PRINTED_LACE")</f>
        <v>0</v>
      </c>
      <c r="G35" s="135">
        <f t="shared" si="18"/>
        <v>20</v>
      </c>
      <c r="H35" s="135">
        <f>SUMIF(MAR_A[#All],"PRINTED_LACE",Table39[#All])</f>
        <v>10</v>
      </c>
      <c r="I35" s="136">
        <f>SUMIF(Table23[#All],"PRINTED_LACE",MAR_SO[#All])</f>
        <v>10</v>
      </c>
      <c r="J35" s="135">
        <f>SUMIF(MAR_P[#All],"PRINTED_LACE",Table9[#All])</f>
        <v>0</v>
      </c>
      <c r="K35" s="137">
        <f t="shared" si="19"/>
        <v>700</v>
      </c>
      <c r="L35" s="138">
        <f>SUMIF(Table23[#All],"PRINTED_LACE",Table67[#All])</f>
        <v>0</v>
      </c>
      <c r="M35" s="139">
        <f>SUMIF(MAR_A[#All],"PRINTED_LACE",Table49[#All])</f>
        <v>700</v>
      </c>
      <c r="N35" s="139">
        <f>SUMIF(MAR_P[#All],"CDC",Table84[#All])</f>
        <v>0</v>
      </c>
      <c r="O35" s="139"/>
    </row>
    <row r="36" spans="1:15">
      <c r="A36" s="161" t="s">
        <v>125</v>
      </c>
      <c r="B36" s="162">
        <f t="shared" ref="B36:N36" si="20">SUM(B30:B35)</f>
        <v>165</v>
      </c>
      <c r="C36" s="163">
        <f t="shared" si="20"/>
        <v>88</v>
      </c>
      <c r="D36" s="162">
        <f t="shared" si="20"/>
        <v>77</v>
      </c>
      <c r="E36" s="162">
        <f t="shared" si="20"/>
        <v>76</v>
      </c>
      <c r="F36" s="162">
        <f t="shared" si="20"/>
        <v>1</v>
      </c>
      <c r="G36" s="164">
        <f t="shared" si="20"/>
        <v>815.9</v>
      </c>
      <c r="H36" s="164">
        <f t="shared" si="20"/>
        <v>362.29999999999995</v>
      </c>
      <c r="I36" s="165">
        <f t="shared" si="20"/>
        <v>448.6</v>
      </c>
      <c r="J36" s="164">
        <f t="shared" si="20"/>
        <v>5</v>
      </c>
      <c r="K36" s="166">
        <f t="shared" si="20"/>
        <v>108447.75</v>
      </c>
      <c r="L36" s="167">
        <f t="shared" si="20"/>
        <v>58781</v>
      </c>
      <c r="M36" s="168">
        <f t="shared" si="20"/>
        <v>48816.75</v>
      </c>
      <c r="N36" s="168">
        <f t="shared" si="20"/>
        <v>850</v>
      </c>
      <c r="O36" s="168">
        <f>'SILK - SOLD'!L267</f>
        <v>40709</v>
      </c>
    </row>
    <row r="37" spans="1:15">
      <c r="A37" s="169"/>
      <c r="B37" s="170"/>
      <c r="C37" s="171"/>
      <c r="D37" s="170"/>
      <c r="E37" s="170"/>
      <c r="F37" s="170"/>
      <c r="G37" s="170"/>
      <c r="H37" s="172"/>
      <c r="I37" s="173"/>
      <c r="J37" s="170"/>
      <c r="K37" s="174"/>
      <c r="L37" s="175"/>
      <c r="M37" s="176"/>
      <c r="N37" s="176"/>
      <c r="O37" s="176"/>
    </row>
    <row r="38" spans="1:15">
      <c r="A38" s="160" t="s">
        <v>35</v>
      </c>
      <c r="B38" s="125"/>
      <c r="C38" s="126"/>
      <c r="D38" s="125"/>
      <c r="E38" s="125"/>
      <c r="F38" s="125"/>
      <c r="G38" s="125"/>
      <c r="H38" s="127"/>
      <c r="I38" s="128"/>
      <c r="J38" s="125"/>
      <c r="K38" s="129"/>
      <c r="L38" s="130"/>
      <c r="M38" s="131"/>
      <c r="N38" s="131"/>
      <c r="O38" s="131"/>
    </row>
    <row r="39" spans="1:15">
      <c r="A39" s="159" t="s">
        <v>112</v>
      </c>
      <c r="B39" s="133">
        <f t="shared" ref="B39:B45" si="21">C39+F39+E39</f>
        <v>13</v>
      </c>
      <c r="C39" s="140">
        <f>COUNTIFS(Table25[#All],"*CDC*")</f>
        <v>3</v>
      </c>
      <c r="D39" s="133">
        <f t="shared" ref="D39:D45" si="22">F39+E39</f>
        <v>10</v>
      </c>
      <c r="E39" s="133">
        <f>COUNTIF(NELL_A[#All],"CDC")</f>
        <v>10</v>
      </c>
      <c r="F39" s="133">
        <f>COUNTIF(Table4[#All],"CDC")</f>
        <v>0</v>
      </c>
      <c r="G39" s="135">
        <f t="shared" ref="G39:G45" si="23">H39+I39+J39</f>
        <v>63.4</v>
      </c>
      <c r="H39" s="135">
        <f>SUMIF(NELL_A[#All],"CDC",Table52[#All])</f>
        <v>48.4</v>
      </c>
      <c r="I39" s="136">
        <f>SUMIF(Table25[#All],"CDC",NELL_SO[#All])</f>
        <v>15</v>
      </c>
      <c r="J39" s="135">
        <f>SUMIF(Table4[#All],"CDC",Table5[#All])</f>
        <v>0</v>
      </c>
      <c r="K39" s="137">
        <f t="shared" ref="K39:K45" si="24">M39+L39+N39</f>
        <v>8876</v>
      </c>
      <c r="L39" s="138">
        <f>SUMIF(Table25[#All],"CDC",Table68[#All])</f>
        <v>2100</v>
      </c>
      <c r="M39" s="139">
        <f>SUMIF(NELL_A[#All],"CDC",Table50[#All])</f>
        <v>6776</v>
      </c>
      <c r="N39" s="139">
        <f>SUMIF(Table4[#All],"CDC",Table85[#All])</f>
        <v>0</v>
      </c>
      <c r="O39" s="139"/>
    </row>
    <row r="40" spans="1:15">
      <c r="A40" s="159" t="s">
        <v>113</v>
      </c>
      <c r="B40" s="133">
        <f t="shared" si="21"/>
        <v>2</v>
      </c>
      <c r="C40" s="140">
        <f>COUNTIFS(Table25[#All],"*GEORGETTE*")</f>
        <v>1</v>
      </c>
      <c r="D40" s="133">
        <f t="shared" si="22"/>
        <v>1</v>
      </c>
      <c r="E40" s="133">
        <f>COUNTIF(NELL_A[#All],"GEORGETTE")</f>
        <v>1</v>
      </c>
      <c r="F40" s="133">
        <f>COUNTIF(Table4[#All],"GEORGETTE")</f>
        <v>0</v>
      </c>
      <c r="G40" s="135">
        <f t="shared" si="23"/>
        <v>10</v>
      </c>
      <c r="H40" s="135">
        <f>SUMIF(NELL_A[#All],"GEORGETTE",Table52[#All])</f>
        <v>5</v>
      </c>
      <c r="I40" s="136">
        <f>SUMIF(Table25[#All],"GEORGETTE",NELL_SO[#All])</f>
        <v>5</v>
      </c>
      <c r="J40" s="135">
        <f>SUMIF(Table4[#All],"GEORGETTE",Table5[#All])</f>
        <v>0</v>
      </c>
      <c r="K40" s="137">
        <f t="shared" si="24"/>
        <v>1000</v>
      </c>
      <c r="L40" s="138">
        <f>SUMIF(Table25[#All],"GEORGETTE",Table68[#All])</f>
        <v>500</v>
      </c>
      <c r="M40" s="139">
        <f>SUMIF(NELL_A[#All],"GEORGETTE",Table50[#All])</f>
        <v>500</v>
      </c>
      <c r="N40" s="139">
        <f>SUMIF(Table4[#All],"GEORGETTE",Table85[#All])</f>
        <v>0</v>
      </c>
      <c r="O40" s="139"/>
    </row>
    <row r="41" spans="1:15">
      <c r="A41" s="159" t="s">
        <v>115</v>
      </c>
      <c r="B41" s="133">
        <f t="shared" si="21"/>
        <v>16</v>
      </c>
      <c r="C41" s="140">
        <f>COUNTIFS(Table25[#All],"*SATIN*")</f>
        <v>2</v>
      </c>
      <c r="D41" s="133">
        <f t="shared" si="22"/>
        <v>14</v>
      </c>
      <c r="E41" s="133">
        <f>COUNTIF(NELL_A[#All],"*SATIN*")</f>
        <v>13</v>
      </c>
      <c r="F41" s="133">
        <f>COUNTIF(Table4[#All],"SATIN")</f>
        <v>1</v>
      </c>
      <c r="G41" s="135">
        <f t="shared" si="23"/>
        <v>80</v>
      </c>
      <c r="H41" s="135">
        <f>SUMIF(NELL_A[#All],"*SATIN*",Table52[#All])</f>
        <v>65</v>
      </c>
      <c r="I41" s="136">
        <f>SUMIF(Table25[#All],"SATIN",NELL_SO[#All])</f>
        <v>10</v>
      </c>
      <c r="J41" s="135">
        <f>SUMIF(Table4[#All],"SATIN",Table5[#All])</f>
        <v>5</v>
      </c>
      <c r="K41" s="137">
        <f t="shared" si="24"/>
        <v>11300</v>
      </c>
      <c r="L41" s="138">
        <f>SUMIF(Table25[#All],"SATIN",Table68[#All])</f>
        <v>1400</v>
      </c>
      <c r="M41" s="139">
        <f>SUMIF(NELL_A[#All],"*SATIN*",Table50[#All])</f>
        <v>9200</v>
      </c>
      <c r="N41" s="139">
        <f>SUMIF(Table4[#All],"SATIN",Table85[#All])</f>
        <v>700</v>
      </c>
      <c r="O41" s="139"/>
    </row>
    <row r="42" spans="1:15">
      <c r="A42" s="159" t="s">
        <v>118</v>
      </c>
      <c r="B42" s="133">
        <f t="shared" si="21"/>
        <v>6</v>
      </c>
      <c r="C42" s="140">
        <f>COUNTIFS(Table25[#All],"*LUREX_CHIFFON*")</f>
        <v>0</v>
      </c>
      <c r="D42" s="133">
        <f t="shared" si="22"/>
        <v>6</v>
      </c>
      <c r="E42" s="133">
        <f>COUNTIF(NELL_A[#All],"LUREX_CHIFFON")</f>
        <v>6</v>
      </c>
      <c r="F42" s="133">
        <f>COUNTIF(Table4[#All],"LUREX_CHIFFON")</f>
        <v>0</v>
      </c>
      <c r="G42" s="135">
        <f t="shared" si="23"/>
        <v>32.200000000000003</v>
      </c>
      <c r="H42" s="135">
        <f>SUMIF(NELL_A[#All],"LUREX_CHIFFON",Table52[#All])</f>
        <v>32.200000000000003</v>
      </c>
      <c r="I42" s="136">
        <f>SUMIF(Table25[#All],"LUREX_CHIFFON",NELL_SO[#All])</f>
        <v>0</v>
      </c>
      <c r="J42" s="135">
        <f>SUMIF(Table4[#All],"LUREX_CHIFFON",Table5[#All])</f>
        <v>0</v>
      </c>
      <c r="K42" s="137">
        <f t="shared" si="24"/>
        <v>5324</v>
      </c>
      <c r="L42" s="138">
        <f>SUMIF(Table25[#All],"LUREX_CHIFFON",Table68[#All])</f>
        <v>0</v>
      </c>
      <c r="M42" s="139">
        <f>SUMIF(NELL_A[#All],"LUREX_CHIFFON",Table50[#All])</f>
        <v>5324</v>
      </c>
      <c r="N42" s="139">
        <f>SUMIF(Table4[#All],"LUREX_CHIFFON",Table85[#All])</f>
        <v>0</v>
      </c>
      <c r="O42" s="139"/>
    </row>
    <row r="43" spans="1:15">
      <c r="A43" s="159" t="s">
        <v>114</v>
      </c>
      <c r="B43" s="133">
        <f t="shared" si="21"/>
        <v>8</v>
      </c>
      <c r="C43" s="140">
        <f>COUNTIFS(Table25[#All],"CHIFFON")</f>
        <v>0</v>
      </c>
      <c r="D43" s="133">
        <f t="shared" si="22"/>
        <v>8</v>
      </c>
      <c r="E43" s="133">
        <f>COUNTIF(NELL_A[#All],"CHIFFON")</f>
        <v>8</v>
      </c>
      <c r="F43" s="133">
        <f>COUNTIF(Table4[#All],"CHIFFON")</f>
        <v>0</v>
      </c>
      <c r="G43" s="135">
        <f t="shared" si="23"/>
        <v>39.5</v>
      </c>
      <c r="H43" s="135">
        <f>SUMIF(NELL_A[#All],"CHIFFON",Table52[#All])</f>
        <v>39.5</v>
      </c>
      <c r="I43" s="136">
        <f>SUMIF(Table25[#All],"CHIFFON",NELL_SO[#All])</f>
        <v>0</v>
      </c>
      <c r="J43" s="135">
        <f>SUMIF(Table4[#All],"CHIFFON",Table5[#All])</f>
        <v>0</v>
      </c>
      <c r="K43" s="137">
        <f t="shared" si="24"/>
        <v>4150</v>
      </c>
      <c r="L43" s="138">
        <f>SUMIF(Table25[#All],"CHIFFON",Table68[#All])</f>
        <v>0</v>
      </c>
      <c r="M43" s="139">
        <f>SUMIF(NELL_A[#All],"CHIFFON",Table50[#All])</f>
        <v>4150</v>
      </c>
      <c r="N43" s="139">
        <f>SUMIF(Table4[#All],"CHIFFON",Table85[#All])</f>
        <v>0</v>
      </c>
      <c r="O43" s="139"/>
    </row>
    <row r="44" spans="1:15">
      <c r="A44" s="159" t="s">
        <v>126</v>
      </c>
      <c r="B44" s="133">
        <f t="shared" si="21"/>
        <v>3</v>
      </c>
      <c r="C44" s="140">
        <f>COUNTIFS(Table25[#All],"*TWILLCDC*")</f>
        <v>0</v>
      </c>
      <c r="D44" s="133">
        <f t="shared" si="22"/>
        <v>3</v>
      </c>
      <c r="E44" s="133">
        <f>COUNTIF(NELL_A[#All],"TWILLCDC")</f>
        <v>2</v>
      </c>
      <c r="F44" s="133">
        <f>COUNTIF(Table4[#All],"TWILLCDC")</f>
        <v>1</v>
      </c>
      <c r="G44" s="135">
        <f t="shared" si="23"/>
        <v>15</v>
      </c>
      <c r="H44" s="135">
        <f>SUMIF(NELL_A[#All],"TWILLCDC",Table52[#All])</f>
        <v>10</v>
      </c>
      <c r="I44" s="136">
        <f>SUMIF(Table25[#All],"TWILLCDC",NELL_SO[#All])</f>
        <v>0</v>
      </c>
      <c r="J44" s="135">
        <f>SUMIF(Table4[#All],"TWILLCDC",Table5[#All])</f>
        <v>5</v>
      </c>
      <c r="K44" s="137">
        <f t="shared" si="24"/>
        <v>2100</v>
      </c>
      <c r="L44" s="138">
        <f>SUMIF(Table25[#All],"TWILLCDC",Table68[#All])</f>
        <v>0</v>
      </c>
      <c r="M44" s="139">
        <f>SUMIF(NELL_A[#All],"TWILLCDC",Table50[#All])</f>
        <v>1400</v>
      </c>
      <c r="N44" s="139">
        <f>SUMIF(Table4[#All],"TWILLCDC",Table85[#All])</f>
        <v>700</v>
      </c>
      <c r="O44" s="139"/>
    </row>
    <row r="45" spans="1:15">
      <c r="A45" s="159" t="s">
        <v>127</v>
      </c>
      <c r="B45" s="133">
        <f t="shared" si="21"/>
        <v>2</v>
      </c>
      <c r="C45" s="140">
        <f>COUNTIFS(Table25[#All],"*PRINTED_SILK*")</f>
        <v>1</v>
      </c>
      <c r="D45" s="133">
        <f t="shared" si="22"/>
        <v>1</v>
      </c>
      <c r="E45" s="133">
        <f>COUNTIF(NELL_A[#All],"PRINTED_SILK")</f>
        <v>1</v>
      </c>
      <c r="F45" s="133">
        <f>COUNTIF(Table4[#All],"PRINTED_SILK")</f>
        <v>0</v>
      </c>
      <c r="G45" s="135">
        <f t="shared" si="23"/>
        <v>10</v>
      </c>
      <c r="H45" s="135">
        <f>SUMIF(NELL_A[#All],"PRINTED_SILK",Table52[#All])</f>
        <v>5.2</v>
      </c>
      <c r="I45" s="136">
        <f>SUMIF(Table25[#All],"PRINTED_SILK",NELL_SO[#All])</f>
        <v>4.8</v>
      </c>
      <c r="J45" s="135">
        <f>SUMIF(Table4[#All],"PRINTED_SILK",Table5[#All])</f>
        <v>0</v>
      </c>
      <c r="K45" s="137">
        <f t="shared" si="24"/>
        <v>1400</v>
      </c>
      <c r="L45" s="138">
        <f>SUMIF(Table25[#All],"PRINTED_SILK",Table68[#All])</f>
        <v>672</v>
      </c>
      <c r="M45" s="139">
        <f>SUMIF(NELL_A[#All],"PRINTED_SILK",Table50[#All])</f>
        <v>728</v>
      </c>
      <c r="N45" s="139">
        <f>SUMIF(Table4[#All],"CDC",Table85[#All])</f>
        <v>0</v>
      </c>
      <c r="O45" s="139"/>
    </row>
    <row r="46" spans="1:15">
      <c r="A46" s="90" t="s">
        <v>128</v>
      </c>
      <c r="B46" s="144">
        <f t="shared" ref="B46:I46" si="25">SUM(B39:B45)</f>
        <v>50</v>
      </c>
      <c r="C46" s="145">
        <f t="shared" si="25"/>
        <v>7</v>
      </c>
      <c r="D46" s="144">
        <f t="shared" si="25"/>
        <v>43</v>
      </c>
      <c r="E46" s="144">
        <f t="shared" si="25"/>
        <v>41</v>
      </c>
      <c r="F46" s="144">
        <f t="shared" si="25"/>
        <v>2</v>
      </c>
      <c r="G46" s="146">
        <f t="shared" si="25"/>
        <v>250.10000000000002</v>
      </c>
      <c r="H46" s="146">
        <f t="shared" si="25"/>
        <v>205.3</v>
      </c>
      <c r="I46" s="147">
        <f t="shared" si="25"/>
        <v>34.799999999999997</v>
      </c>
      <c r="J46" s="146">
        <f>SUM(J39:J45)</f>
        <v>10</v>
      </c>
      <c r="K46" s="148">
        <f t="shared" ref="K46:N46" si="26">SUM(K39:K45)</f>
        <v>34150</v>
      </c>
      <c r="L46" s="149">
        <f t="shared" si="26"/>
        <v>4672</v>
      </c>
      <c r="M46" s="150">
        <f t="shared" si="26"/>
        <v>28078</v>
      </c>
      <c r="N46" s="150">
        <f t="shared" si="26"/>
        <v>1400</v>
      </c>
      <c r="O46" s="150">
        <f>'SILK - SOLD'!L281</f>
        <v>3585.6000000000004</v>
      </c>
    </row>
    <row r="47" spans="1:15">
      <c r="A47" s="177"/>
      <c r="B47" s="178"/>
      <c r="C47" s="179"/>
      <c r="D47" s="178"/>
      <c r="E47" s="178"/>
      <c r="F47" s="178"/>
      <c r="G47" s="178"/>
      <c r="H47" s="180"/>
      <c r="I47" s="181"/>
      <c r="J47" s="178"/>
      <c r="K47" s="182"/>
      <c r="L47" s="183"/>
      <c r="M47" s="182"/>
      <c r="N47" s="182"/>
      <c r="O47" s="182"/>
    </row>
    <row r="48" spans="1:15">
      <c r="A48" s="160" t="s">
        <v>36</v>
      </c>
      <c r="B48" s="125"/>
      <c r="C48" s="126"/>
      <c r="D48" s="125"/>
      <c r="E48" s="125"/>
      <c r="F48" s="125"/>
      <c r="G48" s="125"/>
      <c r="H48" s="127"/>
      <c r="I48" s="128"/>
      <c r="J48" s="125"/>
      <c r="K48" s="129"/>
      <c r="L48" s="130"/>
      <c r="M48" s="131"/>
      <c r="N48" s="131"/>
      <c r="O48" s="131"/>
    </row>
    <row r="49" spans="1:15">
      <c r="A49" s="159" t="s">
        <v>112</v>
      </c>
      <c r="B49" s="133">
        <f t="shared" ref="B49:B50" si="27">C49+F49+E49</f>
        <v>22</v>
      </c>
      <c r="C49" s="153">
        <f>COUNTIFS(Table20[#All],"*CDC*")</f>
        <v>7</v>
      </c>
      <c r="D49" s="133">
        <f t="shared" ref="D49:D50" si="28">F49+E49</f>
        <v>15</v>
      </c>
      <c r="E49" s="133">
        <f>COUNTIF(AVAN_A[#All],"CDC")</f>
        <v>15</v>
      </c>
      <c r="F49" s="133">
        <f>COUNTIF(Table10[#All],"CDC")</f>
        <v>0</v>
      </c>
      <c r="G49" s="135">
        <f t="shared" ref="G49:G50" si="29">H49+I49+J49</f>
        <v>110</v>
      </c>
      <c r="H49" s="135">
        <f>SUMIF(AVAN_A[#All],"CDC",Table53[#All])</f>
        <v>75</v>
      </c>
      <c r="I49" s="136">
        <f>SUMIF(Table20[#All],"CDC",Table22[#All])</f>
        <v>35</v>
      </c>
      <c r="J49" s="135">
        <f>SUMIF(Table10[#All],"CDC",Table11[#All])</f>
        <v>0</v>
      </c>
      <c r="K49" s="137">
        <f t="shared" ref="K49:K50" si="30">M49+L49+N49</f>
        <v>12775</v>
      </c>
      <c r="L49" s="138">
        <f>SUMIF(Table20[#All],"CDC",Table69[#All])</f>
        <v>4150</v>
      </c>
      <c r="M49" s="139">
        <f>SUMIF(AVAN_A[#All],"CDC",Table51[#All])</f>
        <v>8625</v>
      </c>
      <c r="N49" s="139">
        <f>SUMIF(Table10[#All],"CDC",Table86[#All])</f>
        <v>0</v>
      </c>
      <c r="O49" s="139"/>
    </row>
    <row r="50" spans="1:15">
      <c r="A50" s="159" t="s">
        <v>113</v>
      </c>
      <c r="B50" s="133">
        <f t="shared" si="27"/>
        <v>22</v>
      </c>
      <c r="C50" s="153">
        <f>COUNTIFS(Table20[#All],"GEORGETTE")</f>
        <v>7</v>
      </c>
      <c r="D50" s="133">
        <f t="shared" si="28"/>
        <v>15</v>
      </c>
      <c r="E50" s="133">
        <f>COUNTIF(AVAN_A[#All],"GEORGETTE")</f>
        <v>13</v>
      </c>
      <c r="F50" s="133">
        <f>COUNTIF(Table10[#All],"GEORGETTE")</f>
        <v>2</v>
      </c>
      <c r="G50" s="135">
        <f t="shared" si="29"/>
        <v>110</v>
      </c>
      <c r="H50" s="135">
        <f>SUMIF(AVAN_A[#All],"GEORGETTE",Table53[#All])</f>
        <v>65</v>
      </c>
      <c r="I50" s="136">
        <f>SUMIF(Table20[#All],"GEORGETTE",Table22[#All])</f>
        <v>35</v>
      </c>
      <c r="J50" s="135">
        <f>SUMIF(Table10[#All],"GEORGETTE",Table11[#All])</f>
        <v>10</v>
      </c>
      <c r="K50" s="137">
        <f t="shared" si="30"/>
        <v>10450</v>
      </c>
      <c r="L50" s="138">
        <f>SUMIF(Table20[#All],"GEORGETTE",Table69[#All])</f>
        <v>3325</v>
      </c>
      <c r="M50" s="139">
        <f>SUMIF(AVAN_A[#All],"GEORGETTE",Table51[#All])</f>
        <v>6175</v>
      </c>
      <c r="N50" s="139">
        <f>SUMIF(Table10[#All],"GEORGETTE",Table86[#All])</f>
        <v>950</v>
      </c>
      <c r="O50" s="139"/>
    </row>
    <row r="51" spans="1:15">
      <c r="A51" s="90" t="s">
        <v>129</v>
      </c>
      <c r="B51" s="144">
        <f t="shared" ref="B51:N51" si="31">SUM(B49:B50)</f>
        <v>44</v>
      </c>
      <c r="C51" s="145">
        <f t="shared" si="31"/>
        <v>14</v>
      </c>
      <c r="D51" s="144">
        <f t="shared" si="31"/>
        <v>30</v>
      </c>
      <c r="E51" s="144">
        <f t="shared" si="31"/>
        <v>28</v>
      </c>
      <c r="F51" s="144">
        <f t="shared" si="31"/>
        <v>2</v>
      </c>
      <c r="G51" s="144">
        <f t="shared" si="31"/>
        <v>220</v>
      </c>
      <c r="H51" s="146">
        <f t="shared" si="31"/>
        <v>140</v>
      </c>
      <c r="I51" s="147">
        <f t="shared" si="31"/>
        <v>70</v>
      </c>
      <c r="J51" s="146">
        <f t="shared" si="31"/>
        <v>10</v>
      </c>
      <c r="K51" s="148">
        <f t="shared" si="31"/>
        <v>23225</v>
      </c>
      <c r="L51" s="149">
        <f t="shared" si="31"/>
        <v>7475</v>
      </c>
      <c r="M51" s="150">
        <f t="shared" si="31"/>
        <v>14800</v>
      </c>
      <c r="N51" s="150">
        <f t="shared" si="31"/>
        <v>950</v>
      </c>
      <c r="O51" s="150">
        <f>'SILK - SOLD'!L300</f>
        <v>8475</v>
      </c>
    </row>
    <row r="52" spans="1:15">
      <c r="A52" s="177"/>
      <c r="B52" s="178"/>
      <c r="C52" s="179"/>
      <c r="D52" s="178"/>
      <c r="E52" s="178"/>
      <c r="F52" s="178"/>
      <c r="G52" s="178"/>
      <c r="H52" s="180"/>
      <c r="I52" s="181"/>
      <c r="J52" s="178"/>
      <c r="K52" s="184"/>
      <c r="L52" s="183"/>
      <c r="M52" s="182"/>
      <c r="N52" s="182"/>
      <c r="O52" s="182"/>
    </row>
    <row r="53" spans="1:15">
      <c r="A53" s="160" t="s">
        <v>37</v>
      </c>
      <c r="B53" s="125"/>
      <c r="C53" s="126"/>
      <c r="D53" s="125"/>
      <c r="E53" s="125"/>
      <c r="F53" s="125"/>
      <c r="G53" s="125"/>
      <c r="H53" s="127"/>
      <c r="I53" s="128"/>
      <c r="J53" s="125"/>
      <c r="K53" s="129"/>
      <c r="L53" s="130"/>
      <c r="M53" s="131"/>
      <c r="N53" s="131"/>
      <c r="O53" s="131"/>
    </row>
    <row r="54" spans="1:15">
      <c r="A54" s="159" t="s">
        <v>112</v>
      </c>
      <c r="B54" s="133">
        <f t="shared" ref="B54:B56" si="32">C54+F54+E54</f>
        <v>12</v>
      </c>
      <c r="C54" s="140">
        <f>COUNTIFS(CASA_SOLD[#All],"*CDC*")</f>
        <v>6</v>
      </c>
      <c r="D54" s="133">
        <f t="shared" ref="D54:D56" si="33">F54+E54</f>
        <v>6</v>
      </c>
      <c r="E54" s="133">
        <f>COUNTIF(CASA_A[#All],"CDC")</f>
        <v>4</v>
      </c>
      <c r="F54" s="133">
        <f>COUNTIF(Table12[#All],"CDC")</f>
        <v>2</v>
      </c>
      <c r="G54" s="135">
        <f t="shared" ref="G54:G56" si="34">H54+I54+J54</f>
        <v>61.3</v>
      </c>
      <c r="H54" s="135">
        <f>SUMIF(CASA_A[#All],"CDC",CASA_AV[#All])</f>
        <v>22.2</v>
      </c>
      <c r="I54" s="136">
        <f>SUMIF(CASA_SOLD[#All],"CDC",CASA_SO[#All])</f>
        <v>31.1</v>
      </c>
      <c r="J54" s="135">
        <f>SUMIF(Table12[#All],"CDC",Table13[#All])</f>
        <v>8</v>
      </c>
      <c r="K54" s="137">
        <f t="shared" ref="K54:K56" si="35">M54+L54+N54</f>
        <v>7578</v>
      </c>
      <c r="L54" s="138">
        <f>SUMIF(CASA_SOLD[#All],"CDC",Table70[#All])</f>
        <v>3954</v>
      </c>
      <c r="M54" s="139">
        <f>SUMIF(CASA_A[#All],"CDC",Table54[#All])</f>
        <v>2664</v>
      </c>
      <c r="N54" s="139">
        <f>SUMIF(Table12[#All],"CDC",Table87[#All])</f>
        <v>960</v>
      </c>
      <c r="O54" s="139"/>
    </row>
    <row r="55" spans="1:15">
      <c r="A55" s="159" t="s">
        <v>115</v>
      </c>
      <c r="B55" s="133">
        <f t="shared" si="32"/>
        <v>26</v>
      </c>
      <c r="C55" s="140">
        <f>COUNTIFS(CASA_SOLD[#All],"*SATIN*")</f>
        <v>18</v>
      </c>
      <c r="D55" s="133">
        <f t="shared" si="33"/>
        <v>8</v>
      </c>
      <c r="E55" s="133">
        <f>COUNTIF(CASA_A[#All],"SATIN")</f>
        <v>6</v>
      </c>
      <c r="F55" s="133">
        <f>COUNTIF(Table12[#All],"SATIN")</f>
        <v>2</v>
      </c>
      <c r="G55" s="135">
        <f t="shared" si="34"/>
        <v>126.10000000000001</v>
      </c>
      <c r="H55" s="135">
        <f>SUMIF(CASA_A[#All],"SATIN",CASA_AV[#All])</f>
        <v>26.400000000000002</v>
      </c>
      <c r="I55" s="136">
        <f>SUMIF(CASA_SOLD[#All],"SATIN",CASA_SO[#All])</f>
        <v>91.7</v>
      </c>
      <c r="J55" s="135">
        <f>SUMIF(Table12[#All],"SATIN",Table13[#All])</f>
        <v>8</v>
      </c>
      <c r="K55" s="137">
        <f t="shared" si="35"/>
        <v>15132</v>
      </c>
      <c r="L55" s="138">
        <f>SUMIF(CASA_SOLD[#All],"SATIN",Table70[#All])</f>
        <v>11004</v>
      </c>
      <c r="M55" s="139">
        <f>SUMIF(CASA_A[#All],"SATIN",Table54[#All])</f>
        <v>3168</v>
      </c>
      <c r="N55" s="139">
        <f>SUMIF(Table12[#All],"SATIN",Table87[#All])</f>
        <v>960</v>
      </c>
      <c r="O55" s="139"/>
    </row>
    <row r="56" spans="1:15">
      <c r="A56" s="159" t="s">
        <v>122</v>
      </c>
      <c r="B56" s="133">
        <f t="shared" si="32"/>
        <v>1</v>
      </c>
      <c r="C56" s="140">
        <f>COUNTIFS(CASA_SOLD[#All],"*CADY*")</f>
        <v>1</v>
      </c>
      <c r="D56" s="133">
        <f t="shared" si="33"/>
        <v>0</v>
      </c>
      <c r="E56" s="133">
        <f>COUNTIF(CASA_A[#All],"CADY")</f>
        <v>0</v>
      </c>
      <c r="F56" s="133">
        <f>COUNTIF(Table12[#All],"*CADY*")</f>
        <v>0</v>
      </c>
      <c r="G56" s="135">
        <f t="shared" si="34"/>
        <v>4.8</v>
      </c>
      <c r="H56" s="135">
        <f>SUMIF(CASA_A[#All],"CADY",CASA_AV[#All])</f>
        <v>0</v>
      </c>
      <c r="I56" s="136">
        <f>SUMIF(CASA_SOLD[#All],"CADY",CASA_SO[#All])</f>
        <v>4.8</v>
      </c>
      <c r="J56" s="135">
        <f>SUMIF(Table12[#All],"CADY",Table13[#All])</f>
        <v>0</v>
      </c>
      <c r="K56" s="137">
        <f t="shared" si="35"/>
        <v>672</v>
      </c>
      <c r="L56" s="138">
        <f>SUMIF(CASA_SOLD[#All],"cady",Table70[#All])</f>
        <v>672</v>
      </c>
      <c r="M56" s="139">
        <f>SUMIF(CASA_A[#All],"CADY",Table54[#All])</f>
        <v>0</v>
      </c>
      <c r="N56" s="139">
        <f>SUMIF(Table12[#All],"CADY",Table87[#All])</f>
        <v>0</v>
      </c>
      <c r="O56" s="139"/>
    </row>
    <row r="57" spans="1:15">
      <c r="A57" s="90" t="s">
        <v>130</v>
      </c>
      <c r="B57" s="144">
        <f t="shared" ref="B57:D57" si="36">SUM(B54:B56)</f>
        <v>39</v>
      </c>
      <c r="C57" s="145">
        <f t="shared" si="36"/>
        <v>25</v>
      </c>
      <c r="D57" s="144">
        <f t="shared" si="36"/>
        <v>14</v>
      </c>
      <c r="E57" s="144">
        <f>SUM(E53:E56)</f>
        <v>10</v>
      </c>
      <c r="F57" s="144">
        <f t="shared" ref="F57:N57" si="37">SUM(F54:F56)</f>
        <v>4</v>
      </c>
      <c r="G57" s="144">
        <f t="shared" si="37"/>
        <v>192.20000000000002</v>
      </c>
      <c r="H57" s="146">
        <f t="shared" si="37"/>
        <v>48.6</v>
      </c>
      <c r="I57" s="147">
        <f t="shared" si="37"/>
        <v>127.60000000000001</v>
      </c>
      <c r="J57" s="146">
        <f t="shared" si="37"/>
        <v>16</v>
      </c>
      <c r="K57" s="148">
        <f t="shared" si="37"/>
        <v>23382</v>
      </c>
      <c r="L57" s="149">
        <f t="shared" si="37"/>
        <v>15630</v>
      </c>
      <c r="M57" s="150">
        <f t="shared" si="37"/>
        <v>5832</v>
      </c>
      <c r="N57" s="150">
        <f t="shared" si="37"/>
        <v>1920</v>
      </c>
      <c r="O57" s="150">
        <f>'SILK - SOLD'!L330</f>
        <v>19780.608</v>
      </c>
    </row>
    <row r="58" spans="1:15">
      <c r="A58" s="185"/>
      <c r="B58" s="186"/>
      <c r="C58" s="187"/>
      <c r="D58" s="186"/>
      <c r="E58" s="186"/>
      <c r="F58" s="186"/>
      <c r="G58" s="186"/>
      <c r="H58" s="188"/>
      <c r="I58" s="189"/>
      <c r="J58" s="186"/>
      <c r="K58" s="190"/>
      <c r="L58" s="191"/>
      <c r="M58" s="192"/>
      <c r="N58" s="192"/>
      <c r="O58" s="192"/>
    </row>
    <row r="59" spans="1:15">
      <c r="A59" s="160" t="s">
        <v>38</v>
      </c>
      <c r="B59" s="125"/>
      <c r="C59" s="126"/>
      <c r="D59" s="125"/>
      <c r="E59" s="125"/>
      <c r="F59" s="125"/>
      <c r="G59" s="125"/>
      <c r="H59" s="127"/>
      <c r="I59" s="128"/>
      <c r="J59" s="125"/>
      <c r="K59" s="129"/>
      <c r="L59" s="130"/>
      <c r="M59" s="131"/>
      <c r="N59" s="131"/>
      <c r="O59" s="131"/>
    </row>
    <row r="60" spans="1:15">
      <c r="A60" s="159" t="s">
        <v>112</v>
      </c>
      <c r="B60" s="133">
        <f t="shared" ref="B60:B61" si="38">C60+F60+E60</f>
        <v>22</v>
      </c>
      <c r="C60" s="140">
        <f>COUNTIFS(Table26[#All],"*CDC*")</f>
        <v>5</v>
      </c>
      <c r="D60" s="133">
        <f t="shared" ref="D60:D61" si="39">F60+E60</f>
        <v>17</v>
      </c>
      <c r="E60" s="133">
        <f>COUNTIF(STYL_A[#All],"CDC")</f>
        <v>15</v>
      </c>
      <c r="F60" s="133">
        <f>COUNTIF(Table14[#All],"CDC")</f>
        <v>2</v>
      </c>
      <c r="G60" s="135">
        <f t="shared" ref="G60:G61" si="40">H60+I60+J60</f>
        <v>108</v>
      </c>
      <c r="H60" s="135">
        <f>SUMIF(STYL_A[#All],"CDC",STY_A[#All])</f>
        <v>75</v>
      </c>
      <c r="I60" s="136">
        <f>SUMIF(Table26[#All],"CDC",STY_SO[#All])</f>
        <v>23</v>
      </c>
      <c r="J60" s="133">
        <f>SUMIF(Table14[#All],"CDC",Table15[#All])</f>
        <v>10</v>
      </c>
      <c r="K60" s="137">
        <f t="shared" ref="K60:K61" si="41">M60+L60+N60</f>
        <v>15560</v>
      </c>
      <c r="L60" s="138">
        <f>SUMIF(Table26[#All],"CDC",Table71[#All])</f>
        <v>3335</v>
      </c>
      <c r="M60" s="139">
        <f>SUMIF(STYL_A[#All],"CDC",Table55[#All])</f>
        <v>10775</v>
      </c>
      <c r="N60" s="139">
        <f>SUMIF(Table14[#All],"CDC",Table88[#All])</f>
        <v>1450</v>
      </c>
      <c r="O60" s="139"/>
    </row>
    <row r="61" spans="1:15">
      <c r="A61" s="159" t="s">
        <v>113</v>
      </c>
      <c r="B61" s="133">
        <f t="shared" si="38"/>
        <v>21</v>
      </c>
      <c r="C61" s="140">
        <f>COUNTIFS(Table26[#All],"*GEORGETTE*")</f>
        <v>4</v>
      </c>
      <c r="D61" s="133">
        <f t="shared" si="39"/>
        <v>17</v>
      </c>
      <c r="E61" s="133">
        <f>COUNTIF(STYL_A[#All],"CDC")</f>
        <v>15</v>
      </c>
      <c r="F61" s="133">
        <f>COUNTIF(Table14[#All],"GEORGETTE")</f>
        <v>2</v>
      </c>
      <c r="G61" s="135">
        <f t="shared" si="40"/>
        <v>88.900000000000034</v>
      </c>
      <c r="H61" s="135">
        <f>SUMIF(STYL_A[#All],"GEORGETTE",STY_A[#All])</f>
        <v>67.000000000000028</v>
      </c>
      <c r="I61" s="136">
        <f>SUMIF(Table26[#All],"GEORGETTE",STY_SO[#All])</f>
        <v>15.7</v>
      </c>
      <c r="J61" s="133">
        <f>SUMIF(Table14[#All],"GEORGETTE",Table15[#All])</f>
        <v>6.2</v>
      </c>
      <c r="K61" s="137">
        <f t="shared" si="41"/>
        <v>11112.5</v>
      </c>
      <c r="L61" s="138">
        <f>SUMIF(Table26[#All],"GEORGETTE",Table71[#All])</f>
        <v>1962.5</v>
      </c>
      <c r="M61" s="139">
        <f>SUMIF(STYL_A[#All],"GEORGETTE",Table55[#All])</f>
        <v>8375</v>
      </c>
      <c r="N61" s="139">
        <f>SUMIF(Table14[#All],"GEORGETTE",Table88[#All])</f>
        <v>775</v>
      </c>
      <c r="O61" s="139"/>
    </row>
    <row r="62" spans="1:15">
      <c r="A62" s="90" t="s">
        <v>131</v>
      </c>
      <c r="B62" s="144">
        <f t="shared" ref="B62:C62" si="42">SUM(B59:B61)</f>
        <v>43</v>
      </c>
      <c r="C62" s="145">
        <f t="shared" si="42"/>
        <v>9</v>
      </c>
      <c r="D62" s="144">
        <f>SUM(D60:D61)</f>
        <v>34</v>
      </c>
      <c r="E62" s="144">
        <f>SUM(E58:E61)</f>
        <v>30</v>
      </c>
      <c r="F62" s="144">
        <f t="shared" ref="F62:N62" si="43">SUM(F59:F61)</f>
        <v>4</v>
      </c>
      <c r="G62" s="144">
        <f t="shared" si="43"/>
        <v>196.90000000000003</v>
      </c>
      <c r="H62" s="146">
        <f t="shared" si="43"/>
        <v>142.00000000000003</v>
      </c>
      <c r="I62" s="147">
        <f t="shared" si="43"/>
        <v>38.700000000000003</v>
      </c>
      <c r="J62" s="146">
        <f t="shared" si="43"/>
        <v>16.2</v>
      </c>
      <c r="K62" s="148">
        <f t="shared" si="43"/>
        <v>26672.5</v>
      </c>
      <c r="L62" s="149">
        <f t="shared" si="43"/>
        <v>5297.5</v>
      </c>
      <c r="M62" s="150">
        <f t="shared" si="43"/>
        <v>19150</v>
      </c>
      <c r="N62" s="150">
        <f t="shared" si="43"/>
        <v>2225</v>
      </c>
      <c r="O62" s="150">
        <f>'SILK - SOLD'!L345</f>
        <v>4568.1000000000004</v>
      </c>
    </row>
    <row r="63" spans="1:15">
      <c r="A63" s="185"/>
      <c r="B63" s="186"/>
      <c r="C63" s="187"/>
      <c r="D63" s="186"/>
      <c r="E63" s="186"/>
      <c r="F63" s="186"/>
      <c r="G63" s="186"/>
      <c r="H63" s="188"/>
      <c r="I63" s="189"/>
      <c r="J63" s="186"/>
      <c r="K63" s="190"/>
      <c r="L63" s="191"/>
      <c r="M63" s="192"/>
      <c r="N63" s="192"/>
      <c r="O63" s="192"/>
    </row>
    <row r="64" spans="1:15">
      <c r="A64" s="160" t="s">
        <v>132</v>
      </c>
      <c r="B64" s="125"/>
      <c r="C64" s="126"/>
      <c r="D64" s="125"/>
      <c r="E64" s="125"/>
      <c r="F64" s="125"/>
      <c r="G64" s="125"/>
      <c r="H64" s="127"/>
      <c r="I64" s="128"/>
      <c r="J64" s="125"/>
      <c r="K64" s="129"/>
      <c r="L64" s="130"/>
      <c r="M64" s="131"/>
      <c r="N64" s="131"/>
      <c r="O64" s="131"/>
    </row>
    <row r="65" spans="1:15">
      <c r="A65" s="159" t="s">
        <v>112</v>
      </c>
      <c r="B65" s="133">
        <f t="shared" ref="B65:B66" si="44">C65+F65+E65</f>
        <v>10</v>
      </c>
      <c r="C65" s="140">
        <f>COUNTIFS(Table27[#All],"*CDC*")</f>
        <v>6</v>
      </c>
      <c r="D65" s="133">
        <f t="shared" ref="D65:D66" si="45">F65+E65</f>
        <v>4</v>
      </c>
      <c r="E65" s="133">
        <f>COUNTIF(INCO_A[#All],"CDC")</f>
        <v>4</v>
      </c>
      <c r="F65" s="133">
        <f>COUNTIF(Table16[#All],"CDC")</f>
        <v>0</v>
      </c>
      <c r="G65" s="135">
        <f t="shared" ref="G65:G66" si="46">H65+I65+J65</f>
        <v>50</v>
      </c>
      <c r="H65" s="135">
        <f>SUMIF(INCO_A[#All],"CDC",INCO_AV[#All])</f>
        <v>20</v>
      </c>
      <c r="I65" s="136">
        <f>SUMIF(Table27[#All],"CDC",INCO_SO[#All])</f>
        <v>30</v>
      </c>
      <c r="J65" s="133">
        <f>SUMIF(Table16[#All],"CDC",Table17[#All])</f>
        <v>0</v>
      </c>
      <c r="K65" s="137">
        <f t="shared" ref="K65:K66" si="47">M65+L65+N65</f>
        <v>6550</v>
      </c>
      <c r="L65" s="138">
        <f>SUMIF(Table27[#All],"CDC",Table72[#All])</f>
        <v>3750</v>
      </c>
      <c r="M65" s="139">
        <f>SUMIF(INCO_A[#All],"CDC",Table56[#All])</f>
        <v>2800</v>
      </c>
      <c r="N65" s="139">
        <f>SUMIF(Table16[#All],"CDC",Table89[#All])</f>
        <v>0</v>
      </c>
      <c r="O65" s="139"/>
    </row>
    <row r="66" spans="1:15">
      <c r="A66" s="159" t="s">
        <v>113</v>
      </c>
      <c r="B66" s="133">
        <f t="shared" si="44"/>
        <v>10</v>
      </c>
      <c r="C66" s="140">
        <f>COUNTIFS(Table27[#All],"*GEORGETTE*")</f>
        <v>6</v>
      </c>
      <c r="D66" s="133">
        <f t="shared" si="45"/>
        <v>4</v>
      </c>
      <c r="E66" s="133">
        <f>COUNTIF(INCO_A[#All],"GEORGETTE")</f>
        <v>3</v>
      </c>
      <c r="F66" s="133">
        <f>COUNTIF(Table16[#All],"GEORGETTE")</f>
        <v>1</v>
      </c>
      <c r="G66" s="135">
        <f t="shared" si="46"/>
        <v>50</v>
      </c>
      <c r="H66" s="135">
        <f>SUMIF(INCO_A[#All],"GEORGETTE",INCO_AV[#All])</f>
        <v>15</v>
      </c>
      <c r="I66" s="136">
        <f>SUMIF(Table27[#All],"GEORGETTE",INCO_SO[#All])</f>
        <v>30</v>
      </c>
      <c r="J66" s="133">
        <f>SUMIF(Table16[#All],"GEORGETTE",Table17[#All])</f>
        <v>5</v>
      </c>
      <c r="K66" s="137">
        <f t="shared" si="47"/>
        <v>4925</v>
      </c>
      <c r="L66" s="138">
        <f>SUMIF(Table27[#All],"GEORGETTE",Table72[#All])</f>
        <v>2925</v>
      </c>
      <c r="M66" s="139">
        <f>SUMIF(INCO_A[#All],"GEORGETTE",Table56[#All])</f>
        <v>1500</v>
      </c>
      <c r="N66" s="139">
        <f>SUMIF(Table16[#All],"GEORGETTE",Table89[#All])</f>
        <v>500</v>
      </c>
      <c r="O66" s="139"/>
    </row>
    <row r="67" spans="1:15">
      <c r="A67" s="90" t="s">
        <v>131</v>
      </c>
      <c r="B67" s="144">
        <f t="shared" ref="B67:C67" si="48">SUM(B64:B66)</f>
        <v>20</v>
      </c>
      <c r="C67" s="145">
        <f t="shared" si="48"/>
        <v>12</v>
      </c>
      <c r="D67" s="144">
        <f>SUM(D65:D66)</f>
        <v>8</v>
      </c>
      <c r="E67" s="144">
        <f>SUM(E63:E66)</f>
        <v>7</v>
      </c>
      <c r="F67" s="144">
        <f t="shared" ref="F67:N67" si="49">SUM(F64:F66)</f>
        <v>1</v>
      </c>
      <c r="G67" s="144">
        <f t="shared" si="49"/>
        <v>100</v>
      </c>
      <c r="H67" s="146">
        <f t="shared" si="49"/>
        <v>35</v>
      </c>
      <c r="I67" s="147">
        <f t="shared" si="49"/>
        <v>60</v>
      </c>
      <c r="J67" s="146">
        <f t="shared" si="49"/>
        <v>5</v>
      </c>
      <c r="K67" s="148">
        <f t="shared" si="49"/>
        <v>11475</v>
      </c>
      <c r="L67" s="149">
        <f t="shared" si="49"/>
        <v>6675</v>
      </c>
      <c r="M67" s="150">
        <f t="shared" si="49"/>
        <v>4300</v>
      </c>
      <c r="N67" s="150">
        <f t="shared" si="49"/>
        <v>500</v>
      </c>
      <c r="O67" s="150">
        <f>'SILK - SOLD'!L362</f>
        <v>7665</v>
      </c>
    </row>
    <row r="68" spans="1:15">
      <c r="A68" s="193"/>
      <c r="B68" s="186"/>
      <c r="C68" s="187"/>
      <c r="D68" s="186"/>
      <c r="E68" s="186"/>
      <c r="F68" s="186"/>
      <c r="G68" s="186"/>
      <c r="H68" s="188"/>
      <c r="I68" s="189"/>
      <c r="J68" s="188"/>
      <c r="K68" s="190"/>
      <c r="L68" s="191"/>
      <c r="M68" s="192"/>
      <c r="N68" s="192"/>
      <c r="O68" s="192"/>
    </row>
    <row r="69" spans="1:15">
      <c r="A69" s="160" t="s">
        <v>40</v>
      </c>
      <c r="B69" s="125"/>
      <c r="C69" s="126"/>
      <c r="D69" s="125"/>
      <c r="E69" s="125"/>
      <c r="F69" s="125"/>
      <c r="G69" s="125"/>
      <c r="H69" s="127"/>
      <c r="I69" s="128"/>
      <c r="J69" s="125"/>
      <c r="K69" s="129"/>
      <c r="L69" s="130"/>
      <c r="M69" s="131"/>
      <c r="N69" s="131"/>
      <c r="O69" s="131"/>
    </row>
    <row r="70" spans="1:15">
      <c r="A70" s="159" t="s">
        <v>133</v>
      </c>
      <c r="B70" s="133">
        <f t="shared" ref="B70:B71" si="50">C70+F70+E70</f>
        <v>11</v>
      </c>
      <c r="C70" s="140">
        <f>COUNTIFS(Table28[#All],"*JACAURD*")</f>
        <v>0</v>
      </c>
      <c r="D70" s="133">
        <f t="shared" ref="D70:D71" si="51">F70+E70</f>
        <v>11</v>
      </c>
      <c r="E70" s="133">
        <f>COUNTIF(UG_A[#All],"JACAURD")</f>
        <v>11</v>
      </c>
      <c r="F70" s="133">
        <f>COUNTIF(Table18[#All],"JACAURD")</f>
        <v>0</v>
      </c>
      <c r="G70" s="135">
        <f t="shared" ref="G70:G71" si="52">H70+I70+J70</f>
        <v>55</v>
      </c>
      <c r="H70" s="135">
        <f>SUMIF(UG_A[#All],"JACAURD",Table40[#All])</f>
        <v>55</v>
      </c>
      <c r="I70" s="136">
        <f>SUMIF(Table28[#All],"JACAURD",Table29[#All])</f>
        <v>0</v>
      </c>
      <c r="J70" s="133">
        <f>SUMIF(Table18[#All],"JACAURD",Table19[#All])</f>
        <v>0</v>
      </c>
      <c r="K70" s="137">
        <f t="shared" ref="K70:K71" si="53">M70+L70+N70</f>
        <v>10500</v>
      </c>
      <c r="L70" s="138">
        <f>SUMIF(Table28[#All],"JACAURD",Table73[#All])</f>
        <v>0</v>
      </c>
      <c r="M70" s="139">
        <f>SUMIF(UG_A[#All],"JACAURD",Table57[#All])</f>
        <v>10500</v>
      </c>
      <c r="N70" s="139">
        <f>SUMIF(Table18[#All],"JACAURD",Table90[#All])</f>
        <v>0</v>
      </c>
      <c r="O70" s="139"/>
    </row>
    <row r="71" spans="1:15">
      <c r="A71" s="159" t="s">
        <v>113</v>
      </c>
      <c r="B71" s="133">
        <f t="shared" si="50"/>
        <v>15</v>
      </c>
      <c r="C71" s="140">
        <f>COUNTIFS(Table28[#All],"*GEORGETTE*")</f>
        <v>3</v>
      </c>
      <c r="D71" s="133">
        <f t="shared" si="51"/>
        <v>12</v>
      </c>
      <c r="E71" s="133">
        <f>COUNTIF(UG_A[#All],"GEORGETTE")</f>
        <v>12</v>
      </c>
      <c r="F71" s="133">
        <f>COUNTIF(Table18[#All],"GEORGETTE")</f>
        <v>0</v>
      </c>
      <c r="G71" s="135">
        <f t="shared" si="52"/>
        <v>55</v>
      </c>
      <c r="H71" s="135">
        <f>SUMIF(UG_A[#All],"GEORGETTE",Table40[#All])</f>
        <v>45</v>
      </c>
      <c r="I71" s="136">
        <f>SUMIF(Table28[#All],"GEORGETTE",Table29[#All])</f>
        <v>10</v>
      </c>
      <c r="J71" s="133">
        <f>SUMIF(Table18[#All],"GEORGETTE",Table19[#All])</f>
        <v>0</v>
      </c>
      <c r="K71" s="137">
        <f t="shared" si="53"/>
        <v>9625</v>
      </c>
      <c r="L71" s="138">
        <f>SUMIF(Table28[#All],"GEORGETTE",Table73[#All])</f>
        <v>1750</v>
      </c>
      <c r="M71" s="139">
        <f>SUMIF(UG_A[#All],"GEORGETTE",Table57[#All])</f>
        <v>7875</v>
      </c>
      <c r="N71" s="139">
        <f>SUMIF(Table18[#All],"GEORGETTE",Table90[#All])</f>
        <v>0</v>
      </c>
      <c r="O71" s="139"/>
    </row>
    <row r="72" spans="1:15" ht="15.75" customHeight="1">
      <c r="A72" s="194" t="s">
        <v>134</v>
      </c>
      <c r="B72" s="195">
        <f t="shared" ref="B72:N72" si="54">SUM(B70:B71)</f>
        <v>26</v>
      </c>
      <c r="C72" s="196">
        <f t="shared" si="54"/>
        <v>3</v>
      </c>
      <c r="D72" s="195">
        <f t="shared" si="54"/>
        <v>23</v>
      </c>
      <c r="E72" s="195">
        <f t="shared" si="54"/>
        <v>23</v>
      </c>
      <c r="F72" s="195">
        <f t="shared" si="54"/>
        <v>0</v>
      </c>
      <c r="G72" s="195">
        <f t="shared" si="54"/>
        <v>110</v>
      </c>
      <c r="H72" s="197">
        <f t="shared" si="54"/>
        <v>100</v>
      </c>
      <c r="I72" s="198">
        <f t="shared" si="54"/>
        <v>10</v>
      </c>
      <c r="J72" s="195">
        <f t="shared" si="54"/>
        <v>0</v>
      </c>
      <c r="K72" s="199">
        <f t="shared" si="54"/>
        <v>20125</v>
      </c>
      <c r="L72" s="200">
        <f t="shared" si="54"/>
        <v>1750</v>
      </c>
      <c r="M72" s="201">
        <f t="shared" si="54"/>
        <v>18375</v>
      </c>
      <c r="N72" s="195">
        <f t="shared" si="54"/>
        <v>0</v>
      </c>
      <c r="O72" s="201">
        <f>'SILK - SOLD'!L371</f>
        <v>1157.7</v>
      </c>
    </row>
    <row r="73" spans="1:15" ht="15.75" customHeight="1">
      <c r="A73" s="202"/>
      <c r="B73" s="203"/>
      <c r="C73" s="204"/>
      <c r="D73" s="203"/>
      <c r="E73" s="203"/>
      <c r="F73" s="203"/>
      <c r="G73" s="203"/>
      <c r="H73" s="205"/>
      <c r="I73" s="206"/>
      <c r="J73" s="205"/>
      <c r="K73" s="207"/>
      <c r="L73" s="208"/>
      <c r="M73" s="209"/>
      <c r="N73" s="209"/>
      <c r="O73" s="209"/>
    </row>
    <row r="74" spans="1:15">
      <c r="A74" s="160" t="s">
        <v>41</v>
      </c>
      <c r="B74" s="125"/>
      <c r="C74" s="126"/>
      <c r="D74" s="125"/>
      <c r="E74" s="125"/>
      <c r="F74" s="125"/>
      <c r="G74" s="125"/>
      <c r="H74" s="127"/>
      <c r="I74" s="128"/>
      <c r="J74" s="125"/>
      <c r="K74" s="129"/>
      <c r="L74" s="130"/>
      <c r="M74" s="131"/>
      <c r="N74" s="131"/>
      <c r="O74" s="131"/>
    </row>
    <row r="75" spans="1:15" ht="15.75" customHeight="1">
      <c r="A75" s="210" t="s">
        <v>115</v>
      </c>
      <c r="B75" s="133">
        <f t="shared" ref="B75:B79" si="55">C75+F75+E75</f>
        <v>4</v>
      </c>
      <c r="C75" s="140">
        <f>COUNTIFS(Table30[#All],"SATIN")</f>
        <v>2</v>
      </c>
      <c r="D75" s="133">
        <f t="shared" ref="D75:D79" si="56">F75+E75</f>
        <v>2</v>
      </c>
      <c r="E75" s="133">
        <f>COUNTIF(CAVA_A[#All],"SATIN")</f>
        <v>1</v>
      </c>
      <c r="F75" s="133">
        <f>COUNTIFS(Table46[#All],"SATIN")</f>
        <v>1</v>
      </c>
      <c r="G75" s="135">
        <f t="shared" ref="G75:G79" si="57">H75+I75+J75</f>
        <v>19.3</v>
      </c>
      <c r="H75" s="135">
        <f>SUMIF(CAVA_A[#All],"SATIN",CAVA_AV[#All])</f>
        <v>5</v>
      </c>
      <c r="I75" s="136">
        <f>SUMIF(Table30[#All],"SATIN",CAVA_SO[#All])</f>
        <v>9.9</v>
      </c>
      <c r="J75" s="135">
        <f>SUMIF(Table46[#All],"SATIN",Table24[#All])</f>
        <v>4.4000000000000004</v>
      </c>
      <c r="K75" s="137">
        <f t="shared" ref="K75:K79" si="58">M75+L75+N75</f>
        <v>3860</v>
      </c>
      <c r="L75" s="138">
        <f>SUMIF(Table30[#All],"SATIN",Table74[#All])</f>
        <v>1980</v>
      </c>
      <c r="M75" s="139">
        <f>SUMIF(CAVA_A[#All],"SATIN",Table58[#All])</f>
        <v>1000</v>
      </c>
      <c r="N75" s="139">
        <f>SUMIF(Table46[#All],"SATIN",Table91[#All])</f>
        <v>880.00000000000011</v>
      </c>
      <c r="O75" s="139"/>
    </row>
    <row r="76" spans="1:15" ht="15.75" customHeight="1">
      <c r="A76" s="211" t="s">
        <v>135</v>
      </c>
      <c r="B76" s="133">
        <f t="shared" si="55"/>
        <v>1</v>
      </c>
      <c r="C76" s="140">
        <f>COUNTIFS(Table30[#All],"MILANO_SATIN")</f>
        <v>0</v>
      </c>
      <c r="D76" s="133">
        <f t="shared" si="56"/>
        <v>1</v>
      </c>
      <c r="E76" s="133">
        <f>COUNTIF(CAVA_A[#All],"MILANO_SATIN")</f>
        <v>1</v>
      </c>
      <c r="F76" s="133">
        <f>COUNTIFS(Table46[#All],"MILANO_SATIN")</f>
        <v>0</v>
      </c>
      <c r="G76" s="135">
        <f t="shared" si="57"/>
        <v>5</v>
      </c>
      <c r="H76" s="135">
        <f>SUMIF(CAVA_A[#All],"MILANO_SATIN",CAVA_AV[#All])</f>
        <v>5</v>
      </c>
      <c r="I76" s="136">
        <f>SUMIF(Table30[#All],"MILANO_SATIN",CAVA_SO[#All])</f>
        <v>0</v>
      </c>
      <c r="J76" s="135">
        <f>SUMIF(Table46[#All],"MILANO_SATIN",Table24[#All])</f>
        <v>0</v>
      </c>
      <c r="K76" s="137">
        <f t="shared" si="58"/>
        <v>725</v>
      </c>
      <c r="L76" s="138">
        <f>SUMIF(Table30[#All],"MILANO_SATIN",Table74[#All])</f>
        <v>0</v>
      </c>
      <c r="M76" s="139">
        <f>SUMIF(CAVA_A[#All],"MILANO_SATIN",Table58[#All])</f>
        <v>725</v>
      </c>
      <c r="N76" s="139">
        <f>SUMIF(Table46[#All],"MILANO_SATIN",Table91[#All])</f>
        <v>0</v>
      </c>
      <c r="O76" s="139"/>
    </row>
    <row r="77" spans="1:15" ht="15.75" customHeight="1">
      <c r="A77" s="210" t="s">
        <v>112</v>
      </c>
      <c r="B77" s="133">
        <f t="shared" si="55"/>
        <v>4</v>
      </c>
      <c r="C77" s="140">
        <f>COUNTIFS(Table30[#All],"*CDC*")</f>
        <v>2</v>
      </c>
      <c r="D77" s="133">
        <f t="shared" si="56"/>
        <v>2</v>
      </c>
      <c r="E77" s="133">
        <f>COUNTIF(CAVA_A[#All],"CDC")</f>
        <v>2</v>
      </c>
      <c r="F77" s="133">
        <f>COUNTIFS(Table46[#All],"*CDC*")</f>
        <v>0</v>
      </c>
      <c r="G77" s="135">
        <f t="shared" si="57"/>
        <v>16.600000000000001</v>
      </c>
      <c r="H77" s="135">
        <f>SUMIF(CAVA_A[#All],"CDC",CAVA_AV[#All])</f>
        <v>8.4</v>
      </c>
      <c r="I77" s="136">
        <f>SUMIF(Table30[#All],"CDC",CAVA_SO[#All])</f>
        <v>8.1999999999999993</v>
      </c>
      <c r="J77" s="135">
        <f>SUMIF(Table46[#All],"CDC",Table24[#All])</f>
        <v>0</v>
      </c>
      <c r="K77" s="137">
        <f t="shared" si="58"/>
        <v>2324</v>
      </c>
      <c r="L77" s="138">
        <f>SUMIF(Table30[#All],"CDC",Table74[#All])</f>
        <v>1148</v>
      </c>
      <c r="M77" s="139">
        <f>SUMIF(CAVA_A[#All],"CDC",Table58[#All])</f>
        <v>1176</v>
      </c>
      <c r="N77" s="139">
        <f>SUMIF(Table46[#All],"CDC",Table91[#All])</f>
        <v>0</v>
      </c>
      <c r="O77" s="139"/>
    </row>
    <row r="78" spans="1:15" ht="15.75" customHeight="1">
      <c r="A78" s="211" t="s">
        <v>136</v>
      </c>
      <c r="B78" s="133">
        <f t="shared" si="55"/>
        <v>1</v>
      </c>
      <c r="C78" s="212">
        <f>COUNTIFS(Table30[#All],"*FIL_COUPE*")</f>
        <v>0</v>
      </c>
      <c r="D78" s="133">
        <f t="shared" si="56"/>
        <v>1</v>
      </c>
      <c r="E78" s="213">
        <f>COUNTIF(CAVA_A[#All],"FIL_COUPE")</f>
        <v>1</v>
      </c>
      <c r="F78" s="213">
        <f>COUNTIFS(Table46[#All],"*FIL_COUPE*")</f>
        <v>0</v>
      </c>
      <c r="G78" s="135">
        <f t="shared" si="57"/>
        <v>5.8</v>
      </c>
      <c r="H78" s="214">
        <f>SUMIF(CAVA_A[#All],"FIL_COUPE",CAVA_AV[#All])</f>
        <v>5.8</v>
      </c>
      <c r="I78" s="215">
        <f>SUMIF(Table30[#All],"FIL_COUPE",CAVA_SO[#All])</f>
        <v>0</v>
      </c>
      <c r="J78" s="214">
        <f>SUMIF(Table46[#All],"FIL_COUPE",Table24[#All])</f>
        <v>0</v>
      </c>
      <c r="K78" s="137">
        <f t="shared" si="58"/>
        <v>2900</v>
      </c>
      <c r="L78" s="216">
        <f>SUMIF(Table30[#All],"FIL_COUPE",Table74[#All])</f>
        <v>0</v>
      </c>
      <c r="M78" s="217">
        <f>SUMIF(CAVA_A[#All],"FIL_COUPE",Table58[#All])</f>
        <v>2900</v>
      </c>
      <c r="N78" s="217">
        <f>SUMIF(Table46[#All],"FIL_COUPE",Table91[#All])</f>
        <v>0</v>
      </c>
      <c r="O78" s="139"/>
    </row>
    <row r="79" spans="1:15" ht="15.75" customHeight="1">
      <c r="A79" s="210" t="s">
        <v>137</v>
      </c>
      <c r="B79" s="133">
        <f t="shared" si="55"/>
        <v>1</v>
      </c>
      <c r="C79" s="218">
        <f>COUNTIFS(Table30[#All],"GOLD_LUREX")</f>
        <v>1</v>
      </c>
      <c r="D79" s="133">
        <f t="shared" si="56"/>
        <v>0</v>
      </c>
      <c r="E79" s="219">
        <f>COUNTIF(CAVA_A[#All],"GOLD_LUREX")</f>
        <v>0</v>
      </c>
      <c r="F79" s="219">
        <f>COUNTIFS(Table46[#All],"GOLD_LUREX")</f>
        <v>0</v>
      </c>
      <c r="G79" s="135">
        <f t="shared" si="57"/>
        <v>5</v>
      </c>
      <c r="H79" s="220">
        <f>SUMIF(CAVA_A[#All],"GOLD_LUREX",CAVA_AV[#All])</f>
        <v>0</v>
      </c>
      <c r="I79" s="221">
        <f>SUMIF(Table30[#All],"GOLD_LUREX",CAVA_SO[#All])</f>
        <v>5</v>
      </c>
      <c r="J79" s="220">
        <f>SUMIF(Table46[#All],"GOLD_LUREX",Table24[#All])</f>
        <v>0</v>
      </c>
      <c r="K79" s="137">
        <f t="shared" si="58"/>
        <v>2000</v>
      </c>
      <c r="L79" s="222">
        <f>SUMIF(Table30[#All],"GOLD_LUREX",Table74[#All])</f>
        <v>2000</v>
      </c>
      <c r="M79" s="223">
        <f>SUMIF(CAVA_A[#All],"GOLD_LUREX",Table58[#All])</f>
        <v>0</v>
      </c>
      <c r="N79" s="223">
        <f>SUMIF(Table46[#All],"GOLD_LUREX",Table91[#All])</f>
        <v>0</v>
      </c>
      <c r="O79" s="139"/>
    </row>
    <row r="80" spans="1:15" ht="15.75" customHeight="1">
      <c r="A80" s="194" t="s">
        <v>138</v>
      </c>
      <c r="B80" s="195">
        <f t="shared" ref="B80:N80" si="59">SUM(B75:B79)</f>
        <v>11</v>
      </c>
      <c r="C80" s="196">
        <f t="shared" si="59"/>
        <v>5</v>
      </c>
      <c r="D80" s="195">
        <f t="shared" si="59"/>
        <v>6</v>
      </c>
      <c r="E80" s="195">
        <f t="shared" si="59"/>
        <v>5</v>
      </c>
      <c r="F80" s="195">
        <f t="shared" si="59"/>
        <v>1</v>
      </c>
      <c r="G80" s="197">
        <f t="shared" si="59"/>
        <v>51.7</v>
      </c>
      <c r="H80" s="197">
        <f t="shared" si="59"/>
        <v>24.2</v>
      </c>
      <c r="I80" s="198">
        <f t="shared" si="59"/>
        <v>23.1</v>
      </c>
      <c r="J80" s="197">
        <f t="shared" si="59"/>
        <v>4.4000000000000004</v>
      </c>
      <c r="K80" s="201">
        <f t="shared" si="59"/>
        <v>11809</v>
      </c>
      <c r="L80" s="200">
        <f t="shared" si="59"/>
        <v>5128</v>
      </c>
      <c r="M80" s="201">
        <f t="shared" si="59"/>
        <v>5801</v>
      </c>
      <c r="N80" s="201">
        <f t="shared" si="59"/>
        <v>880.00000000000011</v>
      </c>
      <c r="O80" s="201">
        <f>'SILK - SOLD'!L382</f>
        <v>5187.2</v>
      </c>
    </row>
    <row r="81" spans="1:15" ht="15.75" customHeight="1">
      <c r="A81" s="224"/>
      <c r="B81" s="225"/>
      <c r="C81" s="226"/>
      <c r="D81" s="225"/>
      <c r="E81" s="225"/>
      <c r="F81" s="225"/>
      <c r="G81" s="225"/>
      <c r="H81" s="227"/>
      <c r="I81" s="228"/>
      <c r="J81" s="227"/>
      <c r="K81" s="229"/>
      <c r="L81" s="230"/>
      <c r="M81" s="231"/>
      <c r="N81" s="231"/>
      <c r="O81" s="231"/>
    </row>
    <row r="82" spans="1:15">
      <c r="A82" s="160" t="s">
        <v>42</v>
      </c>
      <c r="B82" s="125"/>
      <c r="C82" s="126"/>
      <c r="D82" s="125"/>
      <c r="E82" s="125"/>
      <c r="F82" s="125"/>
      <c r="G82" s="125"/>
      <c r="H82" s="127"/>
      <c r="I82" s="128"/>
      <c r="J82" s="125"/>
      <c r="K82" s="129"/>
      <c r="L82" s="130"/>
      <c r="M82" s="131"/>
      <c r="N82" s="131"/>
      <c r="O82" s="131"/>
    </row>
    <row r="83" spans="1:15">
      <c r="A83" s="159" t="s">
        <v>112</v>
      </c>
      <c r="B83" s="133">
        <f t="shared" ref="B83:B84" si="60">C83+F83+E83</f>
        <v>3</v>
      </c>
      <c r="C83" s="140">
        <f>COUNTIFS(Table31[#All],"CDC")</f>
        <v>0</v>
      </c>
      <c r="D83" s="133">
        <f t="shared" ref="D83:D84" si="61">F83+E83</f>
        <v>3</v>
      </c>
      <c r="E83" s="133">
        <f>COUNTIF(RUFF_A[#All],"CDC")</f>
        <v>3</v>
      </c>
      <c r="F83" s="133">
        <f>COUNTIFS(Table47[#All],"CDC")</f>
        <v>0</v>
      </c>
      <c r="G83" s="135">
        <f t="shared" ref="G83:G84" si="62">H83+I83+J83</f>
        <v>15.5</v>
      </c>
      <c r="H83" s="135">
        <f>SUMIF(RUFF_A[#All],"CDC",RUFFO_A[#All])</f>
        <v>15.5</v>
      </c>
      <c r="I83" s="136">
        <f>SUMIF(Table31[#All],"CDC",RUFFO_SO[#All])</f>
        <v>0</v>
      </c>
      <c r="J83" s="135">
        <f>SUMIF(Table47[#All],"CDC",Table98[#All])</f>
        <v>0</v>
      </c>
      <c r="K83" s="137">
        <f t="shared" ref="K83:K84" si="63">M83+L83+N83</f>
        <v>6200</v>
      </c>
      <c r="L83" s="138">
        <f>SUMIF(Table31[#All],"CDC",RUFFO_SO[#All])</f>
        <v>0</v>
      </c>
      <c r="M83" s="139">
        <f>SUMIF(RUFF_A[#All],"CDC",Table59[#All])</f>
        <v>6200</v>
      </c>
      <c r="N83" s="135">
        <f>SUMIF(Table47[#All],"CDC",Table92[#All])</f>
        <v>0</v>
      </c>
      <c r="O83" s="139"/>
    </row>
    <row r="84" spans="1:15">
      <c r="A84" s="159" t="s">
        <v>139</v>
      </c>
      <c r="B84" s="133">
        <f t="shared" si="60"/>
        <v>25</v>
      </c>
      <c r="C84" s="140">
        <f>COUNTIFS(Table31[#All],"LUREX_ON_CHIFFON_DELUX")</f>
        <v>2</v>
      </c>
      <c r="D84" s="133">
        <f t="shared" si="61"/>
        <v>23</v>
      </c>
      <c r="E84" s="133">
        <f>COUNTIF(RUFF_A[#All],"LUREX_ON_CHIFFON_DELUX")</f>
        <v>23</v>
      </c>
      <c r="F84" s="133">
        <f>COUNTIFS(Table47[#All],"LUREX_ON_CHIFFON_DELUX")</f>
        <v>0</v>
      </c>
      <c r="G84" s="135">
        <f t="shared" si="62"/>
        <v>125</v>
      </c>
      <c r="H84" s="135">
        <f>SUMIF(RUFF_A[#All],"LUREX_ON_CHIFFON_DELUX",RUFFO_A[#All])</f>
        <v>115</v>
      </c>
      <c r="I84" s="136">
        <f>SUMIF(Table31[#All],"LUREX_ON_CHIFFON_DELUX",RUFFO_SO[#All])</f>
        <v>10</v>
      </c>
      <c r="J84" s="135">
        <f>SUMIF(Table47[#All],"LUREX_ON_CHIFFON_DELUX",Table98[#All])</f>
        <v>0</v>
      </c>
      <c r="K84" s="137">
        <f t="shared" si="63"/>
        <v>58250</v>
      </c>
      <c r="L84" s="138">
        <f>SUMIF(Table31[#All],"LUREX_ON_CHIFFON_DELUX",Table75[#All])</f>
        <v>5500</v>
      </c>
      <c r="M84" s="139">
        <f>SUMIF(RUFF_A[#All],"LUREX_ON_CHIFFON_DELUX",Table59[#All])</f>
        <v>52750</v>
      </c>
      <c r="N84" s="135">
        <f>SUMIF(Table47[#All],"LUREX_ON_CHIFFON_DELUX",Table92[#All])</f>
        <v>0</v>
      </c>
      <c r="O84" s="139"/>
    </row>
    <row r="85" spans="1:15" ht="15.75" customHeight="1">
      <c r="A85" s="194" t="s">
        <v>140</v>
      </c>
      <c r="B85" s="195">
        <f t="shared" ref="B85:N85" si="64">SUM(B83:B84)</f>
        <v>28</v>
      </c>
      <c r="C85" s="196">
        <f t="shared" si="64"/>
        <v>2</v>
      </c>
      <c r="D85" s="195">
        <f t="shared" si="64"/>
        <v>26</v>
      </c>
      <c r="E85" s="195">
        <f t="shared" si="64"/>
        <v>26</v>
      </c>
      <c r="F85" s="195">
        <f t="shared" si="64"/>
        <v>0</v>
      </c>
      <c r="G85" s="197">
        <f t="shared" si="64"/>
        <v>140.5</v>
      </c>
      <c r="H85" s="197">
        <f t="shared" si="64"/>
        <v>130.5</v>
      </c>
      <c r="I85" s="198">
        <f t="shared" si="64"/>
        <v>10</v>
      </c>
      <c r="J85" s="197">
        <f t="shared" si="64"/>
        <v>0</v>
      </c>
      <c r="K85" s="201">
        <f t="shared" si="64"/>
        <v>64450</v>
      </c>
      <c r="L85" s="200">
        <f t="shared" si="64"/>
        <v>5500</v>
      </c>
      <c r="M85" s="201">
        <f t="shared" si="64"/>
        <v>58950</v>
      </c>
      <c r="N85" s="201">
        <f t="shared" si="64"/>
        <v>0</v>
      </c>
      <c r="O85" s="201">
        <f>'SILK - SOLD'!L389</f>
        <v>5060</v>
      </c>
    </row>
    <row r="86" spans="1:15">
      <c r="A86" s="159"/>
      <c r="B86" s="133"/>
      <c r="C86" s="153"/>
      <c r="D86" s="152"/>
      <c r="E86" s="152"/>
      <c r="F86" s="152"/>
      <c r="G86" s="135"/>
      <c r="H86" s="154"/>
      <c r="I86" s="155"/>
      <c r="J86" s="152"/>
      <c r="K86" s="137"/>
      <c r="L86" s="157"/>
      <c r="M86" s="158"/>
      <c r="N86" s="158"/>
      <c r="O86" s="139"/>
    </row>
    <row r="87" spans="1:15">
      <c r="A87" s="160" t="s">
        <v>43</v>
      </c>
      <c r="B87" s="125"/>
      <c r="C87" s="126"/>
      <c r="D87" s="125"/>
      <c r="E87" s="125"/>
      <c r="F87" s="125"/>
      <c r="G87" s="125"/>
      <c r="H87" s="127"/>
      <c r="I87" s="128"/>
      <c r="J87" s="125"/>
      <c r="K87" s="129"/>
      <c r="L87" s="130"/>
      <c r="M87" s="131"/>
      <c r="N87" s="131"/>
      <c r="O87" s="131"/>
    </row>
    <row r="88" spans="1:15">
      <c r="A88" s="159" t="s">
        <v>112</v>
      </c>
      <c r="B88" s="133">
        <f>C88+F88+E88</f>
        <v>38</v>
      </c>
      <c r="C88" s="140">
        <f>COUNTIFS(Table32[#All],"CDC")</f>
        <v>5</v>
      </c>
      <c r="D88" s="133">
        <f>F88+E88</f>
        <v>33</v>
      </c>
      <c r="E88" s="133">
        <f>COUNTIF(SETE_A[#All],"CDC")</f>
        <v>33</v>
      </c>
      <c r="F88" s="133">
        <f>COUNTIFS(Table99[#All],"CDC")</f>
        <v>0</v>
      </c>
      <c r="G88" s="135">
        <f>H88+I88+J88</f>
        <v>164.50000000000006</v>
      </c>
      <c r="H88" s="135">
        <f>SUMIF(SETE_A[#All],"CDC",Table41[#All])</f>
        <v>138.80000000000007</v>
      </c>
      <c r="I88" s="136">
        <f>SUMIF(Table32[#All],"CDC",SETE_SOL[#All])</f>
        <v>25.7</v>
      </c>
      <c r="J88" s="135">
        <f>SUMIF(Table99[#All],"CDC",Table100[#All])</f>
        <v>0</v>
      </c>
      <c r="K88" s="137">
        <f>M88+L88+N88</f>
        <v>18345</v>
      </c>
      <c r="L88" s="138">
        <f>SUMIF(Table32[#All],"CDC",Table76[#All])</f>
        <v>3077</v>
      </c>
      <c r="M88" s="139">
        <f>SUMIF(SETE_A[#All],"CDC",Table60[#All])</f>
        <v>15268</v>
      </c>
      <c r="N88" s="135">
        <f>SUMIF(Table99[#All],"CDC",Table93[#All])</f>
        <v>0</v>
      </c>
      <c r="O88" s="139"/>
    </row>
    <row r="89" spans="1:15" ht="15.75" customHeight="1">
      <c r="A89" s="194" t="s">
        <v>141</v>
      </c>
      <c r="B89" s="195">
        <f t="shared" ref="B89:N89" si="65">SUM(B88)</f>
        <v>38</v>
      </c>
      <c r="C89" s="196">
        <f t="shared" si="65"/>
        <v>5</v>
      </c>
      <c r="D89" s="195">
        <f t="shared" si="65"/>
        <v>33</v>
      </c>
      <c r="E89" s="195">
        <f t="shared" si="65"/>
        <v>33</v>
      </c>
      <c r="F89" s="195">
        <f t="shared" si="65"/>
        <v>0</v>
      </c>
      <c r="G89" s="197">
        <f t="shared" si="65"/>
        <v>164.50000000000006</v>
      </c>
      <c r="H89" s="197">
        <f t="shared" si="65"/>
        <v>138.80000000000007</v>
      </c>
      <c r="I89" s="198">
        <f t="shared" si="65"/>
        <v>25.7</v>
      </c>
      <c r="J89" s="197">
        <f t="shared" si="65"/>
        <v>0</v>
      </c>
      <c r="K89" s="201">
        <f t="shared" si="65"/>
        <v>18345</v>
      </c>
      <c r="L89" s="200">
        <f t="shared" si="65"/>
        <v>3077</v>
      </c>
      <c r="M89" s="201">
        <f t="shared" si="65"/>
        <v>15268</v>
      </c>
      <c r="N89" s="201">
        <f t="shared" si="65"/>
        <v>0</v>
      </c>
      <c r="O89" s="201">
        <f>'SILK - SOLD'!L400</f>
        <v>4484.6000000000004</v>
      </c>
    </row>
    <row r="90" spans="1:15">
      <c r="A90" s="159"/>
      <c r="B90" s="133"/>
      <c r="C90" s="153"/>
      <c r="D90" s="133"/>
      <c r="E90" s="152"/>
      <c r="F90" s="152"/>
      <c r="G90" s="135"/>
      <c r="H90" s="154"/>
      <c r="I90" s="155"/>
      <c r="J90" s="152"/>
      <c r="K90" s="137"/>
      <c r="L90" s="157"/>
      <c r="M90" s="158"/>
      <c r="N90" s="158"/>
      <c r="O90" s="139"/>
    </row>
    <row r="91" spans="1:15">
      <c r="A91" s="160" t="s">
        <v>44</v>
      </c>
      <c r="B91" s="125"/>
      <c r="C91" s="126"/>
      <c r="D91" s="125"/>
      <c r="E91" s="125"/>
      <c r="F91" s="125"/>
      <c r="G91" s="125"/>
      <c r="H91" s="127"/>
      <c r="I91" s="128"/>
      <c r="J91" s="125"/>
      <c r="K91" s="129"/>
      <c r="L91" s="130"/>
      <c r="M91" s="131"/>
      <c r="N91" s="131"/>
      <c r="O91" s="131"/>
    </row>
    <row r="92" spans="1:15">
      <c r="A92" s="159" t="s">
        <v>112</v>
      </c>
      <c r="B92" s="133">
        <f t="shared" ref="B92:B94" si="66">C92+F92+E92</f>
        <v>18</v>
      </c>
      <c r="C92" s="140">
        <f>COUNTIFS(Table33[#All],"CDC")</f>
        <v>7</v>
      </c>
      <c r="D92" s="133">
        <f t="shared" ref="D92:D94" si="67">F92+E92</f>
        <v>11</v>
      </c>
      <c r="E92" s="133">
        <f>COUNTIF(TESSI_A[#All],"CDC")</f>
        <v>11</v>
      </c>
      <c r="F92" s="133">
        <f>COUNTIF(Table101[#All],"CDC")</f>
        <v>0</v>
      </c>
      <c r="G92" s="135">
        <f t="shared" ref="G92:G94" si="68">H92+I92+J92</f>
        <v>86.1</v>
      </c>
      <c r="H92" s="135">
        <f>SUMIF(TESSI_A[#All],"CDC",Table42[#All])</f>
        <v>55.4</v>
      </c>
      <c r="I92" s="136">
        <f>SUMIF(Table33[#All],"CDC",TESSI_SO[#All])</f>
        <v>30.7</v>
      </c>
      <c r="J92" s="135">
        <f>SUMIF(Table101[#All],"CDC",Table102[#All])</f>
        <v>0</v>
      </c>
      <c r="K92" s="137">
        <f t="shared" ref="K92:K94" si="69">M92+L92+N92</f>
        <v>10556.5</v>
      </c>
      <c r="L92" s="138">
        <f>SUMIF(Table33[#All],"CDC",Table77[#All])</f>
        <v>4185.5</v>
      </c>
      <c r="M92" s="139">
        <f>SUMIF(TESSI_A[#All],"CDC",Table61[#All])</f>
        <v>6371</v>
      </c>
      <c r="N92" s="139">
        <f>SUMIF(Table101[#All],"CDC",Table94[#All])</f>
        <v>0</v>
      </c>
      <c r="O92" s="139"/>
    </row>
    <row r="93" spans="1:15">
      <c r="A93" s="159" t="s">
        <v>113</v>
      </c>
      <c r="B93" s="133">
        <f t="shared" si="66"/>
        <v>12</v>
      </c>
      <c r="C93" s="140">
        <f>COUNTIFS(Table33[#All],"GEORGETTE")</f>
        <v>1</v>
      </c>
      <c r="D93" s="133">
        <f t="shared" si="67"/>
        <v>11</v>
      </c>
      <c r="E93" s="133">
        <f>COUNTIF(TESSI_A[#All],"GEORGETTE")</f>
        <v>11</v>
      </c>
      <c r="F93" s="133">
        <f>COUNTIF(Table101[#All],"GEORGETTE")</f>
        <v>0</v>
      </c>
      <c r="G93" s="135">
        <f t="shared" si="68"/>
        <v>59.9</v>
      </c>
      <c r="H93" s="135">
        <f>SUMIF(TESSI_A[#All],"GEORGETTE",Table42[#All])</f>
        <v>54.9</v>
      </c>
      <c r="I93" s="136">
        <f>SUMIF(Table33[#All],"GEORGETTE",TESSI_SO[#All])</f>
        <v>5</v>
      </c>
      <c r="J93" s="135">
        <f>SUMIF(Table101[#All],"GEORGETTE",Table102[#All])</f>
        <v>0</v>
      </c>
      <c r="K93" s="137">
        <f t="shared" si="69"/>
        <v>5690.5</v>
      </c>
      <c r="L93" s="138">
        <f>SUMIF(Table33[#All],"GEORGETTE",Table77[#All])</f>
        <v>475</v>
      </c>
      <c r="M93" s="139">
        <f>SUMIF(TESSI_A[#All],"GEORGETTE",Table61[#All])</f>
        <v>5215.5</v>
      </c>
      <c r="N93" s="139">
        <f>SUMIF(Table101[#All],"GEORGETTE",Table94[#All])</f>
        <v>0</v>
      </c>
      <c r="O93" s="139"/>
    </row>
    <row r="94" spans="1:15">
      <c r="A94" s="159" t="s">
        <v>114</v>
      </c>
      <c r="B94" s="133">
        <f t="shared" si="66"/>
        <v>1</v>
      </c>
      <c r="C94" s="140">
        <f>COUNTIFS(Table33[#All],"CHIFFON")</f>
        <v>0</v>
      </c>
      <c r="D94" s="133">
        <f t="shared" si="67"/>
        <v>1</v>
      </c>
      <c r="E94" s="133">
        <f>COUNTIF(TESSI_A[#All],"CHIFFON")</f>
        <v>0</v>
      </c>
      <c r="F94" s="133">
        <f>COUNTIF(Table101[#All],"CHIFFON")</f>
        <v>1</v>
      </c>
      <c r="G94" s="135">
        <f t="shared" si="68"/>
        <v>5.5</v>
      </c>
      <c r="H94" s="135">
        <f>SUMIF(TESSI_A[#All],"CHIFFON",Table42[#All])</f>
        <v>0</v>
      </c>
      <c r="I94" s="136">
        <f>SUMIF(Table33[#All],"CHIFFON",TESSI_SO[#All])</f>
        <v>0</v>
      </c>
      <c r="J94" s="135">
        <f>SUMIF(Table101[#All],"CHIFFON",Table102[#All])</f>
        <v>5.5</v>
      </c>
      <c r="K94" s="137">
        <f t="shared" si="69"/>
        <v>522.5</v>
      </c>
      <c r="L94" s="138">
        <f>SUMIF(Table33[#All],"CHIFFON",Table77[#All])</f>
        <v>0</v>
      </c>
      <c r="M94" s="139">
        <f>SUMIF(TESSI_A[#All],"CHIFFON",Table61[#All])</f>
        <v>0</v>
      </c>
      <c r="N94" s="139">
        <f>SUMIF(Table101[#All],"CHIFFON",Table94[#All])</f>
        <v>522.5</v>
      </c>
      <c r="O94" s="139"/>
    </row>
    <row r="95" spans="1:15" ht="15.75" customHeight="1">
      <c r="A95" s="194" t="s">
        <v>142</v>
      </c>
      <c r="B95" s="195">
        <f t="shared" ref="B95:N95" si="70">SUM(B92:B94)</f>
        <v>31</v>
      </c>
      <c r="C95" s="196">
        <f t="shared" si="70"/>
        <v>8</v>
      </c>
      <c r="D95" s="195">
        <f t="shared" si="70"/>
        <v>23</v>
      </c>
      <c r="E95" s="195">
        <f t="shared" si="70"/>
        <v>22</v>
      </c>
      <c r="F95" s="195">
        <f t="shared" si="70"/>
        <v>1</v>
      </c>
      <c r="G95" s="197">
        <f t="shared" si="70"/>
        <v>151.5</v>
      </c>
      <c r="H95" s="197">
        <f t="shared" si="70"/>
        <v>110.3</v>
      </c>
      <c r="I95" s="198">
        <f t="shared" si="70"/>
        <v>35.700000000000003</v>
      </c>
      <c r="J95" s="197">
        <f t="shared" si="70"/>
        <v>5.5</v>
      </c>
      <c r="K95" s="201">
        <f t="shared" si="70"/>
        <v>16769.5</v>
      </c>
      <c r="L95" s="200">
        <f t="shared" si="70"/>
        <v>4660.5</v>
      </c>
      <c r="M95" s="201">
        <f t="shared" si="70"/>
        <v>11586.5</v>
      </c>
      <c r="N95" s="201">
        <f t="shared" si="70"/>
        <v>522.5</v>
      </c>
      <c r="O95" s="201">
        <f>'SILK - SOLD'!L413</f>
        <v>4286.3</v>
      </c>
    </row>
    <row r="96" spans="1:15">
      <c r="A96" s="152"/>
      <c r="B96" s="133"/>
      <c r="C96" s="153"/>
      <c r="D96" s="133"/>
      <c r="F96" s="152"/>
      <c r="G96" s="135"/>
      <c r="H96" s="154"/>
      <c r="I96" s="155"/>
      <c r="J96" s="152"/>
      <c r="K96" s="137"/>
      <c r="L96" s="157"/>
      <c r="M96" s="158"/>
      <c r="N96" s="158"/>
      <c r="O96" s="139"/>
    </row>
    <row r="97" spans="1:15">
      <c r="A97" s="160" t="s">
        <v>45</v>
      </c>
      <c r="B97" s="125"/>
      <c r="C97" s="126"/>
      <c r="D97" s="125"/>
      <c r="E97" s="125"/>
      <c r="F97" s="125"/>
      <c r="G97" s="125"/>
      <c r="H97" s="127"/>
      <c r="I97" s="128"/>
      <c r="J97" s="125"/>
      <c r="K97" s="129"/>
      <c r="L97" s="130"/>
      <c r="M97" s="131"/>
      <c r="N97" s="131"/>
      <c r="O97" s="131"/>
    </row>
    <row r="98" spans="1:15">
      <c r="A98" s="159" t="s">
        <v>112</v>
      </c>
      <c r="B98" s="133">
        <f t="shared" ref="B98:B103" si="71">C98+F98+E98</f>
        <v>10</v>
      </c>
      <c r="C98" s="140">
        <f>COUNTIFS(Table34[#All],"CDC")</f>
        <v>1</v>
      </c>
      <c r="D98" s="133">
        <f t="shared" ref="D98:D103" si="72">F98+E98</f>
        <v>9</v>
      </c>
      <c r="E98" s="133">
        <f>COUNTIF(QUO_A[#All],"CDC")</f>
        <v>9</v>
      </c>
      <c r="F98" s="133">
        <f>COUNTIF(Table103[#All],"CDC")</f>
        <v>0</v>
      </c>
      <c r="G98" s="135">
        <f t="shared" ref="G98:G103" si="73">H98+I98+J98</f>
        <v>49.999999999999993</v>
      </c>
      <c r="H98" s="135">
        <f>SUMIF(QUO_A[#All],"CDC",QUO_AV[#All])</f>
        <v>45.099999999999994</v>
      </c>
      <c r="I98" s="136">
        <f>SUMIF(Table34[#All],"CDC",QUO_SO[#All])</f>
        <v>4.9000000000000004</v>
      </c>
      <c r="J98" s="135">
        <f>SUMIF(Table103[#All],"CDC",Table104[#All])</f>
        <v>0</v>
      </c>
      <c r="K98" s="137">
        <f t="shared" ref="K98:K103" si="74">M98+L98+N98</f>
        <v>5500</v>
      </c>
      <c r="L98" s="138">
        <f>SUMIF(Table34[#All],"CDC",Table78[#All])</f>
        <v>539</v>
      </c>
      <c r="M98" s="139">
        <f>SUMIF(QUO_A[#All],"CDC",Table62[#All])</f>
        <v>4961</v>
      </c>
      <c r="N98" s="139">
        <f>SUMIF(Table103[#All],"CDC",Table95[#All])</f>
        <v>0</v>
      </c>
      <c r="O98" s="139"/>
    </row>
    <row r="99" spans="1:15">
      <c r="A99" s="159" t="s">
        <v>114</v>
      </c>
      <c r="B99" s="133">
        <f t="shared" si="71"/>
        <v>1</v>
      </c>
      <c r="C99" s="140">
        <f>COUNTIFS(Table34[#All],"CHIFFON")</f>
        <v>0</v>
      </c>
      <c r="D99" s="133">
        <f t="shared" si="72"/>
        <v>1</v>
      </c>
      <c r="E99" s="133">
        <f>COUNTIF(QUO_A[#All],"CHIFFON")</f>
        <v>1</v>
      </c>
      <c r="F99" s="133">
        <f>COUNTIF(Table103[#All],"CHIFFON")</f>
        <v>0</v>
      </c>
      <c r="G99" s="135">
        <f t="shared" si="73"/>
        <v>3.5</v>
      </c>
      <c r="H99" s="135">
        <f>SUMIF(QUO_A[#All],"CHIFFON",QUO_AV[#All])</f>
        <v>3.5</v>
      </c>
      <c r="I99" s="136">
        <f>SUMIF(Table34[#All],"CHIFFON",QUO_SO[#All])</f>
        <v>0</v>
      </c>
      <c r="J99" s="135">
        <f>SUMIF(Table103[#All],"CHIFFON",Table104[#All])</f>
        <v>0</v>
      </c>
      <c r="K99" s="137">
        <f t="shared" si="74"/>
        <v>350</v>
      </c>
      <c r="L99" s="138">
        <f>SUMIF(Table34[#All],"CHIFFON",Table78[#All])</f>
        <v>0</v>
      </c>
      <c r="M99" s="139">
        <f>SUMIF(QUO_A[#All],"CHIFFON",Table62[#All])</f>
        <v>350</v>
      </c>
      <c r="N99" s="139">
        <f>SUMIF(Table103[#All],"CHIFFON",Table95[#All])</f>
        <v>0</v>
      </c>
      <c r="O99" s="139"/>
    </row>
    <row r="100" spans="1:15">
      <c r="A100" s="159" t="s">
        <v>113</v>
      </c>
      <c r="B100" s="133">
        <f t="shared" si="71"/>
        <v>1</v>
      </c>
      <c r="C100" s="140">
        <f>COUNTIFS(Table34[#All],"GEORGETTE")</f>
        <v>0</v>
      </c>
      <c r="D100" s="133">
        <f t="shared" si="72"/>
        <v>1</v>
      </c>
      <c r="E100" s="133">
        <f>COUNTIF(QUO_A[#All],"GEORGETTE")</f>
        <v>1</v>
      </c>
      <c r="F100" s="133">
        <f>COUNTIF(Table103[#All],"GEORGETTE")</f>
        <v>0</v>
      </c>
      <c r="G100" s="135">
        <f t="shared" si="73"/>
        <v>5</v>
      </c>
      <c r="H100" s="135">
        <f>SUMIF(QUO_A[#All],"GEORGETTE",QUO_AV[#All])</f>
        <v>5</v>
      </c>
      <c r="I100" s="136">
        <f>SUMIF(Table34[#All],"GEORGETTE",QUO_SO[#All])</f>
        <v>0</v>
      </c>
      <c r="J100" s="135">
        <f>SUMIF(Table103[#All],"GEORGETTE",Table104[#All])</f>
        <v>0</v>
      </c>
      <c r="K100" s="137">
        <f t="shared" si="74"/>
        <v>500</v>
      </c>
      <c r="L100" s="138">
        <f>SUMIF(Table34[#All],"GEORGETTE",Table78[#All])</f>
        <v>0</v>
      </c>
      <c r="M100" s="139">
        <f>SUMIF(QUO_A[#All],"GEORGETTE",Table62[#All])</f>
        <v>500</v>
      </c>
      <c r="N100" s="139">
        <f>SUMIF(Table103[#All],"GEORGETTE",Table95[#All])</f>
        <v>0</v>
      </c>
      <c r="O100" s="139"/>
    </row>
    <row r="101" spans="1:15">
      <c r="A101" s="159" t="s">
        <v>119</v>
      </c>
      <c r="B101" s="133">
        <f t="shared" si="71"/>
        <v>2</v>
      </c>
      <c r="C101" s="140">
        <f>COUNTIFS(Table34[#All],"JACQUARD")</f>
        <v>0</v>
      </c>
      <c r="D101" s="133">
        <f t="shared" si="72"/>
        <v>2</v>
      </c>
      <c r="E101" s="133">
        <f>COUNTIF(QUO_A[#All],"JACQUARD")</f>
        <v>2</v>
      </c>
      <c r="F101" s="133">
        <f>COUNTIF(Table103[#All],"JACQUARD")</f>
        <v>0</v>
      </c>
      <c r="G101" s="135">
        <f t="shared" si="73"/>
        <v>10</v>
      </c>
      <c r="H101" s="135">
        <f>SUMIF(QUO_A[#All],"JACQUARD",QUO_AV[#All])</f>
        <v>10</v>
      </c>
      <c r="I101" s="136">
        <f>SUMIF(Table34[#All],"JACQUARD",QUO_SO[#All])</f>
        <v>0</v>
      </c>
      <c r="J101" s="135">
        <f>SUMIF(Table103[#All],"JACQUARD",Table104[#All])</f>
        <v>0</v>
      </c>
      <c r="K101" s="137">
        <f t="shared" si="74"/>
        <v>1000</v>
      </c>
      <c r="L101" s="138">
        <f>SUMIF(Table34[#All],"JACQUARD",Table78[#All])</f>
        <v>0</v>
      </c>
      <c r="M101" s="139">
        <f>SUMIF(QUO_A[#All],"JACQUARD",Table62[#All])</f>
        <v>1000</v>
      </c>
      <c r="N101" s="139">
        <f>SUMIF(Table103[#All],"JACQUARD",Table95[#All])</f>
        <v>0</v>
      </c>
      <c r="O101" s="139"/>
    </row>
    <row r="102" spans="1:15">
      <c r="A102" s="159" t="s">
        <v>124</v>
      </c>
      <c r="B102" s="133">
        <f t="shared" si="71"/>
        <v>8</v>
      </c>
      <c r="C102" s="140">
        <f>COUNTIFS(Table34[#All],"PRINTED_LACE")</f>
        <v>0</v>
      </c>
      <c r="D102" s="133">
        <f t="shared" si="72"/>
        <v>8</v>
      </c>
      <c r="E102" s="133">
        <f>COUNTIF(QUO_A[#All],"PRINTED_LACE")</f>
        <v>7</v>
      </c>
      <c r="F102" s="133">
        <f>COUNTIF(Table103[#All],"PRINTED_LACE")</f>
        <v>1</v>
      </c>
      <c r="G102" s="135">
        <f t="shared" si="73"/>
        <v>36.9</v>
      </c>
      <c r="H102" s="135">
        <f>SUMIF(QUO_A[#All],"PRINTED_LACE",QUO_AV[#All])</f>
        <v>32.4</v>
      </c>
      <c r="I102" s="136">
        <f>SUMIF(Table34[#All],"PRINTED_LACE",QUO_SO[#All])</f>
        <v>0</v>
      </c>
      <c r="J102" s="135">
        <f>SUMIF(Table103[#All],"PRINTED_LACE",Table104[#All])</f>
        <v>4.5</v>
      </c>
      <c r="K102" s="137">
        <f t="shared" si="74"/>
        <v>3690</v>
      </c>
      <c r="L102" s="138">
        <f>SUMIF(Table34[#All],"PRINTED_LACE",Table78[#All])</f>
        <v>0</v>
      </c>
      <c r="M102" s="139">
        <f>SUMIF(QUO_A[#All],"PRINTED_LACE",Table62[#All])</f>
        <v>3240</v>
      </c>
      <c r="N102" s="139">
        <f>SUMIF(Table103[#All],"PRINTED_LACE",Table95[#All])</f>
        <v>450</v>
      </c>
      <c r="O102" s="139"/>
    </row>
    <row r="103" spans="1:15">
      <c r="A103" s="159" t="s">
        <v>143</v>
      </c>
      <c r="B103" s="133">
        <f t="shared" si="71"/>
        <v>2</v>
      </c>
      <c r="C103" s="140">
        <f>COUNTIFS(Table34[#All],"SATIN_JACQUARD")</f>
        <v>0</v>
      </c>
      <c r="D103" s="133">
        <f t="shared" si="72"/>
        <v>2</v>
      </c>
      <c r="E103" s="133">
        <f>COUNTIF(QUO_A[#All],"SATIN_JACQUARD")</f>
        <v>0</v>
      </c>
      <c r="F103" s="133">
        <f>COUNTIF(Table103[#All],"SATIN_JACQUARD")</f>
        <v>2</v>
      </c>
      <c r="G103" s="135">
        <f t="shared" si="73"/>
        <v>12</v>
      </c>
      <c r="H103" s="135">
        <f>SUMIF(QUO_A[#All],"SATIN_JACQUARD",QUO_AV[#All])</f>
        <v>0</v>
      </c>
      <c r="I103" s="136">
        <f>SUMIF(Table34[#All],"SATIN_JACQUARD",QUO_SO[#All])</f>
        <v>0</v>
      </c>
      <c r="J103" s="135">
        <f>SUMIF(Table103[#All],"SATIN_JACQUARD",Table104[#All])</f>
        <v>12</v>
      </c>
      <c r="K103" s="137">
        <f t="shared" si="74"/>
        <v>1200</v>
      </c>
      <c r="L103" s="138">
        <f>SUMIF(Table34[#All],"SATIN_JACQUARD",Table78[#All])</f>
        <v>0</v>
      </c>
      <c r="M103" s="139">
        <f>SUMIF(QUO_A[#All],"SATIN_JACQUARD",Table62[#All])</f>
        <v>0</v>
      </c>
      <c r="N103" s="139">
        <f>SUMIF(Table103[#All],"SATIN_JACQUARD",Table95[#All])</f>
        <v>1200</v>
      </c>
      <c r="O103" s="139"/>
    </row>
    <row r="104" spans="1:15" ht="15.75" customHeight="1">
      <c r="A104" s="194" t="s">
        <v>144</v>
      </c>
      <c r="B104" s="195">
        <f t="shared" ref="B104:N104" si="75">SUM(B98:B103)</f>
        <v>24</v>
      </c>
      <c r="C104" s="196">
        <f t="shared" si="75"/>
        <v>1</v>
      </c>
      <c r="D104" s="195">
        <f t="shared" si="75"/>
        <v>23</v>
      </c>
      <c r="E104" s="195">
        <f t="shared" si="75"/>
        <v>20</v>
      </c>
      <c r="F104" s="195">
        <f t="shared" si="75"/>
        <v>3</v>
      </c>
      <c r="G104" s="197">
        <f t="shared" si="75"/>
        <v>117.4</v>
      </c>
      <c r="H104" s="197">
        <f t="shared" si="75"/>
        <v>96</v>
      </c>
      <c r="I104" s="198">
        <f t="shared" si="75"/>
        <v>4.9000000000000004</v>
      </c>
      <c r="J104" s="197">
        <f t="shared" si="75"/>
        <v>16.5</v>
      </c>
      <c r="K104" s="201">
        <f t="shared" si="75"/>
        <v>12240</v>
      </c>
      <c r="L104" s="200">
        <f t="shared" si="75"/>
        <v>539</v>
      </c>
      <c r="M104" s="201">
        <f t="shared" si="75"/>
        <v>10051</v>
      </c>
      <c r="N104" s="201">
        <f t="shared" si="75"/>
        <v>1650</v>
      </c>
      <c r="O104" s="201">
        <f>'SILK - SOLD'!L423</f>
        <v>377.29999999999995</v>
      </c>
    </row>
    <row r="105" spans="1:15">
      <c r="A105" s="159"/>
      <c r="B105" s="133"/>
      <c r="C105" s="153"/>
      <c r="D105" s="133"/>
      <c r="E105" s="152"/>
      <c r="F105" s="152"/>
      <c r="G105" s="135"/>
      <c r="H105" s="154"/>
      <c r="I105" s="155"/>
      <c r="J105" s="152"/>
      <c r="K105" s="137"/>
      <c r="L105" s="157"/>
      <c r="M105" s="158"/>
      <c r="N105" s="158"/>
      <c r="O105" s="139"/>
    </row>
    <row r="106" spans="1:15">
      <c r="A106" s="160" t="s">
        <v>46</v>
      </c>
      <c r="B106" s="125"/>
      <c r="C106" s="126"/>
      <c r="D106" s="125"/>
      <c r="E106" s="125"/>
      <c r="F106" s="125"/>
      <c r="G106" s="125"/>
      <c r="H106" s="127"/>
      <c r="I106" s="128"/>
      <c r="J106" s="125"/>
      <c r="K106" s="129"/>
      <c r="L106" s="130"/>
      <c r="M106" s="131"/>
      <c r="N106" s="131"/>
      <c r="O106" s="131"/>
    </row>
    <row r="107" spans="1:15">
      <c r="A107" s="159" t="s">
        <v>112</v>
      </c>
      <c r="B107" s="133">
        <f t="shared" ref="B107:B109" si="76">C107+F107+E107</f>
        <v>11</v>
      </c>
      <c r="C107" s="140">
        <f>COUNTIFS(Table35[#All],"CDC")</f>
        <v>7</v>
      </c>
      <c r="D107" s="133">
        <f t="shared" ref="D107:D109" si="77">F107+E107</f>
        <v>4</v>
      </c>
      <c r="E107" s="133">
        <f>COUNTIF(SILKO_A[#All],"CDC")</f>
        <v>3</v>
      </c>
      <c r="F107" s="133">
        <f>COUNTIF(Table105[#All],"CDC")</f>
        <v>1</v>
      </c>
      <c r="G107" s="135">
        <f t="shared" ref="G107:G109" si="78">H107+I107+J107</f>
        <v>54.9</v>
      </c>
      <c r="H107" s="135">
        <f>SUMIF(SILKO_A[#All],"CDC",Table44[#All])</f>
        <v>15</v>
      </c>
      <c r="I107" s="136">
        <f>SUMIF(Table35[#All],"CDC",SILKO_SO[#All])</f>
        <v>35</v>
      </c>
      <c r="J107" s="135">
        <f>SUMIF(Table105[#All],"CDC",Table106[#All])</f>
        <v>4.9000000000000004</v>
      </c>
      <c r="K107" s="137">
        <f t="shared" ref="K107:K109" si="79">M107+L107+N107</f>
        <v>7476</v>
      </c>
      <c r="L107" s="138">
        <f>SUMIF(Table35[#All],"CDC",Table79[#All])</f>
        <v>4690</v>
      </c>
      <c r="M107" s="139">
        <f>SUMIF(SILKO_A[#All],"CDC",Table63[#All])</f>
        <v>2100</v>
      </c>
      <c r="N107" s="139">
        <f>SUMIF(Table105[#All],"CDC",Table96[#All])</f>
        <v>686</v>
      </c>
      <c r="O107" s="139"/>
    </row>
    <row r="108" spans="1:15">
      <c r="A108" s="185" t="s">
        <v>117</v>
      </c>
      <c r="B108" s="133">
        <f t="shared" si="76"/>
        <v>2</v>
      </c>
      <c r="C108" s="232">
        <f>COUNTIFS(Table35[#All],"LUREX")</f>
        <v>2</v>
      </c>
      <c r="D108" s="233">
        <f t="shared" si="77"/>
        <v>0</v>
      </c>
      <c r="E108" s="233">
        <f>COUNTIF(SILKO_A[#All],"LUREX")</f>
        <v>0</v>
      </c>
      <c r="F108" s="233">
        <f>COUNTIF(Table105[#All],"LUREX")</f>
        <v>0</v>
      </c>
      <c r="G108" s="234">
        <f t="shared" si="78"/>
        <v>10</v>
      </c>
      <c r="H108" s="234">
        <f>SUMIF(SILKO_A[#All],"LUREX",Table44[#All])</f>
        <v>0</v>
      </c>
      <c r="I108" s="235">
        <f>SUMIF(Table35[#All],"LUREX",SILKO_SO[#All])</f>
        <v>10</v>
      </c>
      <c r="J108" s="234">
        <f>SUMIF(Table105[#All],"LUREX",Table106[#All])</f>
        <v>0</v>
      </c>
      <c r="K108" s="236">
        <f t="shared" si="79"/>
        <v>1700</v>
      </c>
      <c r="L108" s="237">
        <f>SUMIF(Table35[#All],"LUREX",Table79[#All])</f>
        <v>1700</v>
      </c>
      <c r="M108" s="238">
        <f>SUMIF(SILKO_A[#All],"LUREX",Table63[#All])</f>
        <v>0</v>
      </c>
      <c r="N108" s="238">
        <f>SUMIF(Table105[#All],"LUREX",Table96[#All])</f>
        <v>0</v>
      </c>
      <c r="O108" s="238"/>
    </row>
    <row r="109" spans="1:15">
      <c r="A109" s="159" t="s">
        <v>114</v>
      </c>
      <c r="B109" s="133">
        <f t="shared" si="76"/>
        <v>11</v>
      </c>
      <c r="C109" s="140">
        <f>COUNTIFS(Table35[#All],"CHIFFON")</f>
        <v>4</v>
      </c>
      <c r="D109" s="133">
        <f t="shared" si="77"/>
        <v>7</v>
      </c>
      <c r="E109" s="133">
        <f>COUNTIF(SILKO_A[#All],"CHIFFON")</f>
        <v>3</v>
      </c>
      <c r="F109" s="133">
        <f>COUNTIF(Table105[#All],"CHIFFON")</f>
        <v>4</v>
      </c>
      <c r="G109" s="135">
        <f t="shared" si="78"/>
        <v>43</v>
      </c>
      <c r="H109" s="135">
        <f>SUMIF(SILKO_A[#All],"CHIFFON",Table44[#All])</f>
        <v>15</v>
      </c>
      <c r="I109" s="136">
        <f>SUMIF(Table35[#All],"CHIFFON",SILKO_SO[#All])</f>
        <v>12</v>
      </c>
      <c r="J109" s="135">
        <f>SUMIF(Table105[#All],"CHIFFON",Table106[#All])</f>
        <v>16</v>
      </c>
      <c r="K109" s="137">
        <f t="shared" si="79"/>
        <v>4300</v>
      </c>
      <c r="L109" s="138">
        <f>SUMIF(Table35[#All],"CHIFFON",Table79[#All])</f>
        <v>1200</v>
      </c>
      <c r="M109" s="139">
        <f>SUMIF(SILKO_A[#All],"CHIFFON",Table63[#All])</f>
        <v>1500</v>
      </c>
      <c r="N109" s="139">
        <f>SUMIF(Table105[#All],"CHIFFON",Table96[#All])</f>
        <v>1600</v>
      </c>
      <c r="O109" s="139"/>
    </row>
    <row r="110" spans="1:15" ht="15.75" customHeight="1">
      <c r="A110" s="194" t="s">
        <v>144</v>
      </c>
      <c r="B110" s="195">
        <f t="shared" ref="B110:N110" si="80">SUM(B105:B109)</f>
        <v>24</v>
      </c>
      <c r="C110" s="196">
        <f t="shared" si="80"/>
        <v>13</v>
      </c>
      <c r="D110" s="195">
        <f t="shared" si="80"/>
        <v>11</v>
      </c>
      <c r="E110" s="195">
        <f t="shared" si="80"/>
        <v>6</v>
      </c>
      <c r="F110" s="195">
        <f t="shared" si="80"/>
        <v>5</v>
      </c>
      <c r="G110" s="197">
        <f t="shared" si="80"/>
        <v>107.9</v>
      </c>
      <c r="H110" s="197">
        <f t="shared" si="80"/>
        <v>30</v>
      </c>
      <c r="I110" s="198">
        <f t="shared" si="80"/>
        <v>57</v>
      </c>
      <c r="J110" s="197">
        <f t="shared" si="80"/>
        <v>20.9</v>
      </c>
      <c r="K110" s="201">
        <f t="shared" si="80"/>
        <v>13476</v>
      </c>
      <c r="L110" s="200">
        <f t="shared" si="80"/>
        <v>7590</v>
      </c>
      <c r="M110" s="201">
        <f t="shared" si="80"/>
        <v>3600</v>
      </c>
      <c r="N110" s="201">
        <f t="shared" si="80"/>
        <v>2286</v>
      </c>
      <c r="O110" s="201">
        <f>'SILK - SOLD'!L447</f>
        <v>7772</v>
      </c>
    </row>
    <row r="111" spans="1:15">
      <c r="A111" s="159"/>
      <c r="B111" s="133"/>
      <c r="C111" s="153"/>
      <c r="D111" s="133"/>
      <c r="E111" s="152"/>
      <c r="F111" s="152"/>
      <c r="G111" s="135"/>
      <c r="H111" s="154"/>
      <c r="I111" s="155"/>
      <c r="J111" s="152"/>
      <c r="K111" s="137"/>
      <c r="L111" s="157"/>
      <c r="M111" s="158"/>
      <c r="N111" s="158"/>
      <c r="O111" s="139"/>
    </row>
    <row r="112" spans="1:15">
      <c r="A112" s="160" t="s">
        <v>47</v>
      </c>
      <c r="B112" s="125"/>
      <c r="C112" s="126"/>
      <c r="D112" s="125"/>
      <c r="E112" s="125"/>
      <c r="F112" s="125"/>
      <c r="G112" s="125"/>
      <c r="H112" s="127"/>
      <c r="I112" s="128"/>
      <c r="J112" s="125"/>
      <c r="K112" s="129"/>
      <c r="L112" s="130"/>
      <c r="M112" s="131"/>
      <c r="N112" s="131"/>
      <c r="O112" s="131"/>
    </row>
    <row r="113" spans="1:15" ht="15.75" customHeight="1">
      <c r="A113" s="224" t="s">
        <v>112</v>
      </c>
      <c r="B113" s="133">
        <f t="shared" ref="B113:B115" si="81">C113+F113+E113</f>
        <v>33</v>
      </c>
      <c r="C113" s="232">
        <f>COUNTIFS(Table37[#All],"CDC")</f>
        <v>16</v>
      </c>
      <c r="D113" s="233">
        <f t="shared" ref="D113:D115" si="82">F113+E113</f>
        <v>17</v>
      </c>
      <c r="E113" s="233">
        <f>COUNTIF(NC_A[#All],"CDC")</f>
        <v>11</v>
      </c>
      <c r="F113" s="233">
        <f>COUNTIF(Table107[#All],"CDC")</f>
        <v>6</v>
      </c>
      <c r="G113" s="234">
        <f t="shared" ref="G113:G115" si="83">H113+I113+J113</f>
        <v>170.1</v>
      </c>
      <c r="H113" s="234">
        <f>SUMIF(NC_A[#All],"CDC",Table43[#All])</f>
        <v>58.3</v>
      </c>
      <c r="I113" s="235">
        <f>SUMIF(Table37[#All],"CDC",Table38[#All])</f>
        <v>81.8</v>
      </c>
      <c r="J113" s="233">
        <f>SUMIF(Table107[#All],"CDC",Table108[#All])</f>
        <v>30</v>
      </c>
      <c r="K113" s="236">
        <f t="shared" ref="K113:K115" si="84">M113+L113+N113</f>
        <v>18954.5</v>
      </c>
      <c r="L113" s="237">
        <f>SUMIF(Table37[#All],"CDC",Table80[#All])</f>
        <v>8821</v>
      </c>
      <c r="M113" s="238">
        <f>SUMIF(NC_A[#All],"CDC",Table64[#All])</f>
        <v>6583.5</v>
      </c>
      <c r="N113" s="238">
        <f>SUMIF(Table107[#All],"CDC",Table97[#All])</f>
        <v>3550</v>
      </c>
      <c r="O113" s="238"/>
    </row>
    <row r="114" spans="1:15" ht="15.75" customHeight="1">
      <c r="A114" s="239" t="s">
        <v>113</v>
      </c>
      <c r="B114" s="133">
        <f t="shared" si="81"/>
        <v>23</v>
      </c>
      <c r="C114" s="240">
        <f>COUNTIFS(Table37[#All],"GEORGETTE")</f>
        <v>5</v>
      </c>
      <c r="D114" s="241">
        <f t="shared" si="82"/>
        <v>18</v>
      </c>
      <c r="E114" s="241">
        <f>COUNTIF(NC_A[#All],"GEORGETTE")</f>
        <v>10</v>
      </c>
      <c r="F114" s="241">
        <f>COUNTIF(Table107[#All],"GEORGETTE")</f>
        <v>8</v>
      </c>
      <c r="G114" s="242">
        <f t="shared" si="83"/>
        <v>106</v>
      </c>
      <c r="H114" s="242">
        <f>SUMIF(NC_A[#All],"GEORGETTE",Table43[#All])</f>
        <v>45.2</v>
      </c>
      <c r="I114" s="243">
        <f>SUMIF(Table37[#All],"GEORGETTE",Table38[#All])</f>
        <v>17.7</v>
      </c>
      <c r="J114" s="241">
        <f>SUMIF(Table107[#All],"GEORGETTE",Table108[#All])</f>
        <v>43.1</v>
      </c>
      <c r="K114" s="244">
        <f t="shared" si="84"/>
        <v>9600.5</v>
      </c>
      <c r="L114" s="245">
        <f>SUMIF(Table37[#All],"GEORGETTE",Table80[#All])</f>
        <v>2084.5</v>
      </c>
      <c r="M114" s="246">
        <f>SUMIF(NC_A[#All],"GEORGETTE",Table64[#All])</f>
        <v>3893</v>
      </c>
      <c r="N114" s="246">
        <f>SUMIF(Table107[#All],"GEORGETTE",Table97[#All])</f>
        <v>3623</v>
      </c>
      <c r="O114" s="246"/>
    </row>
    <row r="115" spans="1:15" ht="15.75" customHeight="1">
      <c r="A115" s="224" t="s">
        <v>117</v>
      </c>
      <c r="B115" s="133">
        <f t="shared" si="81"/>
        <v>3</v>
      </c>
      <c r="C115" s="232">
        <f>COUNTIFS(Table37[#All],"LUREX")</f>
        <v>0</v>
      </c>
      <c r="D115" s="233">
        <f t="shared" si="82"/>
        <v>3</v>
      </c>
      <c r="E115" s="233">
        <f>COUNTIF(NC_A[#All],"LUREX")</f>
        <v>2</v>
      </c>
      <c r="F115" s="233">
        <f>COUNTIF(Table107[#All],"LUREX")</f>
        <v>1</v>
      </c>
      <c r="G115" s="234">
        <f t="shared" si="83"/>
        <v>15</v>
      </c>
      <c r="H115" s="234">
        <f>SUMIF(NC_A[#All],"LUREX",Table43[#All])</f>
        <v>10</v>
      </c>
      <c r="I115" s="235">
        <f>SUMIF(Table37[#All],"LUREX",Table38[#All])</f>
        <v>0</v>
      </c>
      <c r="J115" s="233">
        <f>SUMIF(Table107[#All],"LUREX",Table108[#All])</f>
        <v>5</v>
      </c>
      <c r="K115" s="236">
        <f t="shared" si="84"/>
        <v>2550</v>
      </c>
      <c r="L115" s="237">
        <f>SUMIF(Table37[#All],"LUREX",Table80[#All])</f>
        <v>0</v>
      </c>
      <c r="M115" s="238">
        <f>SUMIF(NC_A[#All],"LUREX",Table64[#All])</f>
        <v>1700</v>
      </c>
      <c r="N115" s="238">
        <f>SUMIF(Table107[#All],"LUREX",Table97[#All])</f>
        <v>850</v>
      </c>
      <c r="O115" s="238"/>
    </row>
    <row r="116" spans="1:15" ht="15.75" customHeight="1">
      <c r="A116" s="194" t="s">
        <v>145</v>
      </c>
      <c r="B116" s="195">
        <f t="shared" ref="B116:N116" si="85">SUM(B113:B115)</f>
        <v>59</v>
      </c>
      <c r="C116" s="196">
        <f t="shared" si="85"/>
        <v>21</v>
      </c>
      <c r="D116" s="195">
        <f t="shared" si="85"/>
        <v>38</v>
      </c>
      <c r="E116" s="195">
        <f t="shared" si="85"/>
        <v>23</v>
      </c>
      <c r="F116" s="195">
        <f t="shared" si="85"/>
        <v>15</v>
      </c>
      <c r="G116" s="197">
        <f t="shared" si="85"/>
        <v>291.10000000000002</v>
      </c>
      <c r="H116" s="197">
        <f t="shared" si="85"/>
        <v>113.5</v>
      </c>
      <c r="I116" s="198">
        <f t="shared" si="85"/>
        <v>99.5</v>
      </c>
      <c r="J116" s="197">
        <f t="shared" si="85"/>
        <v>78.099999999999994</v>
      </c>
      <c r="K116" s="201">
        <f t="shared" si="85"/>
        <v>31105</v>
      </c>
      <c r="L116" s="200">
        <f t="shared" si="85"/>
        <v>10905.5</v>
      </c>
      <c r="M116" s="201">
        <f t="shared" si="85"/>
        <v>12176.5</v>
      </c>
      <c r="N116" s="201">
        <f t="shared" si="85"/>
        <v>8023</v>
      </c>
      <c r="O116" s="201">
        <f>'SILK - SOLD'!L473</f>
        <v>14621.699999999999</v>
      </c>
    </row>
    <row r="117" spans="1:15" ht="15.75" customHeight="1">
      <c r="A117" s="224"/>
      <c r="B117" s="152"/>
      <c r="C117" s="153"/>
      <c r="D117" s="152"/>
      <c r="E117" s="152"/>
      <c r="F117" s="152"/>
      <c r="G117" s="152"/>
      <c r="H117" s="154"/>
      <c r="I117" s="155"/>
      <c r="J117" s="152"/>
      <c r="K117" s="156"/>
      <c r="L117" s="157"/>
      <c r="M117" s="158"/>
      <c r="N117" s="158"/>
      <c r="O117" s="158"/>
    </row>
    <row r="118" spans="1:15">
      <c r="A118" s="247" t="s">
        <v>48</v>
      </c>
      <c r="B118" s="248">
        <f t="shared" ref="B118:O118" si="86">B7+B17+B27+B36+B46+B51+B57+B62+B67+B72+B80+B85+B89+B95+B104+B110+B116</f>
        <v>1049</v>
      </c>
      <c r="C118" s="126">
        <f t="shared" si="86"/>
        <v>358</v>
      </c>
      <c r="D118" s="248">
        <f t="shared" si="86"/>
        <v>691</v>
      </c>
      <c r="E118" s="248">
        <f t="shared" si="86"/>
        <v>647</v>
      </c>
      <c r="F118" s="248">
        <f t="shared" si="86"/>
        <v>44</v>
      </c>
      <c r="G118" s="249">
        <f t="shared" si="86"/>
        <v>5232.0999999999995</v>
      </c>
      <c r="H118" s="249">
        <f t="shared" si="86"/>
        <v>3241.3</v>
      </c>
      <c r="I118" s="128">
        <f t="shared" si="86"/>
        <v>1774.7</v>
      </c>
      <c r="J118" s="249">
        <f t="shared" si="86"/>
        <v>216.1</v>
      </c>
      <c r="K118" s="250">
        <f t="shared" ca="1" si="86"/>
        <v>699279.62</v>
      </c>
      <c r="L118" s="130">
        <f t="shared" si="86"/>
        <v>224661.1</v>
      </c>
      <c r="M118" s="251">
        <f t="shared" ca="1" si="86"/>
        <v>449941.02</v>
      </c>
      <c r="N118" s="251">
        <f t="shared" si="86"/>
        <v>24677.5</v>
      </c>
      <c r="O118" s="250">
        <f t="shared" si="86"/>
        <v>210978.90800000002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  <pageSetUpPr fitToPage="1"/>
  </sheetPr>
  <dimension ref="A1:M746"/>
  <sheetViews>
    <sheetView tabSelected="1" topLeftCell="A82" workbookViewId="0">
      <selection sqref="A1:D1"/>
    </sheetView>
  </sheetViews>
  <sheetFormatPr defaultColWidth="12.6640625" defaultRowHeight="15.75" customHeight="1"/>
  <cols>
    <col min="1" max="1" width="4.44140625" customWidth="1"/>
    <col min="2" max="2" width="13.44140625" customWidth="1"/>
    <col min="3" max="3" width="15.109375" customWidth="1"/>
    <col min="4" max="4" width="19.33203125" customWidth="1"/>
    <col min="5" max="5" width="10.21875" customWidth="1"/>
    <col min="7" max="7" width="17.33203125" customWidth="1"/>
    <col min="8" max="8" width="17.109375" customWidth="1"/>
  </cols>
  <sheetData>
    <row r="1" spans="1:13" ht="16.8">
      <c r="A1" s="930" t="s">
        <v>146</v>
      </c>
      <c r="B1" s="931"/>
      <c r="C1" s="931"/>
      <c r="D1" s="932"/>
      <c r="E1" s="252"/>
      <c r="F1" s="930" t="s">
        <v>147</v>
      </c>
      <c r="G1" s="931"/>
      <c r="H1" s="932"/>
      <c r="I1" s="252"/>
      <c r="J1" s="252"/>
      <c r="K1" s="252"/>
      <c r="L1" s="252"/>
      <c r="M1" s="252"/>
    </row>
    <row r="2" spans="1:13" ht="16.8">
      <c r="A2" s="930" t="s">
        <v>148</v>
      </c>
      <c r="B2" s="931"/>
      <c r="C2" s="932"/>
      <c r="D2" s="253" t="s">
        <v>149</v>
      </c>
      <c r="E2" s="252"/>
      <c r="F2" s="937" t="s">
        <v>150</v>
      </c>
      <c r="G2" s="932"/>
      <c r="H2" s="254"/>
      <c r="I2" s="938" t="s">
        <v>151</v>
      </c>
      <c r="J2" s="929"/>
      <c r="K2" s="929"/>
      <c r="L2" s="929"/>
      <c r="M2" s="929"/>
    </row>
    <row r="3" spans="1:13" ht="16.8">
      <c r="A3" s="939" t="s">
        <v>26</v>
      </c>
      <c r="B3" s="931"/>
      <c r="C3" s="932"/>
      <c r="D3" s="256" t="s">
        <v>152</v>
      </c>
      <c r="E3" s="252"/>
      <c r="F3" s="930" t="s">
        <v>153</v>
      </c>
      <c r="G3" s="932"/>
      <c r="H3" s="257" t="s">
        <v>154</v>
      </c>
      <c r="I3" s="929"/>
      <c r="J3" s="929"/>
      <c r="K3" s="929"/>
      <c r="L3" s="929"/>
      <c r="M3" s="929"/>
    </row>
    <row r="4" spans="1:13" ht="39.75" customHeight="1">
      <c r="A4" s="939" t="s">
        <v>155</v>
      </c>
      <c r="B4" s="931"/>
      <c r="C4" s="932"/>
      <c r="D4" s="258"/>
      <c r="E4" s="252"/>
      <c r="F4" s="939" t="s">
        <v>156</v>
      </c>
      <c r="G4" s="932"/>
      <c r="H4" s="254"/>
      <c r="I4" s="252"/>
      <c r="J4" s="252"/>
      <c r="K4" s="252"/>
      <c r="L4" s="252"/>
      <c r="M4" s="252"/>
    </row>
    <row r="5" spans="1:13" ht="16.8">
      <c r="A5" s="939" t="s">
        <v>157</v>
      </c>
      <c r="B5" s="931"/>
      <c r="C5" s="932"/>
      <c r="D5" s="258"/>
      <c r="E5" s="252"/>
      <c r="F5" s="939" t="s">
        <v>158</v>
      </c>
      <c r="G5" s="932"/>
      <c r="H5" s="252"/>
      <c r="I5" s="940" t="s">
        <v>159</v>
      </c>
      <c r="J5" s="941"/>
      <c r="K5" s="945">
        <f>H83+H189+H321+H402+H448+H481+H497+H535+H547+H575+H586+H617+H655+H682+H707+H718+H746</f>
        <v>449941.02</v>
      </c>
      <c r="L5" s="941"/>
      <c r="M5" s="252"/>
    </row>
    <row r="6" spans="1:13" ht="16.8">
      <c r="A6" s="939" t="s">
        <v>160</v>
      </c>
      <c r="B6" s="931"/>
      <c r="C6" s="932"/>
      <c r="D6" s="258"/>
      <c r="E6" s="259"/>
      <c r="F6" s="939" t="s">
        <v>161</v>
      </c>
      <c r="G6" s="932"/>
      <c r="H6" s="252"/>
      <c r="I6" s="942"/>
      <c r="J6" s="943"/>
      <c r="K6" s="942"/>
      <c r="L6" s="943"/>
      <c r="M6" s="252"/>
    </row>
    <row r="7" spans="1:13" ht="16.8">
      <c r="A7" s="937" t="s">
        <v>162</v>
      </c>
      <c r="B7" s="931"/>
      <c r="C7" s="932"/>
      <c r="D7" s="260">
        <f>D3-(D4+D5+D6)</f>
        <v>1058</v>
      </c>
      <c r="E7" s="259"/>
      <c r="F7" s="939" t="s">
        <v>163</v>
      </c>
      <c r="G7" s="932"/>
      <c r="H7" s="252"/>
      <c r="I7" s="944" t="s">
        <v>104</v>
      </c>
      <c r="J7" s="932"/>
      <c r="K7" s="946">
        <f>E83+E189+E321+E402+E448+E481+E497+E535+E547+E575+E586+E617+E655+E682+E707+E718+E746+8</f>
        <v>3249.2999999999997</v>
      </c>
      <c r="L7" s="932"/>
      <c r="M7" s="252"/>
    </row>
    <row r="8" spans="1:13" ht="16.8">
      <c r="A8" s="252"/>
      <c r="B8" s="252"/>
      <c r="C8" s="252"/>
      <c r="D8" s="252"/>
      <c r="E8" s="259"/>
      <c r="F8" s="939" t="s">
        <v>164</v>
      </c>
      <c r="G8" s="932"/>
      <c r="H8" s="252"/>
      <c r="I8" s="252"/>
      <c r="J8" s="252"/>
      <c r="K8" s="252"/>
      <c r="L8" s="252"/>
      <c r="M8" s="252"/>
    </row>
    <row r="9" spans="1:13" ht="16.8">
      <c r="A9" s="252"/>
      <c r="B9" s="261"/>
      <c r="C9" s="261"/>
      <c r="D9" s="262"/>
      <c r="E9" s="262"/>
      <c r="F9" s="252"/>
      <c r="G9" s="263"/>
      <c r="H9" s="252"/>
      <c r="I9" s="252"/>
      <c r="J9" s="252"/>
      <c r="K9" s="252"/>
      <c r="L9" s="252"/>
      <c r="M9" s="252"/>
    </row>
    <row r="10" spans="1:13" ht="13.2">
      <c r="A10" s="937" t="s">
        <v>162</v>
      </c>
      <c r="B10" s="931"/>
      <c r="C10" s="931"/>
      <c r="D10" s="931"/>
      <c r="E10" s="931"/>
      <c r="F10" s="931"/>
      <c r="G10" s="931"/>
      <c r="H10" s="931"/>
      <c r="I10" s="931"/>
      <c r="J10" s="931"/>
      <c r="K10" s="931"/>
      <c r="L10" s="931"/>
      <c r="M10" s="932"/>
    </row>
    <row r="11" spans="1:13" ht="13.2">
      <c r="A11" s="930" t="s">
        <v>31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2"/>
    </row>
    <row r="12" spans="1:13" ht="22.5" customHeight="1">
      <c r="A12" s="264" t="s">
        <v>165</v>
      </c>
      <c r="B12" s="265" t="s">
        <v>166</v>
      </c>
      <c r="C12" s="265" t="s">
        <v>167</v>
      </c>
      <c r="D12" s="266" t="s">
        <v>168</v>
      </c>
      <c r="E12" s="267" t="s">
        <v>169</v>
      </c>
      <c r="F12" s="265" t="s">
        <v>170</v>
      </c>
      <c r="G12" s="268" t="s">
        <v>171</v>
      </c>
      <c r="H12" s="266" t="s">
        <v>172</v>
      </c>
      <c r="I12" s="269" t="s">
        <v>173</v>
      </c>
      <c r="J12" s="269" t="s">
        <v>174</v>
      </c>
      <c r="K12" s="265" t="s">
        <v>175</v>
      </c>
      <c r="L12" s="265" t="s">
        <v>176</v>
      </c>
      <c r="M12" s="265" t="s">
        <v>177</v>
      </c>
    </row>
    <row r="13" spans="1:13" ht="22.5" customHeight="1">
      <c r="A13" s="270">
        <v>1</v>
      </c>
      <c r="B13" s="270" t="s">
        <v>178</v>
      </c>
      <c r="C13" s="270" t="s">
        <v>179</v>
      </c>
      <c r="D13" s="270" t="s">
        <v>112</v>
      </c>
      <c r="E13" s="271">
        <v>6.1</v>
      </c>
      <c r="F13" s="272">
        <v>19</v>
      </c>
      <c r="G13" s="273">
        <f t="shared" ref="G13:G82" si="0">F13*5</f>
        <v>95</v>
      </c>
      <c r="H13" s="273">
        <f t="shared" ref="H13:H82" si="1">G13*E13</f>
        <v>579.5</v>
      </c>
      <c r="I13" s="273">
        <v>720</v>
      </c>
      <c r="J13" s="273">
        <f t="shared" ref="J13:J82" si="2">I13*E13</f>
        <v>4392</v>
      </c>
      <c r="K13" s="273">
        <f t="shared" ref="K13:K82" si="3">I13/2</f>
        <v>360</v>
      </c>
      <c r="L13" s="273">
        <f t="shared" ref="L13:L82" si="4">K13*E13</f>
        <v>2196</v>
      </c>
      <c r="M13" s="270"/>
    </row>
    <row r="14" spans="1:13" ht="22.5" customHeight="1">
      <c r="A14" s="274">
        <v>2</v>
      </c>
      <c r="B14" s="274" t="s">
        <v>180</v>
      </c>
      <c r="C14" s="274" t="s">
        <v>181</v>
      </c>
      <c r="D14" s="274" t="s">
        <v>112</v>
      </c>
      <c r="E14" s="275">
        <v>5</v>
      </c>
      <c r="F14" s="276">
        <v>23</v>
      </c>
      <c r="G14" s="277">
        <f t="shared" si="0"/>
        <v>115</v>
      </c>
      <c r="H14" s="277">
        <f t="shared" si="1"/>
        <v>575</v>
      </c>
      <c r="I14" s="277">
        <v>720</v>
      </c>
      <c r="J14" s="277">
        <f t="shared" si="2"/>
        <v>3600</v>
      </c>
      <c r="K14" s="277">
        <f t="shared" si="3"/>
        <v>360</v>
      </c>
      <c r="L14" s="277">
        <f t="shared" si="4"/>
        <v>1800</v>
      </c>
      <c r="M14" s="274"/>
    </row>
    <row r="15" spans="1:13" ht="22.5" customHeight="1">
      <c r="A15" s="270">
        <v>3</v>
      </c>
      <c r="B15" s="270" t="s">
        <v>182</v>
      </c>
      <c r="C15" s="270" t="s">
        <v>183</v>
      </c>
      <c r="D15" s="270" t="s">
        <v>112</v>
      </c>
      <c r="E15" s="271">
        <v>5</v>
      </c>
      <c r="F15" s="272">
        <v>23</v>
      </c>
      <c r="G15" s="273">
        <f t="shared" si="0"/>
        <v>115</v>
      </c>
      <c r="H15" s="273">
        <f t="shared" si="1"/>
        <v>575</v>
      </c>
      <c r="I15" s="273">
        <v>720</v>
      </c>
      <c r="J15" s="273">
        <f t="shared" si="2"/>
        <v>3600</v>
      </c>
      <c r="K15" s="273">
        <f t="shared" si="3"/>
        <v>360</v>
      </c>
      <c r="L15" s="273">
        <f t="shared" si="4"/>
        <v>1800</v>
      </c>
      <c r="M15" s="270"/>
    </row>
    <row r="16" spans="1:13" ht="22.5" customHeight="1">
      <c r="A16" s="274">
        <v>4</v>
      </c>
      <c r="B16" s="274" t="s">
        <v>184</v>
      </c>
      <c r="C16" s="274" t="s">
        <v>185</v>
      </c>
      <c r="D16" s="274" t="s">
        <v>113</v>
      </c>
      <c r="E16" s="275">
        <v>5</v>
      </c>
      <c r="F16" s="276">
        <v>19</v>
      </c>
      <c r="G16" s="277">
        <f t="shared" si="0"/>
        <v>95</v>
      </c>
      <c r="H16" s="277">
        <f t="shared" si="1"/>
        <v>475</v>
      </c>
      <c r="I16" s="277">
        <v>720</v>
      </c>
      <c r="J16" s="277">
        <f t="shared" si="2"/>
        <v>3600</v>
      </c>
      <c r="K16" s="277">
        <f t="shared" si="3"/>
        <v>360</v>
      </c>
      <c r="L16" s="277">
        <f t="shared" si="4"/>
        <v>1800</v>
      </c>
      <c r="M16" s="274"/>
    </row>
    <row r="17" spans="1:13" ht="22.5" customHeight="1">
      <c r="A17" s="270">
        <v>5</v>
      </c>
      <c r="B17" s="270" t="s">
        <v>186</v>
      </c>
      <c r="C17" s="270" t="s">
        <v>187</v>
      </c>
      <c r="D17" s="270" t="s">
        <v>112</v>
      </c>
      <c r="E17" s="271">
        <v>5</v>
      </c>
      <c r="F17" s="272">
        <v>23</v>
      </c>
      <c r="G17" s="273">
        <f t="shared" si="0"/>
        <v>115</v>
      </c>
      <c r="H17" s="273">
        <f t="shared" si="1"/>
        <v>575</v>
      </c>
      <c r="I17" s="273">
        <v>720</v>
      </c>
      <c r="J17" s="273">
        <f t="shared" si="2"/>
        <v>3600</v>
      </c>
      <c r="K17" s="273">
        <f t="shared" si="3"/>
        <v>360</v>
      </c>
      <c r="L17" s="273">
        <f t="shared" si="4"/>
        <v>1800</v>
      </c>
      <c r="M17" s="270"/>
    </row>
    <row r="18" spans="1:13" ht="22.5" customHeight="1">
      <c r="A18" s="274">
        <v>6</v>
      </c>
      <c r="B18" s="274" t="s">
        <v>188</v>
      </c>
      <c r="C18" s="274" t="s">
        <v>189</v>
      </c>
      <c r="D18" s="274" t="s">
        <v>112</v>
      </c>
      <c r="E18" s="275">
        <v>5</v>
      </c>
      <c r="F18" s="276">
        <v>23</v>
      </c>
      <c r="G18" s="277">
        <f t="shared" si="0"/>
        <v>115</v>
      </c>
      <c r="H18" s="277">
        <f t="shared" si="1"/>
        <v>575</v>
      </c>
      <c r="I18" s="277">
        <v>720</v>
      </c>
      <c r="J18" s="277">
        <f t="shared" si="2"/>
        <v>3600</v>
      </c>
      <c r="K18" s="277">
        <f t="shared" si="3"/>
        <v>360</v>
      </c>
      <c r="L18" s="277">
        <f t="shared" si="4"/>
        <v>1800</v>
      </c>
      <c r="M18" s="274"/>
    </row>
    <row r="19" spans="1:13" ht="22.5" customHeight="1">
      <c r="A19" s="270">
        <v>7</v>
      </c>
      <c r="B19" s="270" t="s">
        <v>190</v>
      </c>
      <c r="C19" s="270" t="s">
        <v>191</v>
      </c>
      <c r="D19" s="270" t="s">
        <v>113</v>
      </c>
      <c r="E19" s="271">
        <v>5</v>
      </c>
      <c r="F19" s="272">
        <v>19</v>
      </c>
      <c r="G19" s="273">
        <f t="shared" si="0"/>
        <v>95</v>
      </c>
      <c r="H19" s="273">
        <f t="shared" si="1"/>
        <v>475</v>
      </c>
      <c r="I19" s="273">
        <v>720</v>
      </c>
      <c r="J19" s="273">
        <f t="shared" si="2"/>
        <v>3600</v>
      </c>
      <c r="K19" s="273">
        <f t="shared" si="3"/>
        <v>360</v>
      </c>
      <c r="L19" s="273">
        <f t="shared" si="4"/>
        <v>1800</v>
      </c>
      <c r="M19" s="270"/>
    </row>
    <row r="20" spans="1:13" ht="22.5" customHeight="1">
      <c r="A20" s="274">
        <v>8</v>
      </c>
      <c r="B20" s="274" t="s">
        <v>192</v>
      </c>
      <c r="C20" s="274" t="s">
        <v>193</v>
      </c>
      <c r="D20" s="274" t="s">
        <v>112</v>
      </c>
      <c r="E20" s="275">
        <v>5</v>
      </c>
      <c r="F20" s="276">
        <v>23</v>
      </c>
      <c r="G20" s="277">
        <f t="shared" si="0"/>
        <v>115</v>
      </c>
      <c r="H20" s="277">
        <f t="shared" si="1"/>
        <v>575</v>
      </c>
      <c r="I20" s="277">
        <v>720</v>
      </c>
      <c r="J20" s="277">
        <f t="shared" si="2"/>
        <v>3600</v>
      </c>
      <c r="K20" s="277">
        <f t="shared" si="3"/>
        <v>360</v>
      </c>
      <c r="L20" s="277">
        <f t="shared" si="4"/>
        <v>1800</v>
      </c>
      <c r="M20" s="274"/>
    </row>
    <row r="21" spans="1:13" ht="22.5" customHeight="1">
      <c r="A21" s="270">
        <v>9</v>
      </c>
      <c r="B21" s="270" t="s">
        <v>194</v>
      </c>
      <c r="C21" s="270" t="s">
        <v>195</v>
      </c>
      <c r="D21" s="270" t="s">
        <v>113</v>
      </c>
      <c r="E21" s="271">
        <v>5</v>
      </c>
      <c r="F21" s="272">
        <v>19</v>
      </c>
      <c r="G21" s="273">
        <f t="shared" si="0"/>
        <v>95</v>
      </c>
      <c r="H21" s="273">
        <f t="shared" si="1"/>
        <v>475</v>
      </c>
      <c r="I21" s="273">
        <v>720</v>
      </c>
      <c r="J21" s="273">
        <f t="shared" si="2"/>
        <v>3600</v>
      </c>
      <c r="K21" s="273">
        <f t="shared" si="3"/>
        <v>360</v>
      </c>
      <c r="L21" s="273">
        <f t="shared" si="4"/>
        <v>1800</v>
      </c>
      <c r="M21" s="270"/>
    </row>
    <row r="22" spans="1:13" ht="22.5" customHeight="1">
      <c r="A22" s="274">
        <v>10</v>
      </c>
      <c r="B22" s="274" t="s">
        <v>196</v>
      </c>
      <c r="C22" s="274" t="s">
        <v>197</v>
      </c>
      <c r="D22" s="274" t="s">
        <v>112</v>
      </c>
      <c r="E22" s="275">
        <v>5</v>
      </c>
      <c r="F22" s="276">
        <v>23.5</v>
      </c>
      <c r="G22" s="277">
        <f t="shared" si="0"/>
        <v>117.5</v>
      </c>
      <c r="H22" s="277">
        <f t="shared" si="1"/>
        <v>587.5</v>
      </c>
      <c r="I22" s="277">
        <v>720</v>
      </c>
      <c r="J22" s="277">
        <f t="shared" si="2"/>
        <v>3600</v>
      </c>
      <c r="K22" s="277">
        <f t="shared" si="3"/>
        <v>360</v>
      </c>
      <c r="L22" s="277">
        <f t="shared" si="4"/>
        <v>1800</v>
      </c>
      <c r="M22" s="274"/>
    </row>
    <row r="23" spans="1:13" ht="22.5" customHeight="1">
      <c r="A23" s="270">
        <v>11</v>
      </c>
      <c r="B23" s="270" t="s">
        <v>198</v>
      </c>
      <c r="C23" s="270" t="s">
        <v>199</v>
      </c>
      <c r="D23" s="270" t="s">
        <v>112</v>
      </c>
      <c r="E23" s="271">
        <v>5</v>
      </c>
      <c r="F23" s="272">
        <v>23.5</v>
      </c>
      <c r="G23" s="273">
        <f t="shared" si="0"/>
        <v>117.5</v>
      </c>
      <c r="H23" s="273">
        <f t="shared" si="1"/>
        <v>587.5</v>
      </c>
      <c r="I23" s="273">
        <v>720</v>
      </c>
      <c r="J23" s="273">
        <f t="shared" si="2"/>
        <v>3600</v>
      </c>
      <c r="K23" s="273">
        <f t="shared" si="3"/>
        <v>360</v>
      </c>
      <c r="L23" s="273">
        <f t="shared" si="4"/>
        <v>1800</v>
      </c>
      <c r="M23" s="270"/>
    </row>
    <row r="24" spans="1:13" ht="22.5" customHeight="1">
      <c r="A24" s="274">
        <v>12</v>
      </c>
      <c r="B24" s="274" t="s">
        <v>200</v>
      </c>
      <c r="C24" s="274" t="s">
        <v>201</v>
      </c>
      <c r="D24" s="274" t="s">
        <v>113</v>
      </c>
      <c r="E24" s="275">
        <v>5</v>
      </c>
      <c r="F24" s="276">
        <v>19.5</v>
      </c>
      <c r="G24" s="277">
        <f t="shared" si="0"/>
        <v>97.5</v>
      </c>
      <c r="H24" s="277">
        <f t="shared" si="1"/>
        <v>487.5</v>
      </c>
      <c r="I24" s="277">
        <v>720</v>
      </c>
      <c r="J24" s="277">
        <f t="shared" si="2"/>
        <v>3600</v>
      </c>
      <c r="K24" s="277">
        <f t="shared" si="3"/>
        <v>360</v>
      </c>
      <c r="L24" s="277">
        <f t="shared" si="4"/>
        <v>1800</v>
      </c>
      <c r="M24" s="274"/>
    </row>
    <row r="25" spans="1:13" ht="22.5" customHeight="1">
      <c r="A25" s="270">
        <v>13</v>
      </c>
      <c r="B25" s="270" t="s">
        <v>202</v>
      </c>
      <c r="C25" s="270" t="s">
        <v>203</v>
      </c>
      <c r="D25" s="270" t="s">
        <v>112</v>
      </c>
      <c r="E25" s="271">
        <v>5</v>
      </c>
      <c r="F25" s="272">
        <v>23.5</v>
      </c>
      <c r="G25" s="273">
        <f t="shared" si="0"/>
        <v>117.5</v>
      </c>
      <c r="H25" s="273">
        <f t="shared" si="1"/>
        <v>587.5</v>
      </c>
      <c r="I25" s="273">
        <v>720</v>
      </c>
      <c r="J25" s="273">
        <f t="shared" si="2"/>
        <v>3600</v>
      </c>
      <c r="K25" s="273">
        <f t="shared" si="3"/>
        <v>360</v>
      </c>
      <c r="L25" s="273">
        <f t="shared" si="4"/>
        <v>1800</v>
      </c>
      <c r="M25" s="270"/>
    </row>
    <row r="26" spans="1:13" ht="22.5" customHeight="1">
      <c r="A26" s="274">
        <v>14</v>
      </c>
      <c r="B26" s="274" t="s">
        <v>204</v>
      </c>
      <c r="C26" s="274" t="s">
        <v>205</v>
      </c>
      <c r="D26" s="274" t="s">
        <v>113</v>
      </c>
      <c r="E26" s="275">
        <v>5</v>
      </c>
      <c r="F26" s="276">
        <v>19.5</v>
      </c>
      <c r="G26" s="277">
        <f t="shared" si="0"/>
        <v>97.5</v>
      </c>
      <c r="H26" s="277">
        <f t="shared" si="1"/>
        <v>487.5</v>
      </c>
      <c r="I26" s="277">
        <v>720</v>
      </c>
      <c r="J26" s="277">
        <f t="shared" si="2"/>
        <v>3600</v>
      </c>
      <c r="K26" s="277">
        <f t="shared" si="3"/>
        <v>360</v>
      </c>
      <c r="L26" s="277">
        <f t="shared" si="4"/>
        <v>1800</v>
      </c>
      <c r="M26" s="274"/>
    </row>
    <row r="27" spans="1:13" ht="22.5" customHeight="1">
      <c r="A27" s="270">
        <v>15</v>
      </c>
      <c r="B27" s="270" t="s">
        <v>206</v>
      </c>
      <c r="C27" s="270" t="s">
        <v>207</v>
      </c>
      <c r="D27" s="270" t="s">
        <v>112</v>
      </c>
      <c r="E27" s="271">
        <v>5</v>
      </c>
      <c r="F27" s="272">
        <v>23.5</v>
      </c>
      <c r="G27" s="273">
        <f t="shared" si="0"/>
        <v>117.5</v>
      </c>
      <c r="H27" s="273">
        <f t="shared" si="1"/>
        <v>587.5</v>
      </c>
      <c r="I27" s="273">
        <v>720</v>
      </c>
      <c r="J27" s="273">
        <f t="shared" si="2"/>
        <v>3600</v>
      </c>
      <c r="K27" s="273">
        <f t="shared" si="3"/>
        <v>360</v>
      </c>
      <c r="L27" s="273">
        <f t="shared" si="4"/>
        <v>1800</v>
      </c>
      <c r="M27" s="270"/>
    </row>
    <row r="28" spans="1:13" ht="22.5" customHeight="1">
      <c r="A28" s="274">
        <v>16</v>
      </c>
      <c r="B28" s="274" t="s">
        <v>208</v>
      </c>
      <c r="C28" s="274" t="s">
        <v>209</v>
      </c>
      <c r="D28" s="274" t="s">
        <v>113</v>
      </c>
      <c r="E28" s="275">
        <v>5</v>
      </c>
      <c r="F28" s="276">
        <v>19.5</v>
      </c>
      <c r="G28" s="277">
        <f t="shared" si="0"/>
        <v>97.5</v>
      </c>
      <c r="H28" s="277">
        <f t="shared" si="1"/>
        <v>487.5</v>
      </c>
      <c r="I28" s="277">
        <v>720</v>
      </c>
      <c r="J28" s="277">
        <f t="shared" si="2"/>
        <v>3600</v>
      </c>
      <c r="K28" s="277">
        <f t="shared" si="3"/>
        <v>360</v>
      </c>
      <c r="L28" s="277">
        <f t="shared" si="4"/>
        <v>1800</v>
      </c>
      <c r="M28" s="274"/>
    </row>
    <row r="29" spans="1:13" ht="22.5" customHeight="1">
      <c r="A29" s="270">
        <v>17</v>
      </c>
      <c r="B29" s="270" t="s">
        <v>210</v>
      </c>
      <c r="C29" s="270" t="s">
        <v>211</v>
      </c>
      <c r="D29" s="270" t="s">
        <v>112</v>
      </c>
      <c r="E29" s="271">
        <v>5</v>
      </c>
      <c r="F29" s="272">
        <v>23.5</v>
      </c>
      <c r="G29" s="273">
        <f t="shared" si="0"/>
        <v>117.5</v>
      </c>
      <c r="H29" s="273">
        <f t="shared" si="1"/>
        <v>587.5</v>
      </c>
      <c r="I29" s="273">
        <v>720</v>
      </c>
      <c r="J29" s="273">
        <f t="shared" si="2"/>
        <v>3600</v>
      </c>
      <c r="K29" s="273">
        <f t="shared" si="3"/>
        <v>360</v>
      </c>
      <c r="L29" s="273">
        <f t="shared" si="4"/>
        <v>1800</v>
      </c>
      <c r="M29" s="270"/>
    </row>
    <row r="30" spans="1:13" ht="22.5" customHeight="1">
      <c r="A30" s="274">
        <v>18</v>
      </c>
      <c r="B30" s="274" t="s">
        <v>212</v>
      </c>
      <c r="C30" s="274" t="s">
        <v>213</v>
      </c>
      <c r="D30" s="274" t="s">
        <v>113</v>
      </c>
      <c r="E30" s="275">
        <v>5</v>
      </c>
      <c r="F30" s="276">
        <v>19.5</v>
      </c>
      <c r="G30" s="277">
        <f t="shared" si="0"/>
        <v>97.5</v>
      </c>
      <c r="H30" s="277">
        <f t="shared" si="1"/>
        <v>487.5</v>
      </c>
      <c r="I30" s="277">
        <v>720</v>
      </c>
      <c r="J30" s="277">
        <f t="shared" si="2"/>
        <v>3600</v>
      </c>
      <c r="K30" s="277">
        <f t="shared" si="3"/>
        <v>360</v>
      </c>
      <c r="L30" s="277">
        <f t="shared" si="4"/>
        <v>1800</v>
      </c>
      <c r="M30" s="274"/>
    </row>
    <row r="31" spans="1:13" ht="22.5" customHeight="1">
      <c r="A31" s="270">
        <v>19</v>
      </c>
      <c r="B31" s="270" t="s">
        <v>214</v>
      </c>
      <c r="C31" s="270" t="s">
        <v>215</v>
      </c>
      <c r="D31" s="270" t="s">
        <v>112</v>
      </c>
      <c r="E31" s="271">
        <v>5</v>
      </c>
      <c r="F31" s="272">
        <v>23.5</v>
      </c>
      <c r="G31" s="273">
        <f t="shared" si="0"/>
        <v>117.5</v>
      </c>
      <c r="H31" s="273">
        <f t="shared" si="1"/>
        <v>587.5</v>
      </c>
      <c r="I31" s="273">
        <v>720</v>
      </c>
      <c r="J31" s="273">
        <f t="shared" si="2"/>
        <v>3600</v>
      </c>
      <c r="K31" s="273">
        <f t="shared" si="3"/>
        <v>360</v>
      </c>
      <c r="L31" s="273">
        <f t="shared" si="4"/>
        <v>1800</v>
      </c>
      <c r="M31" s="270"/>
    </row>
    <row r="32" spans="1:13" ht="22.5" customHeight="1">
      <c r="A32" s="274">
        <v>20</v>
      </c>
      <c r="B32" s="274" t="s">
        <v>216</v>
      </c>
      <c r="C32" s="274" t="s">
        <v>217</v>
      </c>
      <c r="D32" s="274" t="s">
        <v>113</v>
      </c>
      <c r="E32" s="275">
        <v>5</v>
      </c>
      <c r="F32" s="276">
        <v>19.5</v>
      </c>
      <c r="G32" s="277">
        <f t="shared" si="0"/>
        <v>97.5</v>
      </c>
      <c r="H32" s="277">
        <f t="shared" si="1"/>
        <v>487.5</v>
      </c>
      <c r="I32" s="277">
        <v>720</v>
      </c>
      <c r="J32" s="277">
        <f t="shared" si="2"/>
        <v>3600</v>
      </c>
      <c r="K32" s="277">
        <f t="shared" si="3"/>
        <v>360</v>
      </c>
      <c r="L32" s="277">
        <f t="shared" si="4"/>
        <v>1800</v>
      </c>
      <c r="M32" s="274"/>
    </row>
    <row r="33" spans="1:13" ht="22.5" customHeight="1">
      <c r="A33" s="270">
        <v>21</v>
      </c>
      <c r="B33" s="270" t="s">
        <v>218</v>
      </c>
      <c r="C33" s="270" t="s">
        <v>219</v>
      </c>
      <c r="D33" s="270" t="s">
        <v>112</v>
      </c>
      <c r="E33" s="271">
        <v>5</v>
      </c>
      <c r="F33" s="272">
        <v>29</v>
      </c>
      <c r="G33" s="273">
        <f t="shared" si="0"/>
        <v>145</v>
      </c>
      <c r="H33" s="273">
        <f t="shared" si="1"/>
        <v>725</v>
      </c>
      <c r="I33" s="273">
        <v>720</v>
      </c>
      <c r="J33" s="273">
        <f t="shared" si="2"/>
        <v>3600</v>
      </c>
      <c r="K33" s="273">
        <f t="shared" si="3"/>
        <v>360</v>
      </c>
      <c r="L33" s="273">
        <f t="shared" si="4"/>
        <v>1800</v>
      </c>
      <c r="M33" s="270"/>
    </row>
    <row r="34" spans="1:13" ht="22.5" customHeight="1">
      <c r="A34" s="274">
        <v>22</v>
      </c>
      <c r="B34" s="274" t="s">
        <v>220</v>
      </c>
      <c r="C34" s="274" t="s">
        <v>221</v>
      </c>
      <c r="D34" s="274" t="s">
        <v>113</v>
      </c>
      <c r="E34" s="275">
        <v>5</v>
      </c>
      <c r="F34" s="276">
        <v>25</v>
      </c>
      <c r="G34" s="277">
        <f t="shared" si="0"/>
        <v>125</v>
      </c>
      <c r="H34" s="277">
        <f t="shared" si="1"/>
        <v>625</v>
      </c>
      <c r="I34" s="277">
        <v>720</v>
      </c>
      <c r="J34" s="277">
        <f t="shared" si="2"/>
        <v>3600</v>
      </c>
      <c r="K34" s="277">
        <f t="shared" si="3"/>
        <v>360</v>
      </c>
      <c r="L34" s="277">
        <f t="shared" si="4"/>
        <v>1800</v>
      </c>
      <c r="M34" s="274"/>
    </row>
    <row r="35" spans="1:13" ht="22.5" customHeight="1">
      <c r="A35" s="270">
        <v>23</v>
      </c>
      <c r="B35" s="270" t="s">
        <v>222</v>
      </c>
      <c r="C35" s="270" t="s">
        <v>223</v>
      </c>
      <c r="D35" s="270" t="s">
        <v>112</v>
      </c>
      <c r="E35" s="271">
        <v>4.9000000000000004</v>
      </c>
      <c r="F35" s="272">
        <v>22</v>
      </c>
      <c r="G35" s="273">
        <f t="shared" si="0"/>
        <v>110</v>
      </c>
      <c r="H35" s="273">
        <f t="shared" si="1"/>
        <v>539</v>
      </c>
      <c r="I35" s="273">
        <v>720</v>
      </c>
      <c r="J35" s="273">
        <f t="shared" si="2"/>
        <v>3528.0000000000005</v>
      </c>
      <c r="K35" s="273">
        <f t="shared" si="3"/>
        <v>360</v>
      </c>
      <c r="L35" s="273">
        <f t="shared" si="4"/>
        <v>1764.0000000000002</v>
      </c>
      <c r="M35" s="270"/>
    </row>
    <row r="36" spans="1:13" ht="22.5" customHeight="1">
      <c r="A36" s="274">
        <v>24</v>
      </c>
      <c r="B36" s="274" t="s">
        <v>224</v>
      </c>
      <c r="C36" s="274" t="s">
        <v>225</v>
      </c>
      <c r="D36" s="274" t="s">
        <v>112</v>
      </c>
      <c r="E36" s="275">
        <v>5</v>
      </c>
      <c r="F36" s="276">
        <v>28</v>
      </c>
      <c r="G36" s="277">
        <f t="shared" si="0"/>
        <v>140</v>
      </c>
      <c r="H36" s="277">
        <f t="shared" si="1"/>
        <v>700</v>
      </c>
      <c r="I36" s="277">
        <v>720</v>
      </c>
      <c r="J36" s="277">
        <f t="shared" si="2"/>
        <v>3600</v>
      </c>
      <c r="K36" s="277">
        <f t="shared" si="3"/>
        <v>360</v>
      </c>
      <c r="L36" s="277">
        <f t="shared" si="4"/>
        <v>1800</v>
      </c>
      <c r="M36" s="274"/>
    </row>
    <row r="37" spans="1:13" ht="22.5" customHeight="1">
      <c r="A37" s="270">
        <v>25</v>
      </c>
      <c r="B37" s="270" t="s">
        <v>226</v>
      </c>
      <c r="C37" s="270" t="s">
        <v>227</v>
      </c>
      <c r="D37" s="270" t="s">
        <v>113</v>
      </c>
      <c r="E37" s="271">
        <v>5</v>
      </c>
      <c r="F37" s="272">
        <v>20</v>
      </c>
      <c r="G37" s="273">
        <f t="shared" si="0"/>
        <v>100</v>
      </c>
      <c r="H37" s="273">
        <f t="shared" si="1"/>
        <v>500</v>
      </c>
      <c r="I37" s="273">
        <v>720</v>
      </c>
      <c r="J37" s="273">
        <f t="shared" si="2"/>
        <v>3600</v>
      </c>
      <c r="K37" s="273">
        <f t="shared" si="3"/>
        <v>360</v>
      </c>
      <c r="L37" s="273">
        <f t="shared" si="4"/>
        <v>1800</v>
      </c>
      <c r="M37" s="270"/>
    </row>
    <row r="38" spans="1:13" ht="22.5" customHeight="1">
      <c r="A38" s="274">
        <v>26</v>
      </c>
      <c r="B38" s="274" t="s">
        <v>228</v>
      </c>
      <c r="C38" s="274" t="s">
        <v>229</v>
      </c>
      <c r="D38" s="274" t="s">
        <v>112</v>
      </c>
      <c r="E38" s="275">
        <v>5</v>
      </c>
      <c r="F38" s="276">
        <v>28</v>
      </c>
      <c r="G38" s="277">
        <f t="shared" si="0"/>
        <v>140</v>
      </c>
      <c r="H38" s="277">
        <f t="shared" si="1"/>
        <v>700</v>
      </c>
      <c r="I38" s="277">
        <v>720</v>
      </c>
      <c r="J38" s="277">
        <f t="shared" si="2"/>
        <v>3600</v>
      </c>
      <c r="K38" s="277">
        <f t="shared" si="3"/>
        <v>360</v>
      </c>
      <c r="L38" s="277">
        <f t="shared" si="4"/>
        <v>1800</v>
      </c>
      <c r="M38" s="274"/>
    </row>
    <row r="39" spans="1:13" ht="22.5" customHeight="1">
      <c r="A39" s="270">
        <v>27</v>
      </c>
      <c r="B39" s="270" t="s">
        <v>230</v>
      </c>
      <c r="C39" s="270" t="s">
        <v>231</v>
      </c>
      <c r="D39" s="270" t="s">
        <v>113</v>
      </c>
      <c r="E39" s="271">
        <v>5</v>
      </c>
      <c r="F39" s="272">
        <v>20</v>
      </c>
      <c r="G39" s="273">
        <f t="shared" si="0"/>
        <v>100</v>
      </c>
      <c r="H39" s="273">
        <f t="shared" si="1"/>
        <v>500</v>
      </c>
      <c r="I39" s="273">
        <v>720</v>
      </c>
      <c r="J39" s="273">
        <f t="shared" si="2"/>
        <v>3600</v>
      </c>
      <c r="K39" s="273">
        <f t="shared" si="3"/>
        <v>360</v>
      </c>
      <c r="L39" s="273">
        <f t="shared" si="4"/>
        <v>1800</v>
      </c>
      <c r="M39" s="270"/>
    </row>
    <row r="40" spans="1:13" ht="22.5" customHeight="1">
      <c r="A40" s="274">
        <v>28</v>
      </c>
      <c r="B40" s="274" t="s">
        <v>232</v>
      </c>
      <c r="C40" s="274" t="s">
        <v>233</v>
      </c>
      <c r="D40" s="274" t="s">
        <v>112</v>
      </c>
      <c r="E40" s="275">
        <v>5</v>
      </c>
      <c r="F40" s="276">
        <v>28</v>
      </c>
      <c r="G40" s="277">
        <f t="shared" si="0"/>
        <v>140</v>
      </c>
      <c r="H40" s="277">
        <f t="shared" si="1"/>
        <v>700</v>
      </c>
      <c r="I40" s="277">
        <v>720</v>
      </c>
      <c r="J40" s="277">
        <f t="shared" si="2"/>
        <v>3600</v>
      </c>
      <c r="K40" s="277">
        <f t="shared" si="3"/>
        <v>360</v>
      </c>
      <c r="L40" s="277">
        <f t="shared" si="4"/>
        <v>1800</v>
      </c>
      <c r="M40" s="274"/>
    </row>
    <row r="41" spans="1:13" ht="22.5" customHeight="1">
      <c r="A41" s="270">
        <v>29</v>
      </c>
      <c r="B41" s="270" t="s">
        <v>234</v>
      </c>
      <c r="C41" s="270" t="s">
        <v>235</v>
      </c>
      <c r="D41" s="270" t="s">
        <v>113</v>
      </c>
      <c r="E41" s="271">
        <v>6</v>
      </c>
      <c r="F41" s="272">
        <v>20</v>
      </c>
      <c r="G41" s="273">
        <f t="shared" si="0"/>
        <v>100</v>
      </c>
      <c r="H41" s="273">
        <f t="shared" si="1"/>
        <v>600</v>
      </c>
      <c r="I41" s="273">
        <v>720</v>
      </c>
      <c r="J41" s="273">
        <f t="shared" si="2"/>
        <v>4320</v>
      </c>
      <c r="K41" s="273">
        <f t="shared" si="3"/>
        <v>360</v>
      </c>
      <c r="L41" s="273">
        <f t="shared" si="4"/>
        <v>2160</v>
      </c>
      <c r="M41" s="270"/>
    </row>
    <row r="42" spans="1:13" ht="22.5" customHeight="1">
      <c r="A42" s="274">
        <v>30</v>
      </c>
      <c r="B42" s="274" t="s">
        <v>236</v>
      </c>
      <c r="C42" s="274" t="s">
        <v>237</v>
      </c>
      <c r="D42" s="274" t="s">
        <v>112</v>
      </c>
      <c r="E42" s="275">
        <v>5</v>
      </c>
      <c r="F42" s="276">
        <v>28</v>
      </c>
      <c r="G42" s="277">
        <f t="shared" si="0"/>
        <v>140</v>
      </c>
      <c r="H42" s="277">
        <f t="shared" si="1"/>
        <v>700</v>
      </c>
      <c r="I42" s="277">
        <v>720</v>
      </c>
      <c r="J42" s="277">
        <f t="shared" si="2"/>
        <v>3600</v>
      </c>
      <c r="K42" s="277">
        <f t="shared" si="3"/>
        <v>360</v>
      </c>
      <c r="L42" s="277">
        <f t="shared" si="4"/>
        <v>1800</v>
      </c>
      <c r="M42" s="274"/>
    </row>
    <row r="43" spans="1:13" ht="22.5" customHeight="1">
      <c r="A43" s="270">
        <v>31</v>
      </c>
      <c r="B43" s="270" t="s">
        <v>238</v>
      </c>
      <c r="C43" s="270" t="s">
        <v>239</v>
      </c>
      <c r="D43" s="270" t="s">
        <v>113</v>
      </c>
      <c r="E43" s="271">
        <v>5</v>
      </c>
      <c r="F43" s="272">
        <v>20</v>
      </c>
      <c r="G43" s="273">
        <f t="shared" si="0"/>
        <v>100</v>
      </c>
      <c r="H43" s="273">
        <f t="shared" si="1"/>
        <v>500</v>
      </c>
      <c r="I43" s="273">
        <v>720</v>
      </c>
      <c r="J43" s="273">
        <f t="shared" si="2"/>
        <v>3600</v>
      </c>
      <c r="K43" s="273">
        <f t="shared" si="3"/>
        <v>360</v>
      </c>
      <c r="L43" s="273">
        <f t="shared" si="4"/>
        <v>1800</v>
      </c>
      <c r="M43" s="270"/>
    </row>
    <row r="44" spans="1:13" ht="22.5" customHeight="1">
      <c r="A44" s="274">
        <v>32</v>
      </c>
      <c r="B44" s="274" t="s">
        <v>240</v>
      </c>
      <c r="C44" s="274" t="s">
        <v>241</v>
      </c>
      <c r="D44" s="274" t="s">
        <v>112</v>
      </c>
      <c r="E44" s="275">
        <v>5</v>
      </c>
      <c r="F44" s="276">
        <v>28</v>
      </c>
      <c r="G44" s="277">
        <f t="shared" si="0"/>
        <v>140</v>
      </c>
      <c r="H44" s="277">
        <f t="shared" si="1"/>
        <v>700</v>
      </c>
      <c r="I44" s="277">
        <v>720</v>
      </c>
      <c r="J44" s="277">
        <f t="shared" si="2"/>
        <v>3600</v>
      </c>
      <c r="K44" s="277">
        <f t="shared" si="3"/>
        <v>360</v>
      </c>
      <c r="L44" s="277">
        <f t="shared" si="4"/>
        <v>1800</v>
      </c>
      <c r="M44" s="274"/>
    </row>
    <row r="45" spans="1:13" ht="22.5" customHeight="1">
      <c r="A45" s="270">
        <v>33</v>
      </c>
      <c r="B45" s="270" t="s">
        <v>242</v>
      </c>
      <c r="C45" s="270" t="s">
        <v>243</v>
      </c>
      <c r="D45" s="270" t="s">
        <v>113</v>
      </c>
      <c r="E45" s="271">
        <v>5</v>
      </c>
      <c r="F45" s="272">
        <v>20</v>
      </c>
      <c r="G45" s="273">
        <f t="shared" si="0"/>
        <v>100</v>
      </c>
      <c r="H45" s="273">
        <f t="shared" si="1"/>
        <v>500</v>
      </c>
      <c r="I45" s="273">
        <v>720</v>
      </c>
      <c r="J45" s="273">
        <f t="shared" si="2"/>
        <v>3600</v>
      </c>
      <c r="K45" s="273">
        <f t="shared" si="3"/>
        <v>360</v>
      </c>
      <c r="L45" s="273">
        <f t="shared" si="4"/>
        <v>1800</v>
      </c>
      <c r="M45" s="270"/>
    </row>
    <row r="46" spans="1:13" ht="22.5" customHeight="1">
      <c r="A46" s="274">
        <v>34</v>
      </c>
      <c r="B46" s="274" t="s">
        <v>244</v>
      </c>
      <c r="C46" s="274" t="s">
        <v>245</v>
      </c>
      <c r="D46" s="274" t="s">
        <v>112</v>
      </c>
      <c r="E46" s="275">
        <v>5</v>
      </c>
      <c r="F46" s="276">
        <v>28</v>
      </c>
      <c r="G46" s="277">
        <f t="shared" si="0"/>
        <v>140</v>
      </c>
      <c r="H46" s="277">
        <f t="shared" si="1"/>
        <v>700</v>
      </c>
      <c r="I46" s="277">
        <v>720</v>
      </c>
      <c r="J46" s="277">
        <f t="shared" si="2"/>
        <v>3600</v>
      </c>
      <c r="K46" s="277">
        <f t="shared" si="3"/>
        <v>360</v>
      </c>
      <c r="L46" s="277">
        <f t="shared" si="4"/>
        <v>1800</v>
      </c>
      <c r="M46" s="274"/>
    </row>
    <row r="47" spans="1:13" ht="22.5" customHeight="1">
      <c r="A47" s="270">
        <v>35</v>
      </c>
      <c r="B47" s="270" t="s">
        <v>246</v>
      </c>
      <c r="C47" s="270" t="s">
        <v>247</v>
      </c>
      <c r="D47" s="270" t="s">
        <v>113</v>
      </c>
      <c r="E47" s="271">
        <v>5</v>
      </c>
      <c r="F47" s="272">
        <v>20</v>
      </c>
      <c r="G47" s="273">
        <f t="shared" si="0"/>
        <v>100</v>
      </c>
      <c r="H47" s="273">
        <f t="shared" si="1"/>
        <v>500</v>
      </c>
      <c r="I47" s="273">
        <v>720</v>
      </c>
      <c r="J47" s="273">
        <f t="shared" si="2"/>
        <v>3600</v>
      </c>
      <c r="K47" s="273">
        <f t="shared" si="3"/>
        <v>360</v>
      </c>
      <c r="L47" s="273">
        <f t="shared" si="4"/>
        <v>1800</v>
      </c>
      <c r="M47" s="270"/>
    </row>
    <row r="48" spans="1:13" ht="22.5" customHeight="1">
      <c r="A48" s="274">
        <v>36</v>
      </c>
      <c r="B48" s="274" t="s">
        <v>248</v>
      </c>
      <c r="C48" s="274" t="s">
        <v>249</v>
      </c>
      <c r="D48" s="274" t="s">
        <v>112</v>
      </c>
      <c r="E48" s="275">
        <v>5</v>
      </c>
      <c r="F48" s="276">
        <v>23</v>
      </c>
      <c r="G48" s="277">
        <f t="shared" si="0"/>
        <v>115</v>
      </c>
      <c r="H48" s="277">
        <f t="shared" si="1"/>
        <v>575</v>
      </c>
      <c r="I48" s="277">
        <v>720</v>
      </c>
      <c r="J48" s="277">
        <f t="shared" si="2"/>
        <v>3600</v>
      </c>
      <c r="K48" s="277">
        <f t="shared" si="3"/>
        <v>360</v>
      </c>
      <c r="L48" s="277">
        <f t="shared" si="4"/>
        <v>1800</v>
      </c>
      <c r="M48" s="274"/>
    </row>
    <row r="49" spans="1:13" ht="22.5" customHeight="1">
      <c r="A49" s="270">
        <v>37</v>
      </c>
      <c r="B49" s="270" t="s">
        <v>250</v>
      </c>
      <c r="C49" s="270" t="s">
        <v>251</v>
      </c>
      <c r="D49" s="270" t="s">
        <v>113</v>
      </c>
      <c r="E49" s="271">
        <v>5.3</v>
      </c>
      <c r="F49" s="272">
        <v>18</v>
      </c>
      <c r="G49" s="273">
        <f t="shared" si="0"/>
        <v>90</v>
      </c>
      <c r="H49" s="273">
        <f t="shared" si="1"/>
        <v>477</v>
      </c>
      <c r="I49" s="273">
        <v>720</v>
      </c>
      <c r="J49" s="273">
        <f t="shared" si="2"/>
        <v>3816</v>
      </c>
      <c r="K49" s="273">
        <f t="shared" si="3"/>
        <v>360</v>
      </c>
      <c r="L49" s="273">
        <f t="shared" si="4"/>
        <v>1908</v>
      </c>
      <c r="M49" s="270"/>
    </row>
    <row r="50" spans="1:13" ht="22.5" customHeight="1">
      <c r="A50" s="274">
        <v>38</v>
      </c>
      <c r="B50" s="274" t="s">
        <v>252</v>
      </c>
      <c r="C50" s="274" t="s">
        <v>253</v>
      </c>
      <c r="D50" s="274" t="s">
        <v>112</v>
      </c>
      <c r="E50" s="275">
        <v>5</v>
      </c>
      <c r="F50" s="276">
        <v>28</v>
      </c>
      <c r="G50" s="277">
        <f t="shared" si="0"/>
        <v>140</v>
      </c>
      <c r="H50" s="277">
        <f t="shared" si="1"/>
        <v>700</v>
      </c>
      <c r="I50" s="277">
        <v>720</v>
      </c>
      <c r="J50" s="277">
        <f t="shared" si="2"/>
        <v>3600</v>
      </c>
      <c r="K50" s="277">
        <f t="shared" si="3"/>
        <v>360</v>
      </c>
      <c r="L50" s="277">
        <f t="shared" si="4"/>
        <v>1800</v>
      </c>
      <c r="M50" s="274"/>
    </row>
    <row r="51" spans="1:13" ht="22.5" customHeight="1">
      <c r="A51" s="270">
        <v>39</v>
      </c>
      <c r="B51" s="270" t="s">
        <v>254</v>
      </c>
      <c r="C51" s="270" t="s">
        <v>255</v>
      </c>
      <c r="D51" s="270" t="s">
        <v>113</v>
      </c>
      <c r="E51" s="271">
        <v>2.7</v>
      </c>
      <c r="F51" s="272">
        <v>22</v>
      </c>
      <c r="G51" s="273">
        <f t="shared" si="0"/>
        <v>110</v>
      </c>
      <c r="H51" s="273">
        <f t="shared" si="1"/>
        <v>297</v>
      </c>
      <c r="I51" s="273">
        <v>720</v>
      </c>
      <c r="J51" s="273">
        <f t="shared" si="2"/>
        <v>1944.0000000000002</v>
      </c>
      <c r="K51" s="273">
        <f t="shared" si="3"/>
        <v>360</v>
      </c>
      <c r="L51" s="273">
        <f t="shared" si="4"/>
        <v>972.00000000000011</v>
      </c>
      <c r="M51" s="270"/>
    </row>
    <row r="52" spans="1:13" ht="22.5" customHeight="1">
      <c r="A52" s="274">
        <v>40</v>
      </c>
      <c r="B52" s="274" t="s">
        <v>256</v>
      </c>
      <c r="C52" s="274" t="s">
        <v>257</v>
      </c>
      <c r="D52" s="274" t="s">
        <v>112</v>
      </c>
      <c r="E52" s="275">
        <v>5</v>
      </c>
      <c r="F52" s="276">
        <v>28</v>
      </c>
      <c r="G52" s="277">
        <f t="shared" si="0"/>
        <v>140</v>
      </c>
      <c r="H52" s="277">
        <f t="shared" si="1"/>
        <v>700</v>
      </c>
      <c r="I52" s="277">
        <v>720</v>
      </c>
      <c r="J52" s="277">
        <f t="shared" si="2"/>
        <v>3600</v>
      </c>
      <c r="K52" s="277">
        <f t="shared" si="3"/>
        <v>360</v>
      </c>
      <c r="L52" s="277">
        <f t="shared" si="4"/>
        <v>1800</v>
      </c>
      <c r="M52" s="274"/>
    </row>
    <row r="53" spans="1:13" ht="22.5" customHeight="1">
      <c r="A53" s="270">
        <v>41</v>
      </c>
      <c r="B53" s="270" t="s">
        <v>258</v>
      </c>
      <c r="C53" s="270" t="s">
        <v>259</v>
      </c>
      <c r="D53" s="270" t="s">
        <v>113</v>
      </c>
      <c r="E53" s="271">
        <v>2.7</v>
      </c>
      <c r="F53" s="272">
        <v>22</v>
      </c>
      <c r="G53" s="273">
        <f t="shared" si="0"/>
        <v>110</v>
      </c>
      <c r="H53" s="273">
        <f t="shared" si="1"/>
        <v>297</v>
      </c>
      <c r="I53" s="273">
        <v>720</v>
      </c>
      <c r="J53" s="273">
        <f t="shared" si="2"/>
        <v>1944.0000000000002</v>
      </c>
      <c r="K53" s="273">
        <f t="shared" si="3"/>
        <v>360</v>
      </c>
      <c r="L53" s="273">
        <f t="shared" si="4"/>
        <v>972.00000000000011</v>
      </c>
      <c r="M53" s="270"/>
    </row>
    <row r="54" spans="1:13" ht="22.5" customHeight="1">
      <c r="A54" s="274">
        <v>42</v>
      </c>
      <c r="B54" s="274" t="s">
        <v>260</v>
      </c>
      <c r="C54" s="274" t="s">
        <v>261</v>
      </c>
      <c r="D54" s="274" t="s">
        <v>112</v>
      </c>
      <c r="E54" s="275">
        <v>5</v>
      </c>
      <c r="F54" s="276">
        <v>28</v>
      </c>
      <c r="G54" s="277">
        <f t="shared" si="0"/>
        <v>140</v>
      </c>
      <c r="H54" s="277">
        <f t="shared" si="1"/>
        <v>700</v>
      </c>
      <c r="I54" s="277">
        <v>720</v>
      </c>
      <c r="J54" s="277">
        <f t="shared" si="2"/>
        <v>3600</v>
      </c>
      <c r="K54" s="277">
        <f t="shared" si="3"/>
        <v>360</v>
      </c>
      <c r="L54" s="277">
        <f t="shared" si="4"/>
        <v>1800</v>
      </c>
      <c r="M54" s="274"/>
    </row>
    <row r="55" spans="1:13" ht="22.5" customHeight="1">
      <c r="A55" s="270">
        <v>43</v>
      </c>
      <c r="B55" s="270" t="s">
        <v>262</v>
      </c>
      <c r="C55" s="270" t="s">
        <v>263</v>
      </c>
      <c r="D55" s="270" t="s">
        <v>113</v>
      </c>
      <c r="E55" s="271">
        <v>2.7</v>
      </c>
      <c r="F55" s="272">
        <v>22</v>
      </c>
      <c r="G55" s="273">
        <f t="shared" si="0"/>
        <v>110</v>
      </c>
      <c r="H55" s="273">
        <f t="shared" si="1"/>
        <v>297</v>
      </c>
      <c r="I55" s="273">
        <v>720</v>
      </c>
      <c r="J55" s="273">
        <f t="shared" si="2"/>
        <v>1944.0000000000002</v>
      </c>
      <c r="K55" s="273">
        <f t="shared" si="3"/>
        <v>360</v>
      </c>
      <c r="L55" s="273">
        <f t="shared" si="4"/>
        <v>972.00000000000011</v>
      </c>
      <c r="M55" s="270"/>
    </row>
    <row r="56" spans="1:13" ht="22.5" customHeight="1">
      <c r="A56" s="274">
        <v>44</v>
      </c>
      <c r="B56" s="274" t="s">
        <v>264</v>
      </c>
      <c r="C56" s="274" t="s">
        <v>265</v>
      </c>
      <c r="D56" s="274" t="s">
        <v>112</v>
      </c>
      <c r="E56" s="275">
        <v>5</v>
      </c>
      <c r="F56" s="276">
        <v>28</v>
      </c>
      <c r="G56" s="277">
        <f t="shared" si="0"/>
        <v>140</v>
      </c>
      <c r="H56" s="277">
        <f t="shared" si="1"/>
        <v>700</v>
      </c>
      <c r="I56" s="277">
        <v>720</v>
      </c>
      <c r="J56" s="277">
        <f t="shared" si="2"/>
        <v>3600</v>
      </c>
      <c r="K56" s="277">
        <f t="shared" si="3"/>
        <v>360</v>
      </c>
      <c r="L56" s="277">
        <f t="shared" si="4"/>
        <v>1800</v>
      </c>
      <c r="M56" s="274"/>
    </row>
    <row r="57" spans="1:13" ht="22.5" customHeight="1">
      <c r="A57" s="270">
        <v>45</v>
      </c>
      <c r="B57" s="270" t="s">
        <v>266</v>
      </c>
      <c r="C57" s="270" t="s">
        <v>267</v>
      </c>
      <c r="D57" s="270" t="s">
        <v>113</v>
      </c>
      <c r="E57" s="271">
        <v>2.7</v>
      </c>
      <c r="F57" s="272">
        <v>22</v>
      </c>
      <c r="G57" s="273">
        <f t="shared" si="0"/>
        <v>110</v>
      </c>
      <c r="H57" s="273">
        <f t="shared" si="1"/>
        <v>297</v>
      </c>
      <c r="I57" s="273">
        <v>720</v>
      </c>
      <c r="J57" s="273">
        <f t="shared" si="2"/>
        <v>1944.0000000000002</v>
      </c>
      <c r="K57" s="273">
        <f t="shared" si="3"/>
        <v>360</v>
      </c>
      <c r="L57" s="273">
        <f t="shared" si="4"/>
        <v>972.00000000000011</v>
      </c>
      <c r="M57" s="270"/>
    </row>
    <row r="58" spans="1:13" ht="22.5" customHeight="1">
      <c r="A58" s="274">
        <v>46</v>
      </c>
      <c r="B58" s="274" t="s">
        <v>268</v>
      </c>
      <c r="C58" s="274" t="s">
        <v>269</v>
      </c>
      <c r="D58" s="274" t="s">
        <v>112</v>
      </c>
      <c r="E58" s="275">
        <v>5</v>
      </c>
      <c r="F58" s="276">
        <v>28</v>
      </c>
      <c r="G58" s="277">
        <f t="shared" si="0"/>
        <v>140</v>
      </c>
      <c r="H58" s="277">
        <f t="shared" si="1"/>
        <v>700</v>
      </c>
      <c r="I58" s="277">
        <v>720</v>
      </c>
      <c r="J58" s="277">
        <f t="shared" si="2"/>
        <v>3600</v>
      </c>
      <c r="K58" s="277">
        <f t="shared" si="3"/>
        <v>360</v>
      </c>
      <c r="L58" s="277">
        <f t="shared" si="4"/>
        <v>1800</v>
      </c>
      <c r="M58" s="274"/>
    </row>
    <row r="59" spans="1:13" ht="22.5" customHeight="1">
      <c r="A59" s="270">
        <v>47</v>
      </c>
      <c r="B59" s="270" t="s">
        <v>270</v>
      </c>
      <c r="C59" s="270" t="s">
        <v>271</v>
      </c>
      <c r="D59" s="270" t="s">
        <v>113</v>
      </c>
      <c r="E59" s="271">
        <v>2.7</v>
      </c>
      <c r="F59" s="272">
        <v>22</v>
      </c>
      <c r="G59" s="273">
        <f t="shared" si="0"/>
        <v>110</v>
      </c>
      <c r="H59" s="273">
        <f t="shared" si="1"/>
        <v>297</v>
      </c>
      <c r="I59" s="273">
        <v>720</v>
      </c>
      <c r="J59" s="273">
        <f t="shared" si="2"/>
        <v>1944.0000000000002</v>
      </c>
      <c r="K59" s="273">
        <f t="shared" si="3"/>
        <v>360</v>
      </c>
      <c r="L59" s="273">
        <f t="shared" si="4"/>
        <v>972.00000000000011</v>
      </c>
      <c r="M59" s="270"/>
    </row>
    <row r="60" spans="1:13" ht="22.5" customHeight="1">
      <c r="A60" s="274">
        <v>48</v>
      </c>
      <c r="B60" s="274" t="s">
        <v>272</v>
      </c>
      <c r="C60" s="274" t="s">
        <v>273</v>
      </c>
      <c r="D60" s="274" t="s">
        <v>113</v>
      </c>
      <c r="E60" s="275">
        <v>2.7</v>
      </c>
      <c r="F60" s="276">
        <v>22</v>
      </c>
      <c r="G60" s="277">
        <f t="shared" si="0"/>
        <v>110</v>
      </c>
      <c r="H60" s="277">
        <f t="shared" si="1"/>
        <v>297</v>
      </c>
      <c r="I60" s="277">
        <v>720</v>
      </c>
      <c r="J60" s="277">
        <f t="shared" si="2"/>
        <v>1944.0000000000002</v>
      </c>
      <c r="K60" s="277">
        <f t="shared" si="3"/>
        <v>360</v>
      </c>
      <c r="L60" s="277">
        <f t="shared" si="4"/>
        <v>972.00000000000011</v>
      </c>
      <c r="M60" s="274"/>
    </row>
    <row r="61" spans="1:13" ht="22.5" customHeight="1">
      <c r="A61" s="270">
        <v>49</v>
      </c>
      <c r="B61" s="270" t="s">
        <v>274</v>
      </c>
      <c r="C61" s="270" t="s">
        <v>275</v>
      </c>
      <c r="D61" s="270" t="s">
        <v>112</v>
      </c>
      <c r="E61" s="271">
        <v>5</v>
      </c>
      <c r="F61" s="272">
        <v>28</v>
      </c>
      <c r="G61" s="273">
        <f t="shared" si="0"/>
        <v>140</v>
      </c>
      <c r="H61" s="273">
        <f t="shared" si="1"/>
        <v>700</v>
      </c>
      <c r="I61" s="273">
        <v>720</v>
      </c>
      <c r="J61" s="273">
        <f t="shared" si="2"/>
        <v>3600</v>
      </c>
      <c r="K61" s="273">
        <f t="shared" si="3"/>
        <v>360</v>
      </c>
      <c r="L61" s="273">
        <f t="shared" si="4"/>
        <v>1800</v>
      </c>
      <c r="M61" s="270"/>
    </row>
    <row r="62" spans="1:13" ht="22.5" customHeight="1">
      <c r="A62" s="274">
        <v>50</v>
      </c>
      <c r="B62" s="274" t="s">
        <v>276</v>
      </c>
      <c r="C62" s="274" t="s">
        <v>277</v>
      </c>
      <c r="D62" s="274" t="s">
        <v>113</v>
      </c>
      <c r="E62" s="275">
        <v>2.7</v>
      </c>
      <c r="F62" s="276">
        <v>22</v>
      </c>
      <c r="G62" s="277">
        <f t="shared" si="0"/>
        <v>110</v>
      </c>
      <c r="H62" s="277">
        <f t="shared" si="1"/>
        <v>297</v>
      </c>
      <c r="I62" s="277">
        <v>720</v>
      </c>
      <c r="J62" s="277">
        <f t="shared" si="2"/>
        <v>1944.0000000000002</v>
      </c>
      <c r="K62" s="277">
        <f t="shared" si="3"/>
        <v>360</v>
      </c>
      <c r="L62" s="277">
        <f t="shared" si="4"/>
        <v>972.00000000000011</v>
      </c>
      <c r="M62" s="274"/>
    </row>
    <row r="63" spans="1:13" ht="22.5" customHeight="1">
      <c r="A63" s="270">
        <v>51</v>
      </c>
      <c r="B63" s="270" t="s">
        <v>278</v>
      </c>
      <c r="C63" s="270" t="s">
        <v>279</v>
      </c>
      <c r="D63" s="270" t="s">
        <v>112</v>
      </c>
      <c r="E63" s="271">
        <v>5</v>
      </c>
      <c r="F63" s="272">
        <v>28</v>
      </c>
      <c r="G63" s="273">
        <f t="shared" si="0"/>
        <v>140</v>
      </c>
      <c r="H63" s="273">
        <f t="shared" si="1"/>
        <v>700</v>
      </c>
      <c r="I63" s="273">
        <v>720</v>
      </c>
      <c r="J63" s="273">
        <f t="shared" si="2"/>
        <v>3600</v>
      </c>
      <c r="K63" s="273">
        <f t="shared" si="3"/>
        <v>360</v>
      </c>
      <c r="L63" s="273">
        <f t="shared" si="4"/>
        <v>1800</v>
      </c>
      <c r="M63" s="270"/>
    </row>
    <row r="64" spans="1:13" ht="22.5" customHeight="1">
      <c r="A64" s="274">
        <v>52</v>
      </c>
      <c r="B64" s="274" t="s">
        <v>280</v>
      </c>
      <c r="C64" s="274" t="s">
        <v>281</v>
      </c>
      <c r="D64" s="274" t="s">
        <v>113</v>
      </c>
      <c r="E64" s="275">
        <v>2.7</v>
      </c>
      <c r="F64" s="276">
        <v>22</v>
      </c>
      <c r="G64" s="277">
        <f t="shared" si="0"/>
        <v>110</v>
      </c>
      <c r="H64" s="277">
        <f t="shared" si="1"/>
        <v>297</v>
      </c>
      <c r="I64" s="277">
        <v>720</v>
      </c>
      <c r="J64" s="277">
        <f t="shared" si="2"/>
        <v>1944.0000000000002</v>
      </c>
      <c r="K64" s="277">
        <f t="shared" si="3"/>
        <v>360</v>
      </c>
      <c r="L64" s="277">
        <f t="shared" si="4"/>
        <v>972.00000000000011</v>
      </c>
      <c r="M64" s="274"/>
    </row>
    <row r="65" spans="1:13" ht="22.5" customHeight="1">
      <c r="A65" s="270">
        <v>53</v>
      </c>
      <c r="B65" s="270" t="s">
        <v>282</v>
      </c>
      <c r="C65" s="270" t="s">
        <v>283</v>
      </c>
      <c r="D65" s="270" t="s">
        <v>112</v>
      </c>
      <c r="E65" s="271">
        <v>5</v>
      </c>
      <c r="F65" s="272">
        <v>28</v>
      </c>
      <c r="G65" s="273">
        <f t="shared" si="0"/>
        <v>140</v>
      </c>
      <c r="H65" s="273">
        <f t="shared" si="1"/>
        <v>700</v>
      </c>
      <c r="I65" s="273">
        <v>720</v>
      </c>
      <c r="J65" s="273">
        <f t="shared" si="2"/>
        <v>3600</v>
      </c>
      <c r="K65" s="273">
        <f t="shared" si="3"/>
        <v>360</v>
      </c>
      <c r="L65" s="273">
        <f t="shared" si="4"/>
        <v>1800</v>
      </c>
      <c r="M65" s="270"/>
    </row>
    <row r="66" spans="1:13" ht="22.5" customHeight="1">
      <c r="A66" s="274">
        <v>54</v>
      </c>
      <c r="B66" s="274" t="s">
        <v>284</v>
      </c>
      <c r="C66" s="274" t="s">
        <v>285</v>
      </c>
      <c r="D66" s="274" t="s">
        <v>113</v>
      </c>
      <c r="E66" s="275">
        <v>2.7</v>
      </c>
      <c r="F66" s="276">
        <v>22</v>
      </c>
      <c r="G66" s="277">
        <f t="shared" si="0"/>
        <v>110</v>
      </c>
      <c r="H66" s="277">
        <f t="shared" si="1"/>
        <v>297</v>
      </c>
      <c r="I66" s="277">
        <v>720</v>
      </c>
      <c r="J66" s="277">
        <f t="shared" si="2"/>
        <v>1944.0000000000002</v>
      </c>
      <c r="K66" s="277">
        <f t="shared" si="3"/>
        <v>360</v>
      </c>
      <c r="L66" s="277">
        <f t="shared" si="4"/>
        <v>972.00000000000011</v>
      </c>
      <c r="M66" s="274"/>
    </row>
    <row r="67" spans="1:13" ht="22.5" customHeight="1">
      <c r="A67" s="270">
        <v>55</v>
      </c>
      <c r="B67" s="270" t="s">
        <v>286</v>
      </c>
      <c r="C67" s="270" t="s">
        <v>287</v>
      </c>
      <c r="D67" s="270" t="s">
        <v>112</v>
      </c>
      <c r="E67" s="271">
        <v>6.4</v>
      </c>
      <c r="F67" s="272">
        <v>28</v>
      </c>
      <c r="G67" s="273">
        <f t="shared" si="0"/>
        <v>140</v>
      </c>
      <c r="H67" s="273">
        <f t="shared" si="1"/>
        <v>896</v>
      </c>
      <c r="I67" s="273">
        <v>720</v>
      </c>
      <c r="J67" s="273">
        <f t="shared" si="2"/>
        <v>4608</v>
      </c>
      <c r="K67" s="273">
        <f t="shared" si="3"/>
        <v>360</v>
      </c>
      <c r="L67" s="273">
        <f t="shared" si="4"/>
        <v>2304</v>
      </c>
      <c r="M67" s="270"/>
    </row>
    <row r="68" spans="1:13" ht="22.5" customHeight="1">
      <c r="A68" s="274">
        <v>56</v>
      </c>
      <c r="B68" s="274" t="s">
        <v>288</v>
      </c>
      <c r="C68" s="274" t="s">
        <v>289</v>
      </c>
      <c r="D68" s="274" t="s">
        <v>112</v>
      </c>
      <c r="E68" s="275">
        <v>6.5</v>
      </c>
      <c r="F68" s="276">
        <v>28</v>
      </c>
      <c r="G68" s="277">
        <f t="shared" si="0"/>
        <v>140</v>
      </c>
      <c r="H68" s="277">
        <f t="shared" si="1"/>
        <v>910</v>
      </c>
      <c r="I68" s="277">
        <v>720</v>
      </c>
      <c r="J68" s="277">
        <f t="shared" si="2"/>
        <v>4680</v>
      </c>
      <c r="K68" s="277">
        <f t="shared" si="3"/>
        <v>360</v>
      </c>
      <c r="L68" s="277">
        <f t="shared" si="4"/>
        <v>2340</v>
      </c>
      <c r="M68" s="274"/>
    </row>
    <row r="69" spans="1:13" ht="22.5" customHeight="1">
      <c r="A69" s="270">
        <v>57</v>
      </c>
      <c r="B69" s="270" t="s">
        <v>290</v>
      </c>
      <c r="C69" s="270" t="s">
        <v>291</v>
      </c>
      <c r="D69" s="270" t="s">
        <v>113</v>
      </c>
      <c r="E69" s="271">
        <v>5.5</v>
      </c>
      <c r="F69" s="272">
        <v>22</v>
      </c>
      <c r="G69" s="273">
        <f t="shared" si="0"/>
        <v>110</v>
      </c>
      <c r="H69" s="273">
        <f t="shared" si="1"/>
        <v>605</v>
      </c>
      <c r="I69" s="273">
        <v>720</v>
      </c>
      <c r="J69" s="273">
        <f t="shared" si="2"/>
        <v>3960</v>
      </c>
      <c r="K69" s="273">
        <f t="shared" si="3"/>
        <v>360</v>
      </c>
      <c r="L69" s="273">
        <f t="shared" si="4"/>
        <v>1980</v>
      </c>
      <c r="M69" s="270"/>
    </row>
    <row r="70" spans="1:13" ht="22.5" customHeight="1">
      <c r="A70" s="274">
        <v>58</v>
      </c>
      <c r="B70" s="274" t="s">
        <v>292</v>
      </c>
      <c r="C70" s="274" t="s">
        <v>293</v>
      </c>
      <c r="D70" s="274" t="s">
        <v>112</v>
      </c>
      <c r="E70" s="275">
        <v>5.5</v>
      </c>
      <c r="F70" s="276">
        <v>28</v>
      </c>
      <c r="G70" s="277">
        <f t="shared" si="0"/>
        <v>140</v>
      </c>
      <c r="H70" s="277">
        <f t="shared" si="1"/>
        <v>770</v>
      </c>
      <c r="I70" s="277">
        <v>720</v>
      </c>
      <c r="J70" s="277">
        <f t="shared" si="2"/>
        <v>3960</v>
      </c>
      <c r="K70" s="277">
        <f t="shared" si="3"/>
        <v>360</v>
      </c>
      <c r="L70" s="277">
        <f t="shared" si="4"/>
        <v>1980</v>
      </c>
      <c r="M70" s="274"/>
    </row>
    <row r="71" spans="1:13" ht="22.5" customHeight="1">
      <c r="A71" s="270">
        <v>59</v>
      </c>
      <c r="B71" s="270" t="s">
        <v>294</v>
      </c>
      <c r="C71" s="270" t="s">
        <v>295</v>
      </c>
      <c r="D71" s="270" t="s">
        <v>113</v>
      </c>
      <c r="E71" s="271">
        <v>5</v>
      </c>
      <c r="F71" s="272">
        <v>22</v>
      </c>
      <c r="G71" s="273">
        <f t="shared" si="0"/>
        <v>110</v>
      </c>
      <c r="H71" s="273">
        <f t="shared" si="1"/>
        <v>550</v>
      </c>
      <c r="I71" s="273">
        <v>720</v>
      </c>
      <c r="J71" s="273">
        <f t="shared" si="2"/>
        <v>3600</v>
      </c>
      <c r="K71" s="273">
        <f t="shared" si="3"/>
        <v>360</v>
      </c>
      <c r="L71" s="273">
        <f t="shared" si="4"/>
        <v>1800</v>
      </c>
      <c r="M71" s="270"/>
    </row>
    <row r="72" spans="1:13" ht="22.5" customHeight="1">
      <c r="A72" s="274">
        <v>60</v>
      </c>
      <c r="B72" s="274" t="s">
        <v>296</v>
      </c>
      <c r="C72" s="274" t="s">
        <v>297</v>
      </c>
      <c r="D72" s="274" t="s">
        <v>112</v>
      </c>
      <c r="E72" s="275">
        <v>5.5</v>
      </c>
      <c r="F72" s="276">
        <v>28</v>
      </c>
      <c r="G72" s="277">
        <f t="shared" si="0"/>
        <v>140</v>
      </c>
      <c r="H72" s="277">
        <f t="shared" si="1"/>
        <v>770</v>
      </c>
      <c r="I72" s="277">
        <v>720</v>
      </c>
      <c r="J72" s="277">
        <f t="shared" si="2"/>
        <v>3960</v>
      </c>
      <c r="K72" s="277">
        <f t="shared" si="3"/>
        <v>360</v>
      </c>
      <c r="L72" s="277">
        <f t="shared" si="4"/>
        <v>1980</v>
      </c>
      <c r="M72" s="274"/>
    </row>
    <row r="73" spans="1:13" ht="22.5" customHeight="1">
      <c r="A73" s="270">
        <v>61</v>
      </c>
      <c r="B73" s="270" t="s">
        <v>298</v>
      </c>
      <c r="C73" s="270" t="s">
        <v>299</v>
      </c>
      <c r="D73" s="270" t="s">
        <v>112</v>
      </c>
      <c r="E73" s="271">
        <v>4.5</v>
      </c>
      <c r="F73" s="272">
        <v>28</v>
      </c>
      <c r="G73" s="273">
        <f t="shared" si="0"/>
        <v>140</v>
      </c>
      <c r="H73" s="273">
        <f t="shared" si="1"/>
        <v>630</v>
      </c>
      <c r="I73" s="273">
        <v>720</v>
      </c>
      <c r="J73" s="273">
        <f t="shared" si="2"/>
        <v>3240</v>
      </c>
      <c r="K73" s="273">
        <f t="shared" si="3"/>
        <v>360</v>
      </c>
      <c r="L73" s="273">
        <f t="shared" si="4"/>
        <v>1620</v>
      </c>
      <c r="M73" s="270"/>
    </row>
    <row r="74" spans="1:13" ht="22.5" customHeight="1">
      <c r="A74" s="274">
        <v>62</v>
      </c>
      <c r="B74" s="274" t="s">
        <v>300</v>
      </c>
      <c r="C74" s="274" t="s">
        <v>301</v>
      </c>
      <c r="D74" s="274" t="s">
        <v>113</v>
      </c>
      <c r="E74" s="275">
        <v>5</v>
      </c>
      <c r="F74" s="276">
        <v>22</v>
      </c>
      <c r="G74" s="277">
        <f t="shared" si="0"/>
        <v>110</v>
      </c>
      <c r="H74" s="277">
        <f t="shared" si="1"/>
        <v>550</v>
      </c>
      <c r="I74" s="277">
        <v>720</v>
      </c>
      <c r="J74" s="277">
        <f t="shared" si="2"/>
        <v>3600</v>
      </c>
      <c r="K74" s="277">
        <f t="shared" si="3"/>
        <v>360</v>
      </c>
      <c r="L74" s="277">
        <f t="shared" si="4"/>
        <v>1800</v>
      </c>
      <c r="M74" s="274"/>
    </row>
    <row r="75" spans="1:13" ht="22.5" customHeight="1">
      <c r="A75" s="270">
        <v>63</v>
      </c>
      <c r="B75" s="270" t="s">
        <v>302</v>
      </c>
      <c r="C75" s="270" t="s">
        <v>303</v>
      </c>
      <c r="D75" s="270" t="s">
        <v>112</v>
      </c>
      <c r="E75" s="271">
        <v>5.5</v>
      </c>
      <c r="F75" s="272">
        <v>28</v>
      </c>
      <c r="G75" s="273">
        <f t="shared" si="0"/>
        <v>140</v>
      </c>
      <c r="H75" s="273">
        <f t="shared" si="1"/>
        <v>770</v>
      </c>
      <c r="I75" s="273">
        <v>720</v>
      </c>
      <c r="J75" s="273">
        <f t="shared" si="2"/>
        <v>3960</v>
      </c>
      <c r="K75" s="273">
        <f t="shared" si="3"/>
        <v>360</v>
      </c>
      <c r="L75" s="273">
        <f t="shared" si="4"/>
        <v>1980</v>
      </c>
      <c r="M75" s="270"/>
    </row>
    <row r="76" spans="1:13" ht="22.5" customHeight="1">
      <c r="A76" s="274">
        <v>64</v>
      </c>
      <c r="B76" s="274" t="s">
        <v>304</v>
      </c>
      <c r="C76" s="274" t="s">
        <v>305</v>
      </c>
      <c r="D76" s="274" t="s">
        <v>113</v>
      </c>
      <c r="E76" s="275">
        <v>6</v>
      </c>
      <c r="F76" s="276">
        <v>22</v>
      </c>
      <c r="G76" s="277">
        <f t="shared" si="0"/>
        <v>110</v>
      </c>
      <c r="H76" s="277">
        <f t="shared" si="1"/>
        <v>660</v>
      </c>
      <c r="I76" s="277">
        <v>720</v>
      </c>
      <c r="J76" s="277">
        <f t="shared" si="2"/>
        <v>4320</v>
      </c>
      <c r="K76" s="277">
        <f t="shared" si="3"/>
        <v>360</v>
      </c>
      <c r="L76" s="277">
        <f t="shared" si="4"/>
        <v>2160</v>
      </c>
      <c r="M76" s="274"/>
    </row>
    <row r="77" spans="1:13" ht="22.5" customHeight="1">
      <c r="A77" s="270">
        <v>65</v>
      </c>
      <c r="B77" s="270" t="s">
        <v>306</v>
      </c>
      <c r="C77" s="270" t="s">
        <v>307</v>
      </c>
      <c r="D77" s="270" t="s">
        <v>112</v>
      </c>
      <c r="E77" s="271">
        <v>5.5</v>
      </c>
      <c r="F77" s="272">
        <v>28</v>
      </c>
      <c r="G77" s="273">
        <f t="shared" si="0"/>
        <v>140</v>
      </c>
      <c r="H77" s="273">
        <f t="shared" si="1"/>
        <v>770</v>
      </c>
      <c r="I77" s="273">
        <v>720</v>
      </c>
      <c r="J77" s="273">
        <f t="shared" si="2"/>
        <v>3960</v>
      </c>
      <c r="K77" s="273">
        <f t="shared" si="3"/>
        <v>360</v>
      </c>
      <c r="L77" s="273">
        <f t="shared" si="4"/>
        <v>1980</v>
      </c>
      <c r="M77" s="270"/>
    </row>
    <row r="78" spans="1:13" ht="22.5" customHeight="1">
      <c r="A78" s="274">
        <v>66</v>
      </c>
      <c r="B78" s="274" t="s">
        <v>308</v>
      </c>
      <c r="C78" s="274" t="s">
        <v>309</v>
      </c>
      <c r="D78" s="274" t="s">
        <v>113</v>
      </c>
      <c r="E78" s="275">
        <v>5</v>
      </c>
      <c r="F78" s="276">
        <v>22</v>
      </c>
      <c r="G78" s="277">
        <f t="shared" si="0"/>
        <v>110</v>
      </c>
      <c r="H78" s="277">
        <f t="shared" si="1"/>
        <v>550</v>
      </c>
      <c r="I78" s="277">
        <v>720</v>
      </c>
      <c r="J78" s="277">
        <f t="shared" si="2"/>
        <v>3600</v>
      </c>
      <c r="K78" s="277">
        <f t="shared" si="3"/>
        <v>360</v>
      </c>
      <c r="L78" s="277">
        <f t="shared" si="4"/>
        <v>1800</v>
      </c>
      <c r="M78" s="274"/>
    </row>
    <row r="79" spans="1:13" ht="22.5" customHeight="1">
      <c r="A79" s="270">
        <v>67</v>
      </c>
      <c r="B79" s="270" t="s">
        <v>310</v>
      </c>
      <c r="C79" s="270" t="s">
        <v>311</v>
      </c>
      <c r="D79" s="270" t="s">
        <v>112</v>
      </c>
      <c r="E79" s="271">
        <v>4.8</v>
      </c>
      <c r="F79" s="272">
        <v>28</v>
      </c>
      <c r="G79" s="273">
        <f t="shared" si="0"/>
        <v>140</v>
      </c>
      <c r="H79" s="273">
        <f t="shared" si="1"/>
        <v>672</v>
      </c>
      <c r="I79" s="273">
        <v>720</v>
      </c>
      <c r="J79" s="273">
        <f t="shared" si="2"/>
        <v>3456</v>
      </c>
      <c r="K79" s="273">
        <f t="shared" si="3"/>
        <v>360</v>
      </c>
      <c r="L79" s="273">
        <f t="shared" si="4"/>
        <v>1728</v>
      </c>
      <c r="M79" s="270"/>
    </row>
    <row r="80" spans="1:13" ht="22.5" customHeight="1">
      <c r="A80" s="274">
        <v>68</v>
      </c>
      <c r="B80" s="274" t="s">
        <v>312</v>
      </c>
      <c r="C80" s="274" t="s">
        <v>313</v>
      </c>
      <c r="D80" s="274" t="s">
        <v>113</v>
      </c>
      <c r="E80" s="275">
        <v>4.9000000000000004</v>
      </c>
      <c r="F80" s="276">
        <v>22</v>
      </c>
      <c r="G80" s="277">
        <f t="shared" si="0"/>
        <v>110</v>
      </c>
      <c r="H80" s="277">
        <f t="shared" si="1"/>
        <v>539</v>
      </c>
      <c r="I80" s="277">
        <v>720</v>
      </c>
      <c r="J80" s="277">
        <f t="shared" si="2"/>
        <v>3528.0000000000005</v>
      </c>
      <c r="K80" s="277">
        <f t="shared" si="3"/>
        <v>360</v>
      </c>
      <c r="L80" s="277">
        <f t="shared" si="4"/>
        <v>1764.0000000000002</v>
      </c>
      <c r="M80" s="274"/>
    </row>
    <row r="81" spans="1:13" ht="22.5" customHeight="1">
      <c r="A81" s="270">
        <v>69</v>
      </c>
      <c r="B81" s="270" t="s">
        <v>314</v>
      </c>
      <c r="C81" s="270" t="s">
        <v>315</v>
      </c>
      <c r="D81" s="270" t="s">
        <v>112</v>
      </c>
      <c r="E81" s="271">
        <v>5</v>
      </c>
      <c r="F81" s="272">
        <v>28</v>
      </c>
      <c r="G81" s="273">
        <f t="shared" si="0"/>
        <v>140</v>
      </c>
      <c r="H81" s="273">
        <f t="shared" si="1"/>
        <v>700</v>
      </c>
      <c r="I81" s="273">
        <v>720</v>
      </c>
      <c r="J81" s="273">
        <f t="shared" si="2"/>
        <v>3600</v>
      </c>
      <c r="K81" s="273">
        <f t="shared" si="3"/>
        <v>360</v>
      </c>
      <c r="L81" s="273">
        <f t="shared" si="4"/>
        <v>1800</v>
      </c>
      <c r="M81" s="270"/>
    </row>
    <row r="82" spans="1:13" ht="22.5" customHeight="1">
      <c r="A82" s="274">
        <v>70</v>
      </c>
      <c r="B82" s="274" t="s">
        <v>316</v>
      </c>
      <c r="C82" s="274" t="s">
        <v>317</v>
      </c>
      <c r="D82" s="274" t="s">
        <v>113</v>
      </c>
      <c r="E82" s="275">
        <v>5</v>
      </c>
      <c r="F82" s="276">
        <v>22</v>
      </c>
      <c r="G82" s="277">
        <f t="shared" si="0"/>
        <v>110</v>
      </c>
      <c r="H82" s="277">
        <f t="shared" si="1"/>
        <v>550</v>
      </c>
      <c r="I82" s="277">
        <v>720</v>
      </c>
      <c r="J82" s="277">
        <f t="shared" si="2"/>
        <v>3600</v>
      </c>
      <c r="K82" s="277">
        <f t="shared" si="3"/>
        <v>360</v>
      </c>
      <c r="L82" s="277">
        <f t="shared" si="4"/>
        <v>1800</v>
      </c>
      <c r="M82" s="274"/>
    </row>
    <row r="83" spans="1:13" ht="22.5" customHeight="1">
      <c r="A83" s="947" t="s">
        <v>318</v>
      </c>
      <c r="B83" s="931"/>
      <c r="C83" s="932"/>
      <c r="D83" s="278">
        <f>COUNTA(M7M_A[QUALITY])</f>
        <v>70</v>
      </c>
      <c r="E83" s="279">
        <f>SUM(E13:E82)</f>
        <v>337.19999999999987</v>
      </c>
      <c r="F83" s="278"/>
      <c r="G83" s="280"/>
      <c r="H83" s="281">
        <f>SUM(H13:H82)</f>
        <v>40248</v>
      </c>
      <c r="I83" s="280"/>
      <c r="J83" s="280"/>
      <c r="K83" s="280"/>
      <c r="L83" s="280"/>
      <c r="M83" s="280"/>
    </row>
    <row r="84" spans="1:13" ht="16.8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</row>
    <row r="85" spans="1:13" ht="16.8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</row>
    <row r="86" spans="1:13" ht="13.2">
      <c r="A86" s="930" t="s">
        <v>32</v>
      </c>
      <c r="B86" s="931"/>
      <c r="C86" s="931"/>
      <c r="D86" s="931"/>
      <c r="E86" s="931"/>
      <c r="F86" s="931"/>
      <c r="G86" s="931"/>
      <c r="H86" s="931"/>
      <c r="I86" s="931"/>
      <c r="J86" s="931"/>
      <c r="K86" s="931"/>
      <c r="L86" s="931"/>
      <c r="M86" s="932"/>
    </row>
    <row r="87" spans="1:13" ht="22.5" customHeight="1">
      <c r="A87" s="253" t="s">
        <v>165</v>
      </c>
      <c r="B87" s="282" t="s">
        <v>166</v>
      </c>
      <c r="C87" s="282" t="s">
        <v>167</v>
      </c>
      <c r="D87" s="255" t="s">
        <v>168</v>
      </c>
      <c r="E87" s="283" t="s">
        <v>169</v>
      </c>
      <c r="F87" s="284" t="s">
        <v>319</v>
      </c>
      <c r="G87" s="285" t="s">
        <v>320</v>
      </c>
      <c r="H87" s="255" t="s">
        <v>172</v>
      </c>
      <c r="I87" s="286" t="s">
        <v>321</v>
      </c>
      <c r="J87" s="286" t="s">
        <v>322</v>
      </c>
      <c r="K87" s="282" t="s">
        <v>175</v>
      </c>
      <c r="L87" s="282" t="s">
        <v>323</v>
      </c>
      <c r="M87" s="287" t="s">
        <v>177</v>
      </c>
    </row>
    <row r="88" spans="1:13" ht="22.5" customHeight="1">
      <c r="A88" s="254">
        <v>71</v>
      </c>
      <c r="B88" s="254" t="s">
        <v>324</v>
      </c>
      <c r="C88" s="254" t="s">
        <v>325</v>
      </c>
      <c r="D88" s="254" t="s">
        <v>117</v>
      </c>
      <c r="E88" s="288">
        <v>6</v>
      </c>
      <c r="F88" s="289">
        <v>34</v>
      </c>
      <c r="G88" s="290">
        <f t="shared" ref="G88:G113" si="5">F88*5</f>
        <v>170</v>
      </c>
      <c r="H88" s="290">
        <f t="shared" ref="H88:H113" si="6">E88*G88</f>
        <v>1020</v>
      </c>
      <c r="I88" s="290">
        <f>G88*5</f>
        <v>850</v>
      </c>
      <c r="J88" s="290">
        <f t="shared" ref="J88:J113" si="7">I88*E88</f>
        <v>5100</v>
      </c>
      <c r="K88" s="290">
        <f t="shared" ref="K88:K113" si="8">I88/2</f>
        <v>425</v>
      </c>
      <c r="L88" s="290">
        <f t="shared" ref="L88:L113" si="9">K88*E88</f>
        <v>2550</v>
      </c>
      <c r="M88" s="254"/>
    </row>
    <row r="89" spans="1:13" ht="22.5" customHeight="1">
      <c r="A89" s="254">
        <v>72</v>
      </c>
      <c r="B89" s="254" t="s">
        <v>326</v>
      </c>
      <c r="C89" s="254" t="s">
        <v>327</v>
      </c>
      <c r="D89" s="254" t="s">
        <v>112</v>
      </c>
      <c r="E89" s="288">
        <v>5.5</v>
      </c>
      <c r="F89" s="289">
        <v>28</v>
      </c>
      <c r="G89" s="290">
        <f t="shared" si="5"/>
        <v>140</v>
      </c>
      <c r="H89" s="290">
        <f t="shared" si="6"/>
        <v>770</v>
      </c>
      <c r="I89" s="290">
        <v>720</v>
      </c>
      <c r="J89" s="290">
        <f t="shared" si="7"/>
        <v>3960</v>
      </c>
      <c r="K89" s="290">
        <f t="shared" si="8"/>
        <v>360</v>
      </c>
      <c r="L89" s="290">
        <f t="shared" si="9"/>
        <v>1980</v>
      </c>
      <c r="M89" s="254"/>
    </row>
    <row r="90" spans="1:13" ht="22.5" customHeight="1">
      <c r="A90" s="254">
        <v>73</v>
      </c>
      <c r="B90" s="254" t="s">
        <v>328</v>
      </c>
      <c r="C90" s="254" t="s">
        <v>329</v>
      </c>
      <c r="D90" s="254" t="s">
        <v>117</v>
      </c>
      <c r="E90" s="288">
        <v>6</v>
      </c>
      <c r="F90" s="289">
        <v>34</v>
      </c>
      <c r="G90" s="290">
        <f t="shared" si="5"/>
        <v>170</v>
      </c>
      <c r="H90" s="290">
        <f t="shared" si="6"/>
        <v>1020</v>
      </c>
      <c r="I90" s="290">
        <f t="shared" ref="I90:I91" si="10">G90*5</f>
        <v>850</v>
      </c>
      <c r="J90" s="290">
        <f t="shared" si="7"/>
        <v>5100</v>
      </c>
      <c r="K90" s="290">
        <f t="shared" si="8"/>
        <v>425</v>
      </c>
      <c r="L90" s="290">
        <f t="shared" si="9"/>
        <v>2550</v>
      </c>
      <c r="M90" s="254"/>
    </row>
    <row r="91" spans="1:13" ht="22.5" customHeight="1">
      <c r="A91" s="254">
        <v>74</v>
      </c>
      <c r="B91" s="254" t="s">
        <v>330</v>
      </c>
      <c r="C91" s="254" t="s">
        <v>331</v>
      </c>
      <c r="D91" s="254" t="s">
        <v>117</v>
      </c>
      <c r="E91" s="288">
        <v>5.5</v>
      </c>
      <c r="F91" s="289">
        <v>34</v>
      </c>
      <c r="G91" s="290">
        <f t="shared" si="5"/>
        <v>170</v>
      </c>
      <c r="H91" s="290">
        <f t="shared" si="6"/>
        <v>935</v>
      </c>
      <c r="I91" s="290">
        <f t="shared" si="10"/>
        <v>850</v>
      </c>
      <c r="J91" s="290">
        <f t="shared" si="7"/>
        <v>4675</v>
      </c>
      <c r="K91" s="290">
        <f t="shared" si="8"/>
        <v>425</v>
      </c>
      <c r="L91" s="290">
        <f t="shared" si="9"/>
        <v>2337.5</v>
      </c>
      <c r="M91" s="254"/>
    </row>
    <row r="92" spans="1:13" ht="22.5" customHeight="1">
      <c r="A92" s="254">
        <v>75</v>
      </c>
      <c r="B92" s="254" t="s">
        <v>332</v>
      </c>
      <c r="C92" s="254" t="s">
        <v>333</v>
      </c>
      <c r="D92" s="254" t="s">
        <v>112</v>
      </c>
      <c r="E92" s="288">
        <v>5.5</v>
      </c>
      <c r="F92" s="289">
        <v>28</v>
      </c>
      <c r="G92" s="290">
        <f t="shared" si="5"/>
        <v>140</v>
      </c>
      <c r="H92" s="290">
        <f t="shared" si="6"/>
        <v>770</v>
      </c>
      <c r="I92" s="290">
        <v>720</v>
      </c>
      <c r="J92" s="290">
        <f t="shared" si="7"/>
        <v>3960</v>
      </c>
      <c r="K92" s="290">
        <f t="shared" si="8"/>
        <v>360</v>
      </c>
      <c r="L92" s="290">
        <f t="shared" si="9"/>
        <v>1980</v>
      </c>
      <c r="M92" s="254"/>
    </row>
    <row r="93" spans="1:13" ht="22.5" customHeight="1">
      <c r="A93" s="254">
        <v>76</v>
      </c>
      <c r="B93" s="254" t="s">
        <v>334</v>
      </c>
      <c r="C93" s="254" t="s">
        <v>335</v>
      </c>
      <c r="D93" s="254" t="s">
        <v>117</v>
      </c>
      <c r="E93" s="288">
        <v>5</v>
      </c>
      <c r="F93" s="289">
        <v>34</v>
      </c>
      <c r="G93" s="290">
        <f t="shared" si="5"/>
        <v>170</v>
      </c>
      <c r="H93" s="290">
        <f t="shared" si="6"/>
        <v>850</v>
      </c>
      <c r="I93" s="290">
        <f>G93*5</f>
        <v>850</v>
      </c>
      <c r="J93" s="290">
        <f t="shared" si="7"/>
        <v>4250</v>
      </c>
      <c r="K93" s="290">
        <f t="shared" si="8"/>
        <v>425</v>
      </c>
      <c r="L93" s="290">
        <f t="shared" si="9"/>
        <v>2125</v>
      </c>
      <c r="M93" s="254"/>
    </row>
    <row r="94" spans="1:13" ht="22.5" customHeight="1">
      <c r="A94" s="254">
        <v>77</v>
      </c>
      <c r="B94" s="254" t="s">
        <v>336</v>
      </c>
      <c r="C94" s="254" t="s">
        <v>337</v>
      </c>
      <c r="D94" s="254" t="s">
        <v>112</v>
      </c>
      <c r="E94" s="288">
        <v>7</v>
      </c>
      <c r="F94" s="289">
        <v>28</v>
      </c>
      <c r="G94" s="290">
        <f t="shared" si="5"/>
        <v>140</v>
      </c>
      <c r="H94" s="290">
        <f t="shared" si="6"/>
        <v>980</v>
      </c>
      <c r="I94" s="290">
        <v>720</v>
      </c>
      <c r="J94" s="290">
        <f t="shared" si="7"/>
        <v>5040</v>
      </c>
      <c r="K94" s="290">
        <f t="shared" si="8"/>
        <v>360</v>
      </c>
      <c r="L94" s="290">
        <f t="shared" si="9"/>
        <v>2520</v>
      </c>
      <c r="M94" s="254"/>
    </row>
    <row r="95" spans="1:13" ht="22.5" customHeight="1">
      <c r="A95" s="254">
        <v>78</v>
      </c>
      <c r="B95" s="254" t="s">
        <v>338</v>
      </c>
      <c r="C95" s="254" t="s">
        <v>339</v>
      </c>
      <c r="D95" s="254" t="s">
        <v>117</v>
      </c>
      <c r="E95" s="288">
        <v>5</v>
      </c>
      <c r="F95" s="289">
        <v>34</v>
      </c>
      <c r="G95" s="290">
        <f t="shared" si="5"/>
        <v>170</v>
      </c>
      <c r="H95" s="290">
        <f t="shared" si="6"/>
        <v>850</v>
      </c>
      <c r="I95" s="290">
        <f>G95*5</f>
        <v>850</v>
      </c>
      <c r="J95" s="290">
        <f t="shared" si="7"/>
        <v>4250</v>
      </c>
      <c r="K95" s="290">
        <f t="shared" si="8"/>
        <v>425</v>
      </c>
      <c r="L95" s="290">
        <f t="shared" si="9"/>
        <v>2125</v>
      </c>
      <c r="M95" s="254"/>
    </row>
    <row r="96" spans="1:13" ht="22.5" customHeight="1">
      <c r="A96" s="254">
        <v>79</v>
      </c>
      <c r="B96" s="254" t="s">
        <v>340</v>
      </c>
      <c r="C96" s="254" t="s">
        <v>341</v>
      </c>
      <c r="D96" s="254" t="s">
        <v>112</v>
      </c>
      <c r="E96" s="288">
        <v>7.5</v>
      </c>
      <c r="F96" s="289">
        <v>28</v>
      </c>
      <c r="G96" s="290">
        <f t="shared" si="5"/>
        <v>140</v>
      </c>
      <c r="H96" s="290">
        <f t="shared" si="6"/>
        <v>1050</v>
      </c>
      <c r="I96" s="290">
        <v>720</v>
      </c>
      <c r="J96" s="290">
        <f t="shared" si="7"/>
        <v>5400</v>
      </c>
      <c r="K96" s="290">
        <f t="shared" si="8"/>
        <v>360</v>
      </c>
      <c r="L96" s="290">
        <f t="shared" si="9"/>
        <v>2700</v>
      </c>
      <c r="M96" s="254"/>
    </row>
    <row r="97" spans="1:13" ht="22.5" customHeight="1">
      <c r="A97" s="254">
        <v>80</v>
      </c>
      <c r="B97" s="254" t="s">
        <v>342</v>
      </c>
      <c r="C97" s="254" t="s">
        <v>343</v>
      </c>
      <c r="D97" s="254" t="s">
        <v>117</v>
      </c>
      <c r="E97" s="288">
        <v>5</v>
      </c>
      <c r="F97" s="289">
        <v>34</v>
      </c>
      <c r="G97" s="290">
        <f t="shared" si="5"/>
        <v>170</v>
      </c>
      <c r="H97" s="290">
        <f t="shared" si="6"/>
        <v>850</v>
      </c>
      <c r="I97" s="290">
        <f>G97*5</f>
        <v>850</v>
      </c>
      <c r="J97" s="290">
        <f t="shared" si="7"/>
        <v>4250</v>
      </c>
      <c r="K97" s="290">
        <f t="shared" si="8"/>
        <v>425</v>
      </c>
      <c r="L97" s="290">
        <f t="shared" si="9"/>
        <v>2125</v>
      </c>
      <c r="M97" s="254"/>
    </row>
    <row r="98" spans="1:13" ht="22.5" customHeight="1">
      <c r="A98" s="254">
        <v>81</v>
      </c>
      <c r="B98" s="254" t="s">
        <v>344</v>
      </c>
      <c r="C98" s="254" t="s">
        <v>345</v>
      </c>
      <c r="D98" s="254" t="s">
        <v>112</v>
      </c>
      <c r="E98" s="288">
        <v>5.5</v>
      </c>
      <c r="F98" s="289">
        <v>28</v>
      </c>
      <c r="G98" s="290">
        <f t="shared" si="5"/>
        <v>140</v>
      </c>
      <c r="H98" s="290">
        <f t="shared" si="6"/>
        <v>770</v>
      </c>
      <c r="I98" s="290">
        <v>720</v>
      </c>
      <c r="J98" s="290">
        <f t="shared" si="7"/>
        <v>3960</v>
      </c>
      <c r="K98" s="290">
        <f t="shared" si="8"/>
        <v>360</v>
      </c>
      <c r="L98" s="290">
        <f t="shared" si="9"/>
        <v>1980</v>
      </c>
      <c r="M98" s="254"/>
    </row>
    <row r="99" spans="1:13" ht="22.5" customHeight="1">
      <c r="A99" s="254">
        <v>82</v>
      </c>
      <c r="B99" s="254" t="s">
        <v>346</v>
      </c>
      <c r="C99" s="254" t="s">
        <v>347</v>
      </c>
      <c r="D99" s="254" t="s">
        <v>112</v>
      </c>
      <c r="E99" s="288">
        <v>5</v>
      </c>
      <c r="F99" s="289">
        <v>28</v>
      </c>
      <c r="G99" s="290">
        <f t="shared" si="5"/>
        <v>140</v>
      </c>
      <c r="H99" s="290">
        <f t="shared" si="6"/>
        <v>700</v>
      </c>
      <c r="I99" s="290">
        <v>720</v>
      </c>
      <c r="J99" s="290">
        <f t="shared" si="7"/>
        <v>3600</v>
      </c>
      <c r="K99" s="290">
        <f t="shared" si="8"/>
        <v>360</v>
      </c>
      <c r="L99" s="290">
        <f t="shared" si="9"/>
        <v>1800</v>
      </c>
      <c r="M99" s="254"/>
    </row>
    <row r="100" spans="1:13" ht="22.5" customHeight="1">
      <c r="A100" s="254">
        <v>83</v>
      </c>
      <c r="B100" s="254" t="s">
        <v>348</v>
      </c>
      <c r="C100" s="254" t="s">
        <v>349</v>
      </c>
      <c r="D100" s="254" t="s">
        <v>112</v>
      </c>
      <c r="E100" s="288">
        <v>6</v>
      </c>
      <c r="F100" s="289">
        <v>28</v>
      </c>
      <c r="G100" s="290">
        <f t="shared" si="5"/>
        <v>140</v>
      </c>
      <c r="H100" s="290">
        <f t="shared" si="6"/>
        <v>840</v>
      </c>
      <c r="I100" s="290">
        <v>720</v>
      </c>
      <c r="J100" s="290">
        <f t="shared" si="7"/>
        <v>4320</v>
      </c>
      <c r="K100" s="290">
        <f t="shared" si="8"/>
        <v>360</v>
      </c>
      <c r="L100" s="290">
        <f t="shared" si="9"/>
        <v>2160</v>
      </c>
      <c r="M100" s="254"/>
    </row>
    <row r="101" spans="1:13" ht="22.5" customHeight="1">
      <c r="A101" s="254">
        <v>84</v>
      </c>
      <c r="B101" s="254" t="s">
        <v>350</v>
      </c>
      <c r="C101" s="254" t="s">
        <v>351</v>
      </c>
      <c r="D101" s="254" t="s">
        <v>117</v>
      </c>
      <c r="E101" s="288">
        <v>5</v>
      </c>
      <c r="F101" s="289">
        <v>34</v>
      </c>
      <c r="G101" s="290">
        <f t="shared" si="5"/>
        <v>170</v>
      </c>
      <c r="H101" s="290">
        <f t="shared" si="6"/>
        <v>850</v>
      </c>
      <c r="I101" s="290">
        <f>G101*5</f>
        <v>850</v>
      </c>
      <c r="J101" s="290">
        <f t="shared" si="7"/>
        <v>4250</v>
      </c>
      <c r="K101" s="290">
        <f t="shared" si="8"/>
        <v>425</v>
      </c>
      <c r="L101" s="290">
        <f t="shared" si="9"/>
        <v>2125</v>
      </c>
      <c r="M101" s="254"/>
    </row>
    <row r="102" spans="1:13" ht="22.5" customHeight="1">
      <c r="A102" s="254">
        <v>85</v>
      </c>
      <c r="B102" s="254" t="s">
        <v>352</v>
      </c>
      <c r="C102" s="254" t="s">
        <v>353</v>
      </c>
      <c r="D102" s="254" t="s">
        <v>112</v>
      </c>
      <c r="E102" s="288">
        <v>5.5</v>
      </c>
      <c r="F102" s="289">
        <v>28</v>
      </c>
      <c r="G102" s="290">
        <f t="shared" si="5"/>
        <v>140</v>
      </c>
      <c r="H102" s="290">
        <f t="shared" si="6"/>
        <v>770</v>
      </c>
      <c r="I102" s="290">
        <v>720</v>
      </c>
      <c r="J102" s="290">
        <f t="shared" si="7"/>
        <v>3960</v>
      </c>
      <c r="K102" s="290">
        <f t="shared" si="8"/>
        <v>360</v>
      </c>
      <c r="L102" s="290">
        <f t="shared" si="9"/>
        <v>1980</v>
      </c>
      <c r="M102" s="254"/>
    </row>
    <row r="103" spans="1:13" ht="22.5" customHeight="1">
      <c r="A103" s="254">
        <v>86</v>
      </c>
      <c r="B103" s="254" t="s">
        <v>354</v>
      </c>
      <c r="C103" s="254" t="s">
        <v>355</v>
      </c>
      <c r="D103" s="254" t="s">
        <v>117</v>
      </c>
      <c r="E103" s="288">
        <v>4.8</v>
      </c>
      <c r="F103" s="289">
        <v>34</v>
      </c>
      <c r="G103" s="290">
        <f t="shared" si="5"/>
        <v>170</v>
      </c>
      <c r="H103" s="290">
        <f t="shared" si="6"/>
        <v>816</v>
      </c>
      <c r="I103" s="290">
        <f>G103*5</f>
        <v>850</v>
      </c>
      <c r="J103" s="290">
        <f t="shared" si="7"/>
        <v>4080</v>
      </c>
      <c r="K103" s="290">
        <f t="shared" si="8"/>
        <v>425</v>
      </c>
      <c r="L103" s="290">
        <f t="shared" si="9"/>
        <v>2040</v>
      </c>
      <c r="M103" s="254"/>
    </row>
    <row r="104" spans="1:13" ht="22.5" customHeight="1">
      <c r="A104" s="254">
        <v>87</v>
      </c>
      <c r="B104" s="254" t="s">
        <v>356</v>
      </c>
      <c r="C104" s="254" t="s">
        <v>357</v>
      </c>
      <c r="D104" s="254" t="s">
        <v>112</v>
      </c>
      <c r="E104" s="288">
        <v>5.5</v>
      </c>
      <c r="F104" s="289">
        <v>28</v>
      </c>
      <c r="G104" s="290">
        <f t="shared" si="5"/>
        <v>140</v>
      </c>
      <c r="H104" s="290">
        <f t="shared" si="6"/>
        <v>770</v>
      </c>
      <c r="I104" s="290">
        <v>720</v>
      </c>
      <c r="J104" s="290">
        <f t="shared" si="7"/>
        <v>3960</v>
      </c>
      <c r="K104" s="290">
        <f t="shared" si="8"/>
        <v>360</v>
      </c>
      <c r="L104" s="290">
        <f t="shared" si="9"/>
        <v>1980</v>
      </c>
      <c r="M104" s="254"/>
    </row>
    <row r="105" spans="1:13" ht="22.5" customHeight="1">
      <c r="A105" s="254">
        <v>88</v>
      </c>
      <c r="B105" s="254" t="s">
        <v>358</v>
      </c>
      <c r="C105" s="254" t="s">
        <v>359</v>
      </c>
      <c r="D105" s="254" t="s">
        <v>117</v>
      </c>
      <c r="E105" s="288">
        <v>5</v>
      </c>
      <c r="F105" s="289">
        <v>34</v>
      </c>
      <c r="G105" s="290">
        <f t="shared" si="5"/>
        <v>170</v>
      </c>
      <c r="H105" s="290">
        <f t="shared" si="6"/>
        <v>850</v>
      </c>
      <c r="I105" s="290">
        <f>G105*5</f>
        <v>850</v>
      </c>
      <c r="J105" s="290">
        <f t="shared" si="7"/>
        <v>4250</v>
      </c>
      <c r="K105" s="290">
        <f t="shared" si="8"/>
        <v>425</v>
      </c>
      <c r="L105" s="290">
        <f t="shared" si="9"/>
        <v>2125</v>
      </c>
      <c r="M105" s="254"/>
    </row>
    <row r="106" spans="1:13" ht="22.5" customHeight="1">
      <c r="A106" s="254">
        <v>89</v>
      </c>
      <c r="B106" s="254" t="s">
        <v>360</v>
      </c>
      <c r="C106" s="254" t="s">
        <v>361</v>
      </c>
      <c r="D106" s="254" t="s">
        <v>112</v>
      </c>
      <c r="E106" s="288">
        <v>6.5</v>
      </c>
      <c r="F106" s="289">
        <v>28</v>
      </c>
      <c r="G106" s="290">
        <f t="shared" si="5"/>
        <v>140</v>
      </c>
      <c r="H106" s="290">
        <f t="shared" si="6"/>
        <v>910</v>
      </c>
      <c r="I106" s="290">
        <v>720</v>
      </c>
      <c r="J106" s="290">
        <f t="shared" si="7"/>
        <v>4680</v>
      </c>
      <c r="K106" s="290">
        <f t="shared" si="8"/>
        <v>360</v>
      </c>
      <c r="L106" s="290">
        <f t="shared" si="9"/>
        <v>2340</v>
      </c>
      <c r="M106" s="254"/>
    </row>
    <row r="107" spans="1:13" ht="22.5" customHeight="1">
      <c r="A107" s="254">
        <v>90</v>
      </c>
      <c r="B107" s="254" t="s">
        <v>362</v>
      </c>
      <c r="C107" s="254" t="s">
        <v>363</v>
      </c>
      <c r="D107" s="254" t="s">
        <v>117</v>
      </c>
      <c r="E107" s="288">
        <v>5</v>
      </c>
      <c r="F107" s="289">
        <v>34</v>
      </c>
      <c r="G107" s="290">
        <f t="shared" si="5"/>
        <v>170</v>
      </c>
      <c r="H107" s="290">
        <f t="shared" si="6"/>
        <v>850</v>
      </c>
      <c r="I107" s="290">
        <f>G107*5</f>
        <v>850</v>
      </c>
      <c r="J107" s="290">
        <f t="shared" si="7"/>
        <v>4250</v>
      </c>
      <c r="K107" s="290">
        <f t="shared" si="8"/>
        <v>425</v>
      </c>
      <c r="L107" s="290">
        <f t="shared" si="9"/>
        <v>2125</v>
      </c>
      <c r="M107" s="254"/>
    </row>
    <row r="108" spans="1:13" ht="22.5" customHeight="1">
      <c r="A108" s="254">
        <v>91</v>
      </c>
      <c r="B108" s="254" t="s">
        <v>364</v>
      </c>
      <c r="C108" s="254" t="s">
        <v>365</v>
      </c>
      <c r="D108" s="254" t="s">
        <v>112</v>
      </c>
      <c r="E108" s="288">
        <v>5.5</v>
      </c>
      <c r="F108" s="289">
        <v>28</v>
      </c>
      <c r="G108" s="290">
        <f t="shared" si="5"/>
        <v>140</v>
      </c>
      <c r="H108" s="290">
        <f t="shared" si="6"/>
        <v>770</v>
      </c>
      <c r="I108" s="290">
        <v>720</v>
      </c>
      <c r="J108" s="290">
        <f t="shared" si="7"/>
        <v>3960</v>
      </c>
      <c r="K108" s="290">
        <f t="shared" si="8"/>
        <v>360</v>
      </c>
      <c r="L108" s="290">
        <f t="shared" si="9"/>
        <v>1980</v>
      </c>
      <c r="M108" s="254"/>
    </row>
    <row r="109" spans="1:13" ht="22.5" customHeight="1">
      <c r="A109" s="254">
        <v>92</v>
      </c>
      <c r="B109" s="254" t="s">
        <v>366</v>
      </c>
      <c r="C109" s="254" t="s">
        <v>367</v>
      </c>
      <c r="D109" s="254" t="s">
        <v>117</v>
      </c>
      <c r="E109" s="288">
        <v>5</v>
      </c>
      <c r="F109" s="289">
        <v>34</v>
      </c>
      <c r="G109" s="290">
        <f t="shared" si="5"/>
        <v>170</v>
      </c>
      <c r="H109" s="290">
        <f t="shared" si="6"/>
        <v>850</v>
      </c>
      <c r="I109" s="290">
        <f>G109*5</f>
        <v>850</v>
      </c>
      <c r="J109" s="290">
        <f t="shared" si="7"/>
        <v>4250</v>
      </c>
      <c r="K109" s="290">
        <f t="shared" si="8"/>
        <v>425</v>
      </c>
      <c r="L109" s="290">
        <f t="shared" si="9"/>
        <v>2125</v>
      </c>
      <c r="M109" s="254"/>
    </row>
    <row r="110" spans="1:13" ht="22.5" customHeight="1">
      <c r="A110" s="254">
        <v>93</v>
      </c>
      <c r="B110" s="254" t="s">
        <v>368</v>
      </c>
      <c r="C110" s="254" t="s">
        <v>369</v>
      </c>
      <c r="D110" s="254" t="s">
        <v>112</v>
      </c>
      <c r="E110" s="288">
        <v>5</v>
      </c>
      <c r="F110" s="289">
        <v>28</v>
      </c>
      <c r="G110" s="290">
        <f t="shared" si="5"/>
        <v>140</v>
      </c>
      <c r="H110" s="290">
        <f t="shared" si="6"/>
        <v>700</v>
      </c>
      <c r="I110" s="290">
        <v>720</v>
      </c>
      <c r="J110" s="290">
        <f t="shared" si="7"/>
        <v>3600</v>
      </c>
      <c r="K110" s="290">
        <f t="shared" si="8"/>
        <v>360</v>
      </c>
      <c r="L110" s="290">
        <f t="shared" si="9"/>
        <v>1800</v>
      </c>
      <c r="M110" s="254"/>
    </row>
    <row r="111" spans="1:13" ht="22.5" customHeight="1">
      <c r="A111" s="254">
        <v>94</v>
      </c>
      <c r="B111" s="254" t="s">
        <v>370</v>
      </c>
      <c r="C111" s="254" t="s">
        <v>371</v>
      </c>
      <c r="D111" s="254" t="s">
        <v>117</v>
      </c>
      <c r="E111" s="288">
        <v>5</v>
      </c>
      <c r="F111" s="289">
        <v>34</v>
      </c>
      <c r="G111" s="290">
        <f t="shared" si="5"/>
        <v>170</v>
      </c>
      <c r="H111" s="290">
        <f t="shared" si="6"/>
        <v>850</v>
      </c>
      <c r="I111" s="290">
        <f>G111*5</f>
        <v>850</v>
      </c>
      <c r="J111" s="290">
        <f t="shared" si="7"/>
        <v>4250</v>
      </c>
      <c r="K111" s="290">
        <f t="shared" si="8"/>
        <v>425</v>
      </c>
      <c r="L111" s="290">
        <f t="shared" si="9"/>
        <v>2125</v>
      </c>
      <c r="M111" s="254"/>
    </row>
    <row r="112" spans="1:13" ht="22.5" customHeight="1">
      <c r="A112" s="254">
        <v>95</v>
      </c>
      <c r="B112" s="254" t="s">
        <v>372</v>
      </c>
      <c r="C112" s="254" t="s">
        <v>373</v>
      </c>
      <c r="D112" s="254" t="s">
        <v>112</v>
      </c>
      <c r="E112" s="288">
        <v>5</v>
      </c>
      <c r="F112" s="289">
        <v>28</v>
      </c>
      <c r="G112" s="290">
        <f t="shared" si="5"/>
        <v>140</v>
      </c>
      <c r="H112" s="290">
        <f t="shared" si="6"/>
        <v>700</v>
      </c>
      <c r="I112" s="290">
        <v>720</v>
      </c>
      <c r="J112" s="290">
        <f t="shared" si="7"/>
        <v>3600</v>
      </c>
      <c r="K112" s="290">
        <f t="shared" si="8"/>
        <v>360</v>
      </c>
      <c r="L112" s="290">
        <f t="shared" si="9"/>
        <v>1800</v>
      </c>
      <c r="M112" s="254"/>
    </row>
    <row r="113" spans="1:13" ht="22.5" customHeight="1">
      <c r="A113" s="254">
        <v>96</v>
      </c>
      <c r="B113" s="254" t="s">
        <v>374</v>
      </c>
      <c r="C113" s="254" t="s">
        <v>375</v>
      </c>
      <c r="D113" s="254" t="s">
        <v>117</v>
      </c>
      <c r="E113" s="288">
        <v>4.9000000000000004</v>
      </c>
      <c r="F113" s="289">
        <v>34</v>
      </c>
      <c r="G113" s="290">
        <f t="shared" si="5"/>
        <v>170</v>
      </c>
      <c r="H113" s="290">
        <f t="shared" si="6"/>
        <v>833.00000000000011</v>
      </c>
      <c r="I113" s="290">
        <f>G113*5</f>
        <v>850</v>
      </c>
      <c r="J113" s="290">
        <f t="shared" si="7"/>
        <v>4165</v>
      </c>
      <c r="K113" s="290">
        <f t="shared" si="8"/>
        <v>425</v>
      </c>
      <c r="L113" s="290">
        <f t="shared" si="9"/>
        <v>2082.5</v>
      </c>
      <c r="M113" s="254"/>
    </row>
    <row r="114" spans="1:13" ht="22.5" customHeight="1">
      <c r="A114" s="254">
        <v>97</v>
      </c>
      <c r="B114" s="254" t="s">
        <v>376</v>
      </c>
      <c r="C114" s="254" t="s">
        <v>377</v>
      </c>
      <c r="D114" s="254" t="s">
        <v>112</v>
      </c>
      <c r="E114" s="288">
        <v>5</v>
      </c>
      <c r="F114" s="289">
        <v>28</v>
      </c>
      <c r="G114" s="290">
        <v>140</v>
      </c>
      <c r="H114" s="290">
        <v>700</v>
      </c>
      <c r="I114" s="290">
        <v>720</v>
      </c>
      <c r="J114" s="290">
        <v>3600</v>
      </c>
      <c r="K114" s="290">
        <v>360</v>
      </c>
      <c r="L114" s="290">
        <v>1800</v>
      </c>
      <c r="M114" s="254"/>
    </row>
    <row r="115" spans="1:13" ht="22.5" customHeight="1">
      <c r="A115" s="254">
        <v>98</v>
      </c>
      <c r="B115" s="254" t="s">
        <v>378</v>
      </c>
      <c r="C115" s="254" t="s">
        <v>379</v>
      </c>
      <c r="D115" s="254" t="s">
        <v>117</v>
      </c>
      <c r="E115" s="288">
        <v>5</v>
      </c>
      <c r="F115" s="289">
        <v>34</v>
      </c>
      <c r="G115" s="290">
        <f t="shared" ref="G115:G157" si="11">F115*5</f>
        <v>170</v>
      </c>
      <c r="H115" s="290">
        <f t="shared" ref="H115:H157" si="12">E115*G115</f>
        <v>850</v>
      </c>
      <c r="I115" s="290">
        <f>G115*5</f>
        <v>850</v>
      </c>
      <c r="J115" s="290">
        <f t="shared" ref="J115:J157" si="13">I115*E115</f>
        <v>4250</v>
      </c>
      <c r="K115" s="290">
        <f t="shared" ref="K115:K157" si="14">I115/2</f>
        <v>425</v>
      </c>
      <c r="L115" s="290">
        <f t="shared" ref="L115:L157" si="15">K115*E115</f>
        <v>2125</v>
      </c>
      <c r="M115" s="254"/>
    </row>
    <row r="116" spans="1:13" ht="22.5" customHeight="1">
      <c r="A116" s="254">
        <v>99</v>
      </c>
      <c r="B116" s="254" t="s">
        <v>380</v>
      </c>
      <c r="C116" s="254" t="s">
        <v>381</v>
      </c>
      <c r="D116" s="254" t="s">
        <v>112</v>
      </c>
      <c r="E116" s="288">
        <v>5.5</v>
      </c>
      <c r="F116" s="289">
        <v>28</v>
      </c>
      <c r="G116" s="290">
        <f t="shared" si="11"/>
        <v>140</v>
      </c>
      <c r="H116" s="290">
        <f t="shared" si="12"/>
        <v>770</v>
      </c>
      <c r="I116" s="290">
        <v>720</v>
      </c>
      <c r="J116" s="290">
        <f t="shared" si="13"/>
        <v>3960</v>
      </c>
      <c r="K116" s="290">
        <f t="shared" si="14"/>
        <v>360</v>
      </c>
      <c r="L116" s="290">
        <f t="shared" si="15"/>
        <v>1980</v>
      </c>
      <c r="M116" s="254"/>
    </row>
    <row r="117" spans="1:13" ht="22.5" customHeight="1">
      <c r="A117" s="254">
        <v>100</v>
      </c>
      <c r="B117" s="254" t="s">
        <v>382</v>
      </c>
      <c r="C117" s="254" t="s">
        <v>383</v>
      </c>
      <c r="D117" s="254" t="s">
        <v>112</v>
      </c>
      <c r="E117" s="288">
        <v>5.5</v>
      </c>
      <c r="F117" s="289">
        <v>28</v>
      </c>
      <c r="G117" s="290">
        <f t="shared" si="11"/>
        <v>140</v>
      </c>
      <c r="H117" s="290">
        <f t="shared" si="12"/>
        <v>770</v>
      </c>
      <c r="I117" s="290">
        <v>720</v>
      </c>
      <c r="J117" s="290">
        <f t="shared" si="13"/>
        <v>3960</v>
      </c>
      <c r="K117" s="290">
        <f t="shared" si="14"/>
        <v>360</v>
      </c>
      <c r="L117" s="290">
        <f t="shared" si="15"/>
        <v>1980</v>
      </c>
      <c r="M117" s="254"/>
    </row>
    <row r="118" spans="1:13" ht="22.5" customHeight="1">
      <c r="A118" s="254">
        <v>101</v>
      </c>
      <c r="B118" s="254" t="s">
        <v>384</v>
      </c>
      <c r="C118" s="254" t="s">
        <v>385</v>
      </c>
      <c r="D118" s="254" t="s">
        <v>117</v>
      </c>
      <c r="E118" s="288">
        <v>5</v>
      </c>
      <c r="F118" s="289">
        <v>34</v>
      </c>
      <c r="G118" s="290">
        <f t="shared" si="11"/>
        <v>170</v>
      </c>
      <c r="H118" s="290">
        <f t="shared" si="12"/>
        <v>850</v>
      </c>
      <c r="I118" s="290">
        <f>G118*5</f>
        <v>850</v>
      </c>
      <c r="J118" s="290">
        <f t="shared" si="13"/>
        <v>4250</v>
      </c>
      <c r="K118" s="290">
        <f t="shared" si="14"/>
        <v>425</v>
      </c>
      <c r="L118" s="290">
        <f t="shared" si="15"/>
        <v>2125</v>
      </c>
      <c r="M118" s="254"/>
    </row>
    <row r="119" spans="1:13" ht="22.5" customHeight="1">
      <c r="A119" s="254">
        <v>102</v>
      </c>
      <c r="B119" s="254" t="s">
        <v>386</v>
      </c>
      <c r="C119" s="254" t="s">
        <v>387</v>
      </c>
      <c r="D119" s="254" t="s">
        <v>112</v>
      </c>
      <c r="E119" s="288">
        <v>5.5</v>
      </c>
      <c r="F119" s="289">
        <v>28</v>
      </c>
      <c r="G119" s="290">
        <f t="shared" si="11"/>
        <v>140</v>
      </c>
      <c r="H119" s="290">
        <f t="shared" si="12"/>
        <v>770</v>
      </c>
      <c r="I119" s="290">
        <v>720</v>
      </c>
      <c r="J119" s="290">
        <f t="shared" si="13"/>
        <v>3960</v>
      </c>
      <c r="K119" s="290">
        <f t="shared" si="14"/>
        <v>360</v>
      </c>
      <c r="L119" s="290">
        <f t="shared" si="15"/>
        <v>1980</v>
      </c>
      <c r="M119" s="254"/>
    </row>
    <row r="120" spans="1:13" ht="22.5" customHeight="1">
      <c r="A120" s="254">
        <v>103</v>
      </c>
      <c r="B120" s="254" t="s">
        <v>388</v>
      </c>
      <c r="C120" s="254" t="s">
        <v>389</v>
      </c>
      <c r="D120" s="254" t="s">
        <v>112</v>
      </c>
      <c r="E120" s="288">
        <v>6</v>
      </c>
      <c r="F120" s="289">
        <v>28</v>
      </c>
      <c r="G120" s="290">
        <f t="shared" si="11"/>
        <v>140</v>
      </c>
      <c r="H120" s="290">
        <f t="shared" si="12"/>
        <v>840</v>
      </c>
      <c r="I120" s="290">
        <v>720</v>
      </c>
      <c r="J120" s="290">
        <f t="shared" si="13"/>
        <v>4320</v>
      </c>
      <c r="K120" s="290">
        <f t="shared" si="14"/>
        <v>360</v>
      </c>
      <c r="L120" s="290">
        <f t="shared" si="15"/>
        <v>2160</v>
      </c>
      <c r="M120" s="254"/>
    </row>
    <row r="121" spans="1:13" ht="22.5" customHeight="1">
      <c r="A121" s="254">
        <v>104</v>
      </c>
      <c r="B121" s="254" t="s">
        <v>390</v>
      </c>
      <c r="C121" s="254" t="s">
        <v>391</v>
      </c>
      <c r="D121" s="254" t="s">
        <v>112</v>
      </c>
      <c r="E121" s="288">
        <v>5</v>
      </c>
      <c r="F121" s="289">
        <v>28</v>
      </c>
      <c r="G121" s="290">
        <f t="shared" si="11"/>
        <v>140</v>
      </c>
      <c r="H121" s="290">
        <f t="shared" si="12"/>
        <v>700</v>
      </c>
      <c r="I121" s="290">
        <v>720</v>
      </c>
      <c r="J121" s="290">
        <f t="shared" si="13"/>
        <v>3600</v>
      </c>
      <c r="K121" s="290">
        <f t="shared" si="14"/>
        <v>360</v>
      </c>
      <c r="L121" s="290">
        <f t="shared" si="15"/>
        <v>1800</v>
      </c>
      <c r="M121" s="254"/>
    </row>
    <row r="122" spans="1:13" ht="22.5" customHeight="1">
      <c r="A122" s="254">
        <v>105</v>
      </c>
      <c r="B122" s="254" t="s">
        <v>392</v>
      </c>
      <c r="C122" s="254" t="s">
        <v>393</v>
      </c>
      <c r="D122" s="254" t="s">
        <v>113</v>
      </c>
      <c r="E122" s="288">
        <v>5</v>
      </c>
      <c r="F122" s="289">
        <v>22</v>
      </c>
      <c r="G122" s="290">
        <f t="shared" si="11"/>
        <v>110</v>
      </c>
      <c r="H122" s="290">
        <f t="shared" si="12"/>
        <v>550</v>
      </c>
      <c r="I122" s="290">
        <v>720</v>
      </c>
      <c r="J122" s="290">
        <f t="shared" si="13"/>
        <v>3600</v>
      </c>
      <c r="K122" s="290">
        <f t="shared" si="14"/>
        <v>360</v>
      </c>
      <c r="L122" s="290">
        <f t="shared" si="15"/>
        <v>1800</v>
      </c>
      <c r="M122" s="254"/>
    </row>
    <row r="123" spans="1:13" ht="22.5" customHeight="1">
      <c r="A123" s="254">
        <v>106</v>
      </c>
      <c r="B123" s="254" t="s">
        <v>394</v>
      </c>
      <c r="C123" s="254" t="s">
        <v>395</v>
      </c>
      <c r="D123" s="254" t="s">
        <v>112</v>
      </c>
      <c r="E123" s="288">
        <v>5</v>
      </c>
      <c r="F123" s="289">
        <v>28</v>
      </c>
      <c r="G123" s="290">
        <f t="shared" si="11"/>
        <v>140</v>
      </c>
      <c r="H123" s="290">
        <f t="shared" si="12"/>
        <v>700</v>
      </c>
      <c r="I123" s="290">
        <v>720</v>
      </c>
      <c r="J123" s="290">
        <f t="shared" si="13"/>
        <v>3600</v>
      </c>
      <c r="K123" s="290">
        <f t="shared" si="14"/>
        <v>360</v>
      </c>
      <c r="L123" s="290">
        <f t="shared" si="15"/>
        <v>1800</v>
      </c>
      <c r="M123" s="254"/>
    </row>
    <row r="124" spans="1:13" ht="22.5" customHeight="1">
      <c r="A124" s="254">
        <v>107</v>
      </c>
      <c r="B124" s="254" t="s">
        <v>396</v>
      </c>
      <c r="C124" s="254" t="s">
        <v>397</v>
      </c>
      <c r="D124" s="254" t="s">
        <v>113</v>
      </c>
      <c r="E124" s="288">
        <v>5</v>
      </c>
      <c r="F124" s="289">
        <v>22</v>
      </c>
      <c r="G124" s="290">
        <f t="shared" si="11"/>
        <v>110</v>
      </c>
      <c r="H124" s="290">
        <f t="shared" si="12"/>
        <v>550</v>
      </c>
      <c r="I124" s="290">
        <v>720</v>
      </c>
      <c r="J124" s="290">
        <f t="shared" si="13"/>
        <v>3600</v>
      </c>
      <c r="K124" s="290">
        <f t="shared" si="14"/>
        <v>360</v>
      </c>
      <c r="L124" s="290">
        <f t="shared" si="15"/>
        <v>1800</v>
      </c>
      <c r="M124" s="254"/>
    </row>
    <row r="125" spans="1:13" ht="22.5" customHeight="1">
      <c r="A125" s="254">
        <v>108</v>
      </c>
      <c r="B125" s="254" t="s">
        <v>398</v>
      </c>
      <c r="C125" s="254" t="s">
        <v>399</v>
      </c>
      <c r="D125" s="254" t="s">
        <v>113</v>
      </c>
      <c r="E125" s="288">
        <v>5</v>
      </c>
      <c r="F125" s="289">
        <v>22</v>
      </c>
      <c r="G125" s="290">
        <f t="shared" si="11"/>
        <v>110</v>
      </c>
      <c r="H125" s="290">
        <f t="shared" si="12"/>
        <v>550</v>
      </c>
      <c r="I125" s="290">
        <v>720</v>
      </c>
      <c r="J125" s="290">
        <f t="shared" si="13"/>
        <v>3600</v>
      </c>
      <c r="K125" s="290">
        <f t="shared" si="14"/>
        <v>360</v>
      </c>
      <c r="L125" s="290">
        <f t="shared" si="15"/>
        <v>1800</v>
      </c>
      <c r="M125" s="254"/>
    </row>
    <row r="126" spans="1:13" ht="22.5" customHeight="1">
      <c r="A126" s="254">
        <v>109</v>
      </c>
      <c r="B126" s="254" t="s">
        <v>400</v>
      </c>
      <c r="C126" s="254" t="s">
        <v>401</v>
      </c>
      <c r="D126" s="254" t="s">
        <v>112</v>
      </c>
      <c r="E126" s="288">
        <v>6.5</v>
      </c>
      <c r="F126" s="289">
        <v>28</v>
      </c>
      <c r="G126" s="290">
        <f t="shared" si="11"/>
        <v>140</v>
      </c>
      <c r="H126" s="290">
        <f t="shared" si="12"/>
        <v>910</v>
      </c>
      <c r="I126" s="290">
        <v>720</v>
      </c>
      <c r="J126" s="290">
        <f t="shared" si="13"/>
        <v>4680</v>
      </c>
      <c r="K126" s="290">
        <f t="shared" si="14"/>
        <v>360</v>
      </c>
      <c r="L126" s="290">
        <f t="shared" si="15"/>
        <v>2340</v>
      </c>
      <c r="M126" s="254"/>
    </row>
    <row r="127" spans="1:13" ht="22.5" customHeight="1">
      <c r="A127" s="254">
        <v>110</v>
      </c>
      <c r="B127" s="254" t="s">
        <v>402</v>
      </c>
      <c r="C127" s="254" t="s">
        <v>403</v>
      </c>
      <c r="D127" s="254" t="s">
        <v>113</v>
      </c>
      <c r="E127" s="288">
        <v>5</v>
      </c>
      <c r="F127" s="289">
        <v>22</v>
      </c>
      <c r="G127" s="290">
        <f t="shared" si="11"/>
        <v>110</v>
      </c>
      <c r="H127" s="290">
        <f t="shared" si="12"/>
        <v>550</v>
      </c>
      <c r="I127" s="290">
        <v>720</v>
      </c>
      <c r="J127" s="290">
        <f t="shared" si="13"/>
        <v>3600</v>
      </c>
      <c r="K127" s="290">
        <f t="shared" si="14"/>
        <v>360</v>
      </c>
      <c r="L127" s="290">
        <f t="shared" si="15"/>
        <v>1800</v>
      </c>
      <c r="M127" s="254"/>
    </row>
    <row r="128" spans="1:13" ht="22.5" customHeight="1">
      <c r="A128" s="254">
        <v>111</v>
      </c>
      <c r="B128" s="254" t="s">
        <v>404</v>
      </c>
      <c r="C128" s="254" t="s">
        <v>405</v>
      </c>
      <c r="D128" s="254" t="s">
        <v>112</v>
      </c>
      <c r="E128" s="288">
        <v>5</v>
      </c>
      <c r="F128" s="289">
        <v>28</v>
      </c>
      <c r="G128" s="290">
        <f t="shared" si="11"/>
        <v>140</v>
      </c>
      <c r="H128" s="290">
        <f t="shared" si="12"/>
        <v>700</v>
      </c>
      <c r="I128" s="290">
        <v>720</v>
      </c>
      <c r="J128" s="290">
        <f t="shared" si="13"/>
        <v>3600</v>
      </c>
      <c r="K128" s="290">
        <f t="shared" si="14"/>
        <v>360</v>
      </c>
      <c r="L128" s="290">
        <f t="shared" si="15"/>
        <v>1800</v>
      </c>
      <c r="M128" s="254"/>
    </row>
    <row r="129" spans="1:13" ht="22.5" customHeight="1">
      <c r="A129" s="254">
        <v>112</v>
      </c>
      <c r="B129" s="254" t="s">
        <v>406</v>
      </c>
      <c r="C129" s="254" t="s">
        <v>407</v>
      </c>
      <c r="D129" s="254" t="s">
        <v>113</v>
      </c>
      <c r="E129" s="288">
        <v>5</v>
      </c>
      <c r="F129" s="289">
        <v>22</v>
      </c>
      <c r="G129" s="290">
        <f t="shared" si="11"/>
        <v>110</v>
      </c>
      <c r="H129" s="290">
        <f t="shared" si="12"/>
        <v>550</v>
      </c>
      <c r="I129" s="290">
        <v>720</v>
      </c>
      <c r="J129" s="290">
        <f t="shared" si="13"/>
        <v>3600</v>
      </c>
      <c r="K129" s="290">
        <f t="shared" si="14"/>
        <v>360</v>
      </c>
      <c r="L129" s="290">
        <f t="shared" si="15"/>
        <v>1800</v>
      </c>
      <c r="M129" s="254"/>
    </row>
    <row r="130" spans="1:13" ht="22.5" customHeight="1">
      <c r="A130" s="254">
        <v>113</v>
      </c>
      <c r="B130" s="254" t="s">
        <v>408</v>
      </c>
      <c r="C130" s="254" t="s">
        <v>409</v>
      </c>
      <c r="D130" s="254" t="s">
        <v>112</v>
      </c>
      <c r="E130" s="288">
        <v>7</v>
      </c>
      <c r="F130" s="289">
        <v>28</v>
      </c>
      <c r="G130" s="290">
        <f t="shared" si="11"/>
        <v>140</v>
      </c>
      <c r="H130" s="290">
        <f t="shared" si="12"/>
        <v>980</v>
      </c>
      <c r="I130" s="290">
        <v>720</v>
      </c>
      <c r="J130" s="290">
        <f t="shared" si="13"/>
        <v>5040</v>
      </c>
      <c r="K130" s="290">
        <f t="shared" si="14"/>
        <v>360</v>
      </c>
      <c r="L130" s="290">
        <f t="shared" si="15"/>
        <v>2520</v>
      </c>
      <c r="M130" s="254"/>
    </row>
    <row r="131" spans="1:13" ht="22.5" customHeight="1">
      <c r="A131" s="254">
        <v>114</v>
      </c>
      <c r="B131" s="254" t="s">
        <v>410</v>
      </c>
      <c r="C131" s="254" t="s">
        <v>411</v>
      </c>
      <c r="D131" s="254" t="s">
        <v>112</v>
      </c>
      <c r="E131" s="288">
        <v>5</v>
      </c>
      <c r="F131" s="289">
        <v>28</v>
      </c>
      <c r="G131" s="290">
        <f t="shared" si="11"/>
        <v>140</v>
      </c>
      <c r="H131" s="290">
        <f t="shared" si="12"/>
        <v>700</v>
      </c>
      <c r="I131" s="290">
        <v>720</v>
      </c>
      <c r="J131" s="290">
        <f t="shared" si="13"/>
        <v>3600</v>
      </c>
      <c r="K131" s="290">
        <f t="shared" si="14"/>
        <v>360</v>
      </c>
      <c r="L131" s="290">
        <f t="shared" si="15"/>
        <v>1800</v>
      </c>
      <c r="M131" s="254"/>
    </row>
    <row r="132" spans="1:13" ht="22.5" customHeight="1">
      <c r="A132" s="254">
        <v>115</v>
      </c>
      <c r="B132" s="254" t="s">
        <v>412</v>
      </c>
      <c r="C132" s="254" t="s">
        <v>413</v>
      </c>
      <c r="D132" s="254" t="s">
        <v>114</v>
      </c>
      <c r="E132" s="288">
        <v>7</v>
      </c>
      <c r="F132" s="289">
        <v>22</v>
      </c>
      <c r="G132" s="290">
        <f t="shared" si="11"/>
        <v>110</v>
      </c>
      <c r="H132" s="290">
        <f t="shared" si="12"/>
        <v>770</v>
      </c>
      <c r="I132" s="290">
        <v>720</v>
      </c>
      <c r="J132" s="290">
        <f t="shared" si="13"/>
        <v>5040</v>
      </c>
      <c r="K132" s="290">
        <f t="shared" si="14"/>
        <v>360</v>
      </c>
      <c r="L132" s="290">
        <f t="shared" si="15"/>
        <v>2520</v>
      </c>
      <c r="M132" s="254"/>
    </row>
    <row r="133" spans="1:13" ht="22.5" customHeight="1">
      <c r="A133" s="254">
        <v>116</v>
      </c>
      <c r="B133" s="254" t="s">
        <v>414</v>
      </c>
      <c r="C133" s="254" t="s">
        <v>415</v>
      </c>
      <c r="D133" s="254" t="s">
        <v>112</v>
      </c>
      <c r="E133" s="288">
        <v>5</v>
      </c>
      <c r="F133" s="289">
        <v>28</v>
      </c>
      <c r="G133" s="290">
        <f t="shared" si="11"/>
        <v>140</v>
      </c>
      <c r="H133" s="290">
        <f t="shared" si="12"/>
        <v>700</v>
      </c>
      <c r="I133" s="290">
        <v>720</v>
      </c>
      <c r="J133" s="290">
        <f t="shared" si="13"/>
        <v>3600</v>
      </c>
      <c r="K133" s="290">
        <f t="shared" si="14"/>
        <v>360</v>
      </c>
      <c r="L133" s="290">
        <f t="shared" si="15"/>
        <v>1800</v>
      </c>
      <c r="M133" s="254"/>
    </row>
    <row r="134" spans="1:13" ht="22.5" customHeight="1">
      <c r="A134" s="254">
        <v>117</v>
      </c>
      <c r="B134" s="254" t="s">
        <v>416</v>
      </c>
      <c r="C134" s="254" t="s">
        <v>417</v>
      </c>
      <c r="D134" s="254" t="s">
        <v>112</v>
      </c>
      <c r="E134" s="288">
        <v>4</v>
      </c>
      <c r="F134" s="289">
        <v>28</v>
      </c>
      <c r="G134" s="290">
        <f t="shared" si="11"/>
        <v>140</v>
      </c>
      <c r="H134" s="290">
        <f t="shared" si="12"/>
        <v>560</v>
      </c>
      <c r="I134" s="290">
        <v>720</v>
      </c>
      <c r="J134" s="290">
        <f t="shared" si="13"/>
        <v>2880</v>
      </c>
      <c r="K134" s="290">
        <f t="shared" si="14"/>
        <v>360</v>
      </c>
      <c r="L134" s="290">
        <f t="shared" si="15"/>
        <v>1440</v>
      </c>
      <c r="M134" s="254"/>
    </row>
    <row r="135" spans="1:13" ht="22.5" customHeight="1">
      <c r="A135" s="254">
        <v>118</v>
      </c>
      <c r="B135" s="254" t="s">
        <v>418</v>
      </c>
      <c r="C135" s="254" t="s">
        <v>419</v>
      </c>
      <c r="D135" s="254" t="s">
        <v>112</v>
      </c>
      <c r="E135" s="288">
        <v>5</v>
      </c>
      <c r="F135" s="289">
        <v>28</v>
      </c>
      <c r="G135" s="290">
        <f t="shared" si="11"/>
        <v>140</v>
      </c>
      <c r="H135" s="290">
        <f t="shared" si="12"/>
        <v>700</v>
      </c>
      <c r="I135" s="290">
        <v>720</v>
      </c>
      <c r="J135" s="290">
        <f t="shared" si="13"/>
        <v>3600</v>
      </c>
      <c r="K135" s="290">
        <f t="shared" si="14"/>
        <v>360</v>
      </c>
      <c r="L135" s="290">
        <f t="shared" si="15"/>
        <v>1800</v>
      </c>
      <c r="M135" s="254"/>
    </row>
    <row r="136" spans="1:13" ht="22.5" customHeight="1">
      <c r="A136" s="254">
        <v>119</v>
      </c>
      <c r="B136" s="254" t="s">
        <v>420</v>
      </c>
      <c r="C136" s="254" t="s">
        <v>421</v>
      </c>
      <c r="D136" s="254" t="s">
        <v>112</v>
      </c>
      <c r="E136" s="288">
        <v>5</v>
      </c>
      <c r="F136" s="289">
        <v>28</v>
      </c>
      <c r="G136" s="290">
        <f t="shared" si="11"/>
        <v>140</v>
      </c>
      <c r="H136" s="290">
        <f t="shared" si="12"/>
        <v>700</v>
      </c>
      <c r="I136" s="290">
        <v>720</v>
      </c>
      <c r="J136" s="290">
        <f t="shared" si="13"/>
        <v>3600</v>
      </c>
      <c r="K136" s="290">
        <f t="shared" si="14"/>
        <v>360</v>
      </c>
      <c r="L136" s="290">
        <f t="shared" si="15"/>
        <v>1800</v>
      </c>
      <c r="M136" s="254"/>
    </row>
    <row r="137" spans="1:13" ht="22.5" customHeight="1">
      <c r="A137" s="254">
        <v>120</v>
      </c>
      <c r="B137" s="254" t="s">
        <v>422</v>
      </c>
      <c r="C137" s="254" t="s">
        <v>423</v>
      </c>
      <c r="D137" s="254" t="s">
        <v>112</v>
      </c>
      <c r="E137" s="288">
        <v>5.5</v>
      </c>
      <c r="F137" s="289">
        <v>28</v>
      </c>
      <c r="G137" s="290">
        <f t="shared" si="11"/>
        <v>140</v>
      </c>
      <c r="H137" s="290">
        <f t="shared" si="12"/>
        <v>770</v>
      </c>
      <c r="I137" s="290">
        <v>720</v>
      </c>
      <c r="J137" s="290">
        <f t="shared" si="13"/>
        <v>3960</v>
      </c>
      <c r="K137" s="290">
        <f t="shared" si="14"/>
        <v>360</v>
      </c>
      <c r="L137" s="290">
        <f t="shared" si="15"/>
        <v>1980</v>
      </c>
      <c r="M137" s="254"/>
    </row>
    <row r="138" spans="1:13" ht="22.5" customHeight="1">
      <c r="A138" s="254">
        <v>121</v>
      </c>
      <c r="B138" s="254" t="s">
        <v>424</v>
      </c>
      <c r="C138" s="254" t="s">
        <v>425</v>
      </c>
      <c r="D138" s="254" t="s">
        <v>117</v>
      </c>
      <c r="E138" s="288">
        <v>5</v>
      </c>
      <c r="F138" s="289">
        <v>34</v>
      </c>
      <c r="G138" s="290">
        <f t="shared" si="11"/>
        <v>170</v>
      </c>
      <c r="H138" s="290">
        <f t="shared" si="12"/>
        <v>850</v>
      </c>
      <c r="I138" s="290">
        <f>G138*5</f>
        <v>850</v>
      </c>
      <c r="J138" s="290">
        <f t="shared" si="13"/>
        <v>4250</v>
      </c>
      <c r="K138" s="290">
        <f t="shared" si="14"/>
        <v>425</v>
      </c>
      <c r="L138" s="290">
        <f t="shared" si="15"/>
        <v>2125</v>
      </c>
      <c r="M138" s="254"/>
    </row>
    <row r="139" spans="1:13" ht="22.5" customHeight="1">
      <c r="A139" s="254">
        <v>122</v>
      </c>
      <c r="B139" s="254" t="s">
        <v>426</v>
      </c>
      <c r="C139" s="254" t="s">
        <v>427</v>
      </c>
      <c r="D139" s="254" t="s">
        <v>112</v>
      </c>
      <c r="E139" s="288">
        <v>5.6</v>
      </c>
      <c r="F139" s="289">
        <v>28</v>
      </c>
      <c r="G139" s="290">
        <f t="shared" si="11"/>
        <v>140</v>
      </c>
      <c r="H139" s="290">
        <f t="shared" si="12"/>
        <v>784</v>
      </c>
      <c r="I139" s="290">
        <v>720</v>
      </c>
      <c r="J139" s="290">
        <f t="shared" si="13"/>
        <v>4031.9999999999995</v>
      </c>
      <c r="K139" s="290">
        <f t="shared" si="14"/>
        <v>360</v>
      </c>
      <c r="L139" s="290">
        <f t="shared" si="15"/>
        <v>2015.9999999999998</v>
      </c>
      <c r="M139" s="254"/>
    </row>
    <row r="140" spans="1:13" ht="22.5" customHeight="1">
      <c r="A140" s="254">
        <v>123</v>
      </c>
      <c r="B140" s="254" t="s">
        <v>428</v>
      </c>
      <c r="C140" s="254" t="s">
        <v>429</v>
      </c>
      <c r="D140" s="254" t="s">
        <v>113</v>
      </c>
      <c r="E140" s="288">
        <v>5</v>
      </c>
      <c r="F140" s="289">
        <v>22</v>
      </c>
      <c r="G140" s="290">
        <f t="shared" si="11"/>
        <v>110</v>
      </c>
      <c r="H140" s="290">
        <f t="shared" si="12"/>
        <v>550</v>
      </c>
      <c r="I140" s="290">
        <v>720</v>
      </c>
      <c r="J140" s="290">
        <f t="shared" si="13"/>
        <v>3600</v>
      </c>
      <c r="K140" s="290">
        <f t="shared" si="14"/>
        <v>360</v>
      </c>
      <c r="L140" s="290">
        <f t="shared" si="15"/>
        <v>1800</v>
      </c>
      <c r="M140" s="254"/>
    </row>
    <row r="141" spans="1:13" ht="22.5" customHeight="1">
      <c r="A141" s="254">
        <v>124</v>
      </c>
      <c r="B141" s="254" t="s">
        <v>430</v>
      </c>
      <c r="C141" s="254" t="s">
        <v>431</v>
      </c>
      <c r="D141" s="254" t="s">
        <v>117</v>
      </c>
      <c r="E141" s="288">
        <v>5</v>
      </c>
      <c r="F141" s="289">
        <v>34</v>
      </c>
      <c r="G141" s="290">
        <f t="shared" si="11"/>
        <v>170</v>
      </c>
      <c r="H141" s="290">
        <f t="shared" si="12"/>
        <v>850</v>
      </c>
      <c r="I141" s="290">
        <f>G141*5</f>
        <v>850</v>
      </c>
      <c r="J141" s="290">
        <f t="shared" si="13"/>
        <v>4250</v>
      </c>
      <c r="K141" s="290">
        <f t="shared" si="14"/>
        <v>425</v>
      </c>
      <c r="L141" s="290">
        <f t="shared" si="15"/>
        <v>2125</v>
      </c>
      <c r="M141" s="254"/>
    </row>
    <row r="142" spans="1:13" ht="22.5" customHeight="1">
      <c r="A142" s="254">
        <v>125</v>
      </c>
      <c r="B142" s="254" t="s">
        <v>432</v>
      </c>
      <c r="C142" s="254" t="s">
        <v>433</v>
      </c>
      <c r="D142" s="254" t="s">
        <v>112</v>
      </c>
      <c r="E142" s="288">
        <v>5.5</v>
      </c>
      <c r="F142" s="289">
        <v>28</v>
      </c>
      <c r="G142" s="290">
        <f t="shared" si="11"/>
        <v>140</v>
      </c>
      <c r="H142" s="290">
        <f t="shared" si="12"/>
        <v>770</v>
      </c>
      <c r="I142" s="290">
        <v>720</v>
      </c>
      <c r="J142" s="290">
        <f t="shared" si="13"/>
        <v>3960</v>
      </c>
      <c r="K142" s="290">
        <f t="shared" si="14"/>
        <v>360</v>
      </c>
      <c r="L142" s="290">
        <f t="shared" si="15"/>
        <v>1980</v>
      </c>
      <c r="M142" s="254"/>
    </row>
    <row r="143" spans="1:13" ht="22.5" customHeight="1">
      <c r="A143" s="254">
        <v>126</v>
      </c>
      <c r="B143" s="254" t="s">
        <v>434</v>
      </c>
      <c r="C143" s="254" t="s">
        <v>435</v>
      </c>
      <c r="D143" s="254" t="s">
        <v>112</v>
      </c>
      <c r="E143" s="288">
        <v>5</v>
      </c>
      <c r="F143" s="289">
        <v>28</v>
      </c>
      <c r="G143" s="290">
        <f t="shared" si="11"/>
        <v>140</v>
      </c>
      <c r="H143" s="290">
        <f t="shared" si="12"/>
        <v>700</v>
      </c>
      <c r="I143" s="290">
        <v>720</v>
      </c>
      <c r="J143" s="290">
        <f t="shared" si="13"/>
        <v>3600</v>
      </c>
      <c r="K143" s="290">
        <f t="shared" si="14"/>
        <v>360</v>
      </c>
      <c r="L143" s="290">
        <f t="shared" si="15"/>
        <v>1800</v>
      </c>
      <c r="M143" s="254"/>
    </row>
    <row r="144" spans="1:13" ht="22.5" customHeight="1">
      <c r="A144" s="254">
        <v>127</v>
      </c>
      <c r="B144" s="254" t="s">
        <v>436</v>
      </c>
      <c r="C144" s="254" t="s">
        <v>437</v>
      </c>
      <c r="D144" s="254" t="s">
        <v>113</v>
      </c>
      <c r="E144" s="288">
        <v>5</v>
      </c>
      <c r="F144" s="289">
        <v>22</v>
      </c>
      <c r="G144" s="290">
        <f t="shared" si="11"/>
        <v>110</v>
      </c>
      <c r="H144" s="290">
        <f t="shared" si="12"/>
        <v>550</v>
      </c>
      <c r="I144" s="290">
        <v>720</v>
      </c>
      <c r="J144" s="290">
        <f t="shared" si="13"/>
        <v>3600</v>
      </c>
      <c r="K144" s="290">
        <f t="shared" si="14"/>
        <v>360</v>
      </c>
      <c r="L144" s="290">
        <f t="shared" si="15"/>
        <v>1800</v>
      </c>
      <c r="M144" s="254"/>
    </row>
    <row r="145" spans="1:13" ht="22.5" customHeight="1">
      <c r="A145" s="254">
        <v>128</v>
      </c>
      <c r="B145" s="254" t="s">
        <v>438</v>
      </c>
      <c r="C145" s="254" t="s">
        <v>439</v>
      </c>
      <c r="D145" s="254" t="s">
        <v>115</v>
      </c>
      <c r="E145" s="288">
        <v>5</v>
      </c>
      <c r="F145" s="289">
        <v>28</v>
      </c>
      <c r="G145" s="290">
        <f t="shared" si="11"/>
        <v>140</v>
      </c>
      <c r="H145" s="290">
        <f t="shared" si="12"/>
        <v>700</v>
      </c>
      <c r="I145" s="290">
        <v>800</v>
      </c>
      <c r="J145" s="290">
        <f t="shared" si="13"/>
        <v>4000</v>
      </c>
      <c r="K145" s="290">
        <f t="shared" si="14"/>
        <v>400</v>
      </c>
      <c r="L145" s="290">
        <f t="shared" si="15"/>
        <v>2000</v>
      </c>
      <c r="M145" s="254"/>
    </row>
    <row r="146" spans="1:13" ht="22.5" customHeight="1">
      <c r="A146" s="254">
        <v>129</v>
      </c>
      <c r="B146" s="254" t="s">
        <v>440</v>
      </c>
      <c r="C146" s="254" t="s">
        <v>441</v>
      </c>
      <c r="D146" s="254" t="s">
        <v>115</v>
      </c>
      <c r="E146" s="288">
        <v>5</v>
      </c>
      <c r="F146" s="289">
        <v>28</v>
      </c>
      <c r="G146" s="290">
        <f t="shared" si="11"/>
        <v>140</v>
      </c>
      <c r="H146" s="290">
        <f t="shared" si="12"/>
        <v>700</v>
      </c>
      <c r="I146" s="290">
        <v>800</v>
      </c>
      <c r="J146" s="290">
        <f t="shared" si="13"/>
        <v>4000</v>
      </c>
      <c r="K146" s="290">
        <f t="shared" si="14"/>
        <v>400</v>
      </c>
      <c r="L146" s="290">
        <f t="shared" si="15"/>
        <v>2000</v>
      </c>
      <c r="M146" s="254"/>
    </row>
    <row r="147" spans="1:13" ht="22.5" customHeight="1">
      <c r="A147" s="254">
        <v>130</v>
      </c>
      <c r="B147" s="254" t="s">
        <v>442</v>
      </c>
      <c r="C147" s="254" t="s">
        <v>443</v>
      </c>
      <c r="D147" s="254" t="s">
        <v>112</v>
      </c>
      <c r="E147" s="288">
        <v>6</v>
      </c>
      <c r="F147" s="289">
        <v>28</v>
      </c>
      <c r="G147" s="290">
        <f t="shared" si="11"/>
        <v>140</v>
      </c>
      <c r="H147" s="290">
        <f t="shared" si="12"/>
        <v>840</v>
      </c>
      <c r="I147" s="290">
        <v>720</v>
      </c>
      <c r="J147" s="290">
        <f t="shared" si="13"/>
        <v>4320</v>
      </c>
      <c r="K147" s="290">
        <f t="shared" si="14"/>
        <v>360</v>
      </c>
      <c r="L147" s="290">
        <f t="shared" si="15"/>
        <v>2160</v>
      </c>
      <c r="M147" s="254"/>
    </row>
    <row r="148" spans="1:13" ht="22.5" customHeight="1">
      <c r="A148" s="254">
        <v>131</v>
      </c>
      <c r="B148" s="254" t="s">
        <v>444</v>
      </c>
      <c r="C148" s="254" t="s">
        <v>445</v>
      </c>
      <c r="D148" s="254" t="s">
        <v>112</v>
      </c>
      <c r="E148" s="288">
        <v>5</v>
      </c>
      <c r="F148" s="289">
        <v>28</v>
      </c>
      <c r="G148" s="290">
        <f t="shared" si="11"/>
        <v>140</v>
      </c>
      <c r="H148" s="290">
        <f t="shared" si="12"/>
        <v>700</v>
      </c>
      <c r="I148" s="290">
        <v>720</v>
      </c>
      <c r="J148" s="290">
        <f t="shared" si="13"/>
        <v>3600</v>
      </c>
      <c r="K148" s="290">
        <f t="shared" si="14"/>
        <v>360</v>
      </c>
      <c r="L148" s="290">
        <f t="shared" si="15"/>
        <v>1800</v>
      </c>
      <c r="M148" s="254"/>
    </row>
    <row r="149" spans="1:13" ht="22.5" customHeight="1">
      <c r="A149" s="254">
        <v>132</v>
      </c>
      <c r="B149" s="254" t="s">
        <v>446</v>
      </c>
      <c r="C149" s="254" t="s">
        <v>447</v>
      </c>
      <c r="D149" s="254" t="s">
        <v>112</v>
      </c>
      <c r="E149" s="288">
        <v>5.5</v>
      </c>
      <c r="F149" s="289">
        <v>28</v>
      </c>
      <c r="G149" s="290">
        <f t="shared" si="11"/>
        <v>140</v>
      </c>
      <c r="H149" s="290">
        <f t="shared" si="12"/>
        <v>770</v>
      </c>
      <c r="I149" s="290">
        <f t="shared" ref="I149:I152" si="16">G149*5</f>
        <v>700</v>
      </c>
      <c r="J149" s="290">
        <f t="shared" si="13"/>
        <v>3850</v>
      </c>
      <c r="K149" s="290">
        <f t="shared" si="14"/>
        <v>350</v>
      </c>
      <c r="L149" s="290">
        <f t="shared" si="15"/>
        <v>1925</v>
      </c>
      <c r="M149" s="254"/>
    </row>
    <row r="150" spans="1:13" ht="22.5" customHeight="1">
      <c r="A150" s="254">
        <v>133</v>
      </c>
      <c r="B150" s="254" t="s">
        <v>448</v>
      </c>
      <c r="C150" s="254" t="s">
        <v>449</v>
      </c>
      <c r="D150" s="254" t="s">
        <v>112</v>
      </c>
      <c r="E150" s="288">
        <v>5.5</v>
      </c>
      <c r="F150" s="289">
        <v>28</v>
      </c>
      <c r="G150" s="290">
        <f t="shared" si="11"/>
        <v>140</v>
      </c>
      <c r="H150" s="290">
        <f t="shared" si="12"/>
        <v>770</v>
      </c>
      <c r="I150" s="290">
        <f t="shared" si="16"/>
        <v>700</v>
      </c>
      <c r="J150" s="290">
        <f t="shared" si="13"/>
        <v>3850</v>
      </c>
      <c r="K150" s="290">
        <f t="shared" si="14"/>
        <v>350</v>
      </c>
      <c r="L150" s="290">
        <f t="shared" si="15"/>
        <v>1925</v>
      </c>
      <c r="M150" s="254"/>
    </row>
    <row r="151" spans="1:13" ht="22.5" customHeight="1">
      <c r="A151" s="254">
        <v>134</v>
      </c>
      <c r="B151" s="254" t="s">
        <v>450</v>
      </c>
      <c r="C151" s="254" t="s">
        <v>451</v>
      </c>
      <c r="D151" s="254" t="s">
        <v>112</v>
      </c>
      <c r="E151" s="288">
        <v>6</v>
      </c>
      <c r="F151" s="289">
        <v>28</v>
      </c>
      <c r="G151" s="290">
        <f t="shared" si="11"/>
        <v>140</v>
      </c>
      <c r="H151" s="290">
        <f t="shared" si="12"/>
        <v>840</v>
      </c>
      <c r="I151" s="290">
        <f t="shared" si="16"/>
        <v>700</v>
      </c>
      <c r="J151" s="290">
        <f t="shared" si="13"/>
        <v>4200</v>
      </c>
      <c r="K151" s="290">
        <f t="shared" si="14"/>
        <v>350</v>
      </c>
      <c r="L151" s="290">
        <f t="shared" si="15"/>
        <v>2100</v>
      </c>
      <c r="M151" s="254"/>
    </row>
    <row r="152" spans="1:13" ht="22.5" customHeight="1">
      <c r="A152" s="254">
        <v>135</v>
      </c>
      <c r="B152" s="254" t="s">
        <v>452</v>
      </c>
      <c r="C152" s="254" t="s">
        <v>453</v>
      </c>
      <c r="D152" s="254" t="s">
        <v>117</v>
      </c>
      <c r="E152" s="288">
        <v>5</v>
      </c>
      <c r="F152" s="289">
        <v>34</v>
      </c>
      <c r="G152" s="290">
        <f t="shared" si="11"/>
        <v>170</v>
      </c>
      <c r="H152" s="290">
        <f t="shared" si="12"/>
        <v>850</v>
      </c>
      <c r="I152" s="290">
        <f t="shared" si="16"/>
        <v>850</v>
      </c>
      <c r="J152" s="290">
        <f t="shared" si="13"/>
        <v>4250</v>
      </c>
      <c r="K152" s="290">
        <f t="shared" si="14"/>
        <v>425</v>
      </c>
      <c r="L152" s="290">
        <f t="shared" si="15"/>
        <v>2125</v>
      </c>
      <c r="M152" s="254"/>
    </row>
    <row r="153" spans="1:13" ht="22.5" customHeight="1">
      <c r="A153" s="254">
        <v>136</v>
      </c>
      <c r="B153" s="254" t="s">
        <v>454</v>
      </c>
      <c r="C153" s="254" t="s">
        <v>455</v>
      </c>
      <c r="D153" s="254" t="s">
        <v>112</v>
      </c>
      <c r="E153" s="288">
        <v>5</v>
      </c>
      <c r="F153" s="289">
        <v>28</v>
      </c>
      <c r="G153" s="290">
        <f t="shared" si="11"/>
        <v>140</v>
      </c>
      <c r="H153" s="290">
        <f t="shared" si="12"/>
        <v>700</v>
      </c>
      <c r="I153" s="290">
        <v>720</v>
      </c>
      <c r="J153" s="290">
        <f t="shared" si="13"/>
        <v>3600</v>
      </c>
      <c r="K153" s="290">
        <f t="shared" si="14"/>
        <v>360</v>
      </c>
      <c r="L153" s="290">
        <f t="shared" si="15"/>
        <v>1800</v>
      </c>
      <c r="M153" s="254"/>
    </row>
    <row r="154" spans="1:13" ht="22.5" customHeight="1">
      <c r="A154" s="254">
        <v>137</v>
      </c>
      <c r="B154" s="254" t="s">
        <v>456</v>
      </c>
      <c r="C154" s="254" t="s">
        <v>457</v>
      </c>
      <c r="D154" s="254" t="s">
        <v>112</v>
      </c>
      <c r="E154" s="288">
        <v>5</v>
      </c>
      <c r="F154" s="289">
        <v>28</v>
      </c>
      <c r="G154" s="290">
        <f t="shared" si="11"/>
        <v>140</v>
      </c>
      <c r="H154" s="290">
        <f t="shared" si="12"/>
        <v>700</v>
      </c>
      <c r="I154" s="290">
        <v>720</v>
      </c>
      <c r="J154" s="290">
        <f t="shared" si="13"/>
        <v>3600</v>
      </c>
      <c r="K154" s="290">
        <f t="shared" si="14"/>
        <v>360</v>
      </c>
      <c r="L154" s="290">
        <f t="shared" si="15"/>
        <v>1800</v>
      </c>
      <c r="M154" s="254"/>
    </row>
    <row r="155" spans="1:13" ht="22.5" customHeight="1">
      <c r="A155" s="254">
        <v>138</v>
      </c>
      <c r="B155" s="254" t="s">
        <v>458</v>
      </c>
      <c r="C155" s="254" t="s">
        <v>459</v>
      </c>
      <c r="D155" s="254" t="s">
        <v>117</v>
      </c>
      <c r="E155" s="288">
        <v>5</v>
      </c>
      <c r="F155" s="289">
        <v>34</v>
      </c>
      <c r="G155" s="290">
        <f t="shared" si="11"/>
        <v>170</v>
      </c>
      <c r="H155" s="290">
        <f t="shared" si="12"/>
        <v>850</v>
      </c>
      <c r="I155" s="290">
        <f t="shared" ref="I155:I157" si="17">G155*5</f>
        <v>850</v>
      </c>
      <c r="J155" s="290">
        <f t="shared" si="13"/>
        <v>4250</v>
      </c>
      <c r="K155" s="290">
        <f t="shared" si="14"/>
        <v>425</v>
      </c>
      <c r="L155" s="290">
        <f t="shared" si="15"/>
        <v>2125</v>
      </c>
      <c r="M155" s="254"/>
    </row>
    <row r="156" spans="1:13" ht="22.5" customHeight="1">
      <c r="A156" s="254">
        <v>139</v>
      </c>
      <c r="B156" s="254" t="s">
        <v>460</v>
      </c>
      <c r="C156" s="254" t="s">
        <v>461</v>
      </c>
      <c r="D156" s="254" t="s">
        <v>117</v>
      </c>
      <c r="E156" s="288">
        <v>5</v>
      </c>
      <c r="F156" s="289">
        <v>34</v>
      </c>
      <c r="G156" s="290">
        <f t="shared" si="11"/>
        <v>170</v>
      </c>
      <c r="H156" s="290">
        <f t="shared" si="12"/>
        <v>850</v>
      </c>
      <c r="I156" s="290">
        <f t="shared" si="17"/>
        <v>850</v>
      </c>
      <c r="J156" s="290">
        <f t="shared" si="13"/>
        <v>4250</v>
      </c>
      <c r="K156" s="290">
        <f t="shared" si="14"/>
        <v>425</v>
      </c>
      <c r="L156" s="290">
        <f t="shared" si="15"/>
        <v>2125</v>
      </c>
      <c r="M156" s="254"/>
    </row>
    <row r="157" spans="1:13" ht="22.5" customHeight="1">
      <c r="A157" s="254">
        <v>140</v>
      </c>
      <c r="B157" s="254" t="s">
        <v>462</v>
      </c>
      <c r="C157" s="254" t="s">
        <v>439</v>
      </c>
      <c r="D157" s="254" t="s">
        <v>117</v>
      </c>
      <c r="E157" s="288">
        <v>5</v>
      </c>
      <c r="F157" s="289">
        <v>34</v>
      </c>
      <c r="G157" s="290">
        <f t="shared" si="11"/>
        <v>170</v>
      </c>
      <c r="H157" s="290">
        <f t="shared" si="12"/>
        <v>850</v>
      </c>
      <c r="I157" s="290">
        <f t="shared" si="17"/>
        <v>850</v>
      </c>
      <c r="J157" s="290">
        <f t="shared" si="13"/>
        <v>4250</v>
      </c>
      <c r="K157" s="290">
        <f t="shared" si="14"/>
        <v>425</v>
      </c>
      <c r="L157" s="290">
        <f t="shared" si="15"/>
        <v>2125</v>
      </c>
      <c r="M157" s="254"/>
    </row>
    <row r="158" spans="1:13" ht="22.5" customHeight="1">
      <c r="A158" s="254">
        <v>141</v>
      </c>
      <c r="B158" s="254" t="s">
        <v>463</v>
      </c>
      <c r="C158" s="254" t="s">
        <v>464</v>
      </c>
      <c r="D158" s="254" t="s">
        <v>117</v>
      </c>
      <c r="E158" s="288">
        <v>5</v>
      </c>
      <c r="F158" s="289">
        <v>34</v>
      </c>
      <c r="G158" s="290">
        <v>170</v>
      </c>
      <c r="H158" s="290">
        <v>850</v>
      </c>
      <c r="I158" s="290">
        <v>850</v>
      </c>
      <c r="J158" s="290">
        <v>4250</v>
      </c>
      <c r="K158" s="290">
        <v>425</v>
      </c>
      <c r="L158" s="290">
        <v>2125</v>
      </c>
      <c r="M158" s="254"/>
    </row>
    <row r="159" spans="1:13" ht="22.5" customHeight="1">
      <c r="A159" s="254">
        <v>142</v>
      </c>
      <c r="B159" s="254" t="s">
        <v>465</v>
      </c>
      <c r="C159" s="254" t="s">
        <v>466</v>
      </c>
      <c r="D159" s="254" t="s">
        <v>117</v>
      </c>
      <c r="E159" s="288">
        <v>5</v>
      </c>
      <c r="F159" s="289">
        <v>34</v>
      </c>
      <c r="G159" s="290">
        <f t="shared" ref="G159:G167" si="18">F159*5</f>
        <v>170</v>
      </c>
      <c r="H159" s="290">
        <f t="shared" ref="H159:H167" si="19">E159*G159</f>
        <v>850</v>
      </c>
      <c r="I159" s="290">
        <f t="shared" ref="I159:I162" si="20">G159*5</f>
        <v>850</v>
      </c>
      <c r="J159" s="290">
        <f t="shared" ref="J159:J167" si="21">I159*E159</f>
        <v>4250</v>
      </c>
      <c r="K159" s="290">
        <f t="shared" ref="K159:K167" si="22">I159/2</f>
        <v>425</v>
      </c>
      <c r="L159" s="290">
        <f t="shared" ref="L159:L167" si="23">K159*E159</f>
        <v>2125</v>
      </c>
      <c r="M159" s="254"/>
    </row>
    <row r="160" spans="1:13" ht="22.5" customHeight="1">
      <c r="A160" s="254">
        <v>143</v>
      </c>
      <c r="B160" s="254" t="s">
        <v>467</v>
      </c>
      <c r="C160" s="254" t="s">
        <v>468</v>
      </c>
      <c r="D160" s="254" t="s">
        <v>117</v>
      </c>
      <c r="E160" s="288">
        <v>5</v>
      </c>
      <c r="F160" s="289">
        <v>34</v>
      </c>
      <c r="G160" s="290">
        <f t="shared" si="18"/>
        <v>170</v>
      </c>
      <c r="H160" s="290">
        <f t="shared" si="19"/>
        <v>850</v>
      </c>
      <c r="I160" s="290">
        <f t="shared" si="20"/>
        <v>850</v>
      </c>
      <c r="J160" s="290">
        <f t="shared" si="21"/>
        <v>4250</v>
      </c>
      <c r="K160" s="290">
        <f t="shared" si="22"/>
        <v>425</v>
      </c>
      <c r="L160" s="290">
        <f t="shared" si="23"/>
        <v>2125</v>
      </c>
      <c r="M160" s="254"/>
    </row>
    <row r="161" spans="1:13" ht="22.5" customHeight="1">
      <c r="A161" s="254">
        <v>144</v>
      </c>
      <c r="B161" s="254" t="s">
        <v>469</v>
      </c>
      <c r="C161" s="254" t="s">
        <v>470</v>
      </c>
      <c r="D161" s="254" t="s">
        <v>117</v>
      </c>
      <c r="E161" s="288">
        <v>5</v>
      </c>
      <c r="F161" s="289">
        <v>34</v>
      </c>
      <c r="G161" s="290">
        <f t="shared" si="18"/>
        <v>170</v>
      </c>
      <c r="H161" s="290">
        <f t="shared" si="19"/>
        <v>850</v>
      </c>
      <c r="I161" s="290">
        <f t="shared" si="20"/>
        <v>850</v>
      </c>
      <c r="J161" s="290">
        <f t="shared" si="21"/>
        <v>4250</v>
      </c>
      <c r="K161" s="290">
        <f t="shared" si="22"/>
        <v>425</v>
      </c>
      <c r="L161" s="290">
        <f t="shared" si="23"/>
        <v>2125</v>
      </c>
      <c r="M161" s="254"/>
    </row>
    <row r="162" spans="1:13" ht="22.5" customHeight="1">
      <c r="A162" s="254">
        <v>145</v>
      </c>
      <c r="B162" s="254" t="s">
        <v>471</v>
      </c>
      <c r="C162" s="254" t="s">
        <v>472</v>
      </c>
      <c r="D162" s="254" t="s">
        <v>117</v>
      </c>
      <c r="E162" s="288">
        <v>5</v>
      </c>
      <c r="F162" s="289">
        <v>34</v>
      </c>
      <c r="G162" s="290">
        <f t="shared" si="18"/>
        <v>170</v>
      </c>
      <c r="H162" s="290">
        <f t="shared" si="19"/>
        <v>850</v>
      </c>
      <c r="I162" s="290">
        <f t="shared" si="20"/>
        <v>850</v>
      </c>
      <c r="J162" s="290">
        <f t="shared" si="21"/>
        <v>4250</v>
      </c>
      <c r="K162" s="290">
        <f t="shared" si="22"/>
        <v>425</v>
      </c>
      <c r="L162" s="290">
        <f t="shared" si="23"/>
        <v>2125</v>
      </c>
      <c r="M162" s="254"/>
    </row>
    <row r="163" spans="1:13" ht="22.5" customHeight="1">
      <c r="A163" s="254">
        <v>146</v>
      </c>
      <c r="B163" s="254" t="s">
        <v>473</v>
      </c>
      <c r="C163" s="254" t="s">
        <v>474</v>
      </c>
      <c r="D163" s="254" t="s">
        <v>118</v>
      </c>
      <c r="E163" s="288">
        <v>5</v>
      </c>
      <c r="F163" s="289">
        <v>22</v>
      </c>
      <c r="G163" s="290">
        <f t="shared" si="18"/>
        <v>110</v>
      </c>
      <c r="H163" s="290">
        <f t="shared" si="19"/>
        <v>550</v>
      </c>
      <c r="I163" s="290">
        <v>800</v>
      </c>
      <c r="J163" s="290">
        <f t="shared" si="21"/>
        <v>4000</v>
      </c>
      <c r="K163" s="290">
        <f t="shared" si="22"/>
        <v>400</v>
      </c>
      <c r="L163" s="290">
        <f t="shared" si="23"/>
        <v>2000</v>
      </c>
      <c r="M163" s="254"/>
    </row>
    <row r="164" spans="1:13" ht="22.5" customHeight="1">
      <c r="A164" s="254">
        <v>147</v>
      </c>
      <c r="B164" s="254" t="s">
        <v>475</v>
      </c>
      <c r="C164" s="254" t="s">
        <v>476</v>
      </c>
      <c r="D164" s="254" t="s">
        <v>118</v>
      </c>
      <c r="E164" s="288">
        <v>5</v>
      </c>
      <c r="F164" s="289">
        <v>22</v>
      </c>
      <c r="G164" s="290">
        <f t="shared" si="18"/>
        <v>110</v>
      </c>
      <c r="H164" s="290">
        <f t="shared" si="19"/>
        <v>550</v>
      </c>
      <c r="I164" s="290">
        <v>800</v>
      </c>
      <c r="J164" s="290">
        <f t="shared" si="21"/>
        <v>4000</v>
      </c>
      <c r="K164" s="290">
        <f t="shared" si="22"/>
        <v>400</v>
      </c>
      <c r="L164" s="290">
        <f t="shared" si="23"/>
        <v>2000</v>
      </c>
      <c r="M164" s="254"/>
    </row>
    <row r="165" spans="1:13" ht="22.5" customHeight="1">
      <c r="A165" s="254">
        <v>148</v>
      </c>
      <c r="B165" s="254" t="s">
        <v>477</v>
      </c>
      <c r="C165" s="254" t="s">
        <v>478</v>
      </c>
      <c r="D165" s="254" t="s">
        <v>117</v>
      </c>
      <c r="E165" s="288">
        <v>5</v>
      </c>
      <c r="F165" s="289">
        <v>34</v>
      </c>
      <c r="G165" s="290">
        <f t="shared" si="18"/>
        <v>170</v>
      </c>
      <c r="H165" s="290">
        <f t="shared" si="19"/>
        <v>850</v>
      </c>
      <c r="I165" s="290">
        <f t="shared" ref="I165:I167" si="24">G165*5</f>
        <v>850</v>
      </c>
      <c r="J165" s="290">
        <f t="shared" si="21"/>
        <v>4250</v>
      </c>
      <c r="K165" s="290">
        <f t="shared" si="22"/>
        <v>425</v>
      </c>
      <c r="L165" s="290">
        <f t="shared" si="23"/>
        <v>2125</v>
      </c>
      <c r="M165" s="254"/>
    </row>
    <row r="166" spans="1:13" ht="22.5" customHeight="1">
      <c r="A166" s="254">
        <v>149</v>
      </c>
      <c r="B166" s="254" t="s">
        <v>479</v>
      </c>
      <c r="C166" s="254" t="s">
        <v>480</v>
      </c>
      <c r="D166" s="254" t="s">
        <v>117</v>
      </c>
      <c r="E166" s="288">
        <v>5</v>
      </c>
      <c r="F166" s="289">
        <v>34</v>
      </c>
      <c r="G166" s="290">
        <f t="shared" si="18"/>
        <v>170</v>
      </c>
      <c r="H166" s="290">
        <f t="shared" si="19"/>
        <v>850</v>
      </c>
      <c r="I166" s="290">
        <f t="shared" si="24"/>
        <v>850</v>
      </c>
      <c r="J166" s="290">
        <f t="shared" si="21"/>
        <v>4250</v>
      </c>
      <c r="K166" s="290">
        <f t="shared" si="22"/>
        <v>425</v>
      </c>
      <c r="L166" s="290">
        <f t="shared" si="23"/>
        <v>2125</v>
      </c>
      <c r="M166" s="254"/>
    </row>
    <row r="167" spans="1:13" ht="22.5" customHeight="1">
      <c r="A167" s="254">
        <v>150</v>
      </c>
      <c r="B167" s="254" t="s">
        <v>481</v>
      </c>
      <c r="C167" s="254" t="s">
        <v>482</v>
      </c>
      <c r="D167" s="254" t="s">
        <v>117</v>
      </c>
      <c r="E167" s="288">
        <v>5</v>
      </c>
      <c r="F167" s="289">
        <v>34</v>
      </c>
      <c r="G167" s="290">
        <f t="shared" si="18"/>
        <v>170</v>
      </c>
      <c r="H167" s="290">
        <f t="shared" si="19"/>
        <v>850</v>
      </c>
      <c r="I167" s="290">
        <f t="shared" si="24"/>
        <v>850</v>
      </c>
      <c r="J167" s="290">
        <f t="shared" si="21"/>
        <v>4250</v>
      </c>
      <c r="K167" s="290">
        <f t="shared" si="22"/>
        <v>425</v>
      </c>
      <c r="L167" s="290">
        <f t="shared" si="23"/>
        <v>2125</v>
      </c>
      <c r="M167" s="254"/>
    </row>
    <row r="168" spans="1:13" ht="22.5" customHeight="1">
      <c r="A168" s="254">
        <v>151</v>
      </c>
      <c r="B168" s="254" t="s">
        <v>483</v>
      </c>
      <c r="C168" s="254" t="s">
        <v>484</v>
      </c>
      <c r="D168" s="254" t="s">
        <v>117</v>
      </c>
      <c r="E168" s="288">
        <v>5</v>
      </c>
      <c r="F168" s="289">
        <v>34</v>
      </c>
      <c r="G168" s="290">
        <v>170</v>
      </c>
      <c r="H168" s="290">
        <v>850</v>
      </c>
      <c r="I168" s="290">
        <v>850</v>
      </c>
      <c r="J168" s="290">
        <v>4250</v>
      </c>
      <c r="K168" s="290">
        <v>425</v>
      </c>
      <c r="L168" s="290">
        <v>2125</v>
      </c>
      <c r="M168" s="254"/>
    </row>
    <row r="169" spans="1:13" ht="22.5" customHeight="1">
      <c r="A169" s="254">
        <v>152</v>
      </c>
      <c r="B169" s="254" t="s">
        <v>485</v>
      </c>
      <c r="C169" s="254" t="s">
        <v>486</v>
      </c>
      <c r="D169" s="254" t="s">
        <v>115</v>
      </c>
      <c r="E169" s="288">
        <v>5.5</v>
      </c>
      <c r="F169" s="289">
        <v>28</v>
      </c>
      <c r="G169" s="290">
        <f t="shared" ref="G169:G170" si="25">F169*5</f>
        <v>140</v>
      </c>
      <c r="H169" s="290">
        <f t="shared" ref="H169:H170" si="26">E169*G169</f>
        <v>770</v>
      </c>
      <c r="I169" s="290">
        <v>800</v>
      </c>
      <c r="J169" s="290">
        <f t="shared" ref="J169:J170" si="27">I169*E169</f>
        <v>4400</v>
      </c>
      <c r="K169" s="290">
        <f t="shared" ref="K169:K170" si="28">I169/2</f>
        <v>400</v>
      </c>
      <c r="L169" s="290">
        <f t="shared" ref="L169:L170" si="29">K169*E169</f>
        <v>2200</v>
      </c>
      <c r="M169" s="254"/>
    </row>
    <row r="170" spans="1:13" ht="22.5" customHeight="1">
      <c r="A170" s="254">
        <v>153</v>
      </c>
      <c r="B170" s="254" t="s">
        <v>487</v>
      </c>
      <c r="C170" s="254" t="s">
        <v>488</v>
      </c>
      <c r="D170" s="254" t="s">
        <v>114</v>
      </c>
      <c r="E170" s="288">
        <v>7</v>
      </c>
      <c r="F170" s="289">
        <v>22</v>
      </c>
      <c r="G170" s="290">
        <f t="shared" si="25"/>
        <v>110</v>
      </c>
      <c r="H170" s="290">
        <f t="shared" si="26"/>
        <v>770</v>
      </c>
      <c r="I170" s="290">
        <v>720</v>
      </c>
      <c r="J170" s="290">
        <f t="shared" si="27"/>
        <v>5040</v>
      </c>
      <c r="K170" s="290">
        <f t="shared" si="28"/>
        <v>360</v>
      </c>
      <c r="L170" s="290">
        <f t="shared" si="29"/>
        <v>2520</v>
      </c>
      <c r="M170" s="254"/>
    </row>
    <row r="171" spans="1:13" ht="22.5" customHeight="1">
      <c r="A171" s="254">
        <v>154</v>
      </c>
      <c r="B171" s="254" t="s">
        <v>489</v>
      </c>
      <c r="C171" s="254" t="s">
        <v>490</v>
      </c>
      <c r="D171" s="254" t="s">
        <v>114</v>
      </c>
      <c r="E171" s="288">
        <v>7</v>
      </c>
      <c r="F171" s="289">
        <v>22</v>
      </c>
      <c r="G171" s="290">
        <v>110</v>
      </c>
      <c r="H171" s="290">
        <v>770</v>
      </c>
      <c r="I171" s="290">
        <v>720</v>
      </c>
      <c r="J171" s="290">
        <v>5040</v>
      </c>
      <c r="K171" s="290">
        <v>360</v>
      </c>
      <c r="L171" s="290">
        <v>2520</v>
      </c>
      <c r="M171" s="254"/>
    </row>
    <row r="172" spans="1:13" ht="22.5" customHeight="1">
      <c r="A172" s="254">
        <v>155</v>
      </c>
      <c r="B172" s="254" t="s">
        <v>491</v>
      </c>
      <c r="C172" s="254" t="s">
        <v>492</v>
      </c>
      <c r="D172" s="254" t="s">
        <v>114</v>
      </c>
      <c r="E172" s="288">
        <v>6.5</v>
      </c>
      <c r="F172" s="289">
        <v>22</v>
      </c>
      <c r="G172" s="290">
        <f t="shared" ref="G172:G188" si="30">F172*5</f>
        <v>110</v>
      </c>
      <c r="H172" s="290">
        <f t="shared" ref="H172:H188" si="31">E172*G172</f>
        <v>715</v>
      </c>
      <c r="I172" s="290">
        <v>720</v>
      </c>
      <c r="J172" s="290">
        <f t="shared" ref="J172:J188" si="32">I172*E172</f>
        <v>4680</v>
      </c>
      <c r="K172" s="290">
        <f t="shared" ref="K172:K188" si="33">I172/2</f>
        <v>360</v>
      </c>
      <c r="L172" s="290">
        <f t="shared" ref="L172:L188" si="34">K172*E172</f>
        <v>2340</v>
      </c>
      <c r="M172" s="254"/>
    </row>
    <row r="173" spans="1:13" ht="22.5" customHeight="1">
      <c r="A173" s="254">
        <v>156</v>
      </c>
      <c r="B173" s="254" t="s">
        <v>493</v>
      </c>
      <c r="C173" s="254" t="s">
        <v>494</v>
      </c>
      <c r="D173" s="254" t="s">
        <v>113</v>
      </c>
      <c r="E173" s="288">
        <v>5</v>
      </c>
      <c r="F173" s="289">
        <v>22</v>
      </c>
      <c r="G173" s="290">
        <f t="shared" si="30"/>
        <v>110</v>
      </c>
      <c r="H173" s="290">
        <f t="shared" si="31"/>
        <v>550</v>
      </c>
      <c r="I173" s="290">
        <v>720</v>
      </c>
      <c r="J173" s="290">
        <f t="shared" si="32"/>
        <v>3600</v>
      </c>
      <c r="K173" s="290">
        <f t="shared" si="33"/>
        <v>360</v>
      </c>
      <c r="L173" s="290">
        <f t="shared" si="34"/>
        <v>1800</v>
      </c>
      <c r="M173" s="254"/>
    </row>
    <row r="174" spans="1:13" ht="22.5" customHeight="1">
      <c r="A174" s="254">
        <v>157</v>
      </c>
      <c r="B174" s="254" t="s">
        <v>495</v>
      </c>
      <c r="C174" s="254" t="s">
        <v>496</v>
      </c>
      <c r="D174" s="254" t="s">
        <v>113</v>
      </c>
      <c r="E174" s="288">
        <v>5</v>
      </c>
      <c r="F174" s="289">
        <v>22</v>
      </c>
      <c r="G174" s="290">
        <f t="shared" si="30"/>
        <v>110</v>
      </c>
      <c r="H174" s="290">
        <f t="shared" si="31"/>
        <v>550</v>
      </c>
      <c r="I174" s="290">
        <v>720</v>
      </c>
      <c r="J174" s="290">
        <f t="shared" si="32"/>
        <v>3600</v>
      </c>
      <c r="K174" s="290">
        <f t="shared" si="33"/>
        <v>360</v>
      </c>
      <c r="L174" s="290">
        <f t="shared" si="34"/>
        <v>1800</v>
      </c>
      <c r="M174" s="254"/>
    </row>
    <row r="175" spans="1:13" ht="22.5" customHeight="1">
      <c r="A175" s="254">
        <v>158</v>
      </c>
      <c r="B175" s="254" t="s">
        <v>497</v>
      </c>
      <c r="C175" s="254" t="s">
        <v>498</v>
      </c>
      <c r="D175" s="254" t="s">
        <v>113</v>
      </c>
      <c r="E175" s="288">
        <v>5</v>
      </c>
      <c r="F175" s="289">
        <v>22</v>
      </c>
      <c r="G175" s="290">
        <f t="shared" si="30"/>
        <v>110</v>
      </c>
      <c r="H175" s="290">
        <f t="shared" si="31"/>
        <v>550</v>
      </c>
      <c r="I175" s="290">
        <v>720</v>
      </c>
      <c r="J175" s="290">
        <f t="shared" si="32"/>
        <v>3600</v>
      </c>
      <c r="K175" s="290">
        <f t="shared" si="33"/>
        <v>360</v>
      </c>
      <c r="L175" s="290">
        <f t="shared" si="34"/>
        <v>1800</v>
      </c>
      <c r="M175" s="254"/>
    </row>
    <row r="176" spans="1:13" ht="22.5" customHeight="1">
      <c r="A176" s="254">
        <v>159</v>
      </c>
      <c r="B176" s="254" t="s">
        <v>499</v>
      </c>
      <c r="C176" s="254" t="s">
        <v>500</v>
      </c>
      <c r="D176" s="254" t="s">
        <v>114</v>
      </c>
      <c r="E176" s="288">
        <v>7</v>
      </c>
      <c r="F176" s="289">
        <v>22</v>
      </c>
      <c r="G176" s="290">
        <f t="shared" si="30"/>
        <v>110</v>
      </c>
      <c r="H176" s="290">
        <f t="shared" si="31"/>
        <v>770</v>
      </c>
      <c r="I176" s="290">
        <v>720</v>
      </c>
      <c r="J176" s="290">
        <f t="shared" si="32"/>
        <v>5040</v>
      </c>
      <c r="K176" s="290">
        <f t="shared" si="33"/>
        <v>360</v>
      </c>
      <c r="L176" s="290">
        <f t="shared" si="34"/>
        <v>2520</v>
      </c>
      <c r="M176" s="254"/>
    </row>
    <row r="177" spans="1:13" ht="22.5" customHeight="1">
      <c r="A177" s="254">
        <v>160</v>
      </c>
      <c r="B177" s="254" t="s">
        <v>501</v>
      </c>
      <c r="C177" s="254" t="s">
        <v>502</v>
      </c>
      <c r="D177" s="254" t="s">
        <v>114</v>
      </c>
      <c r="E177" s="288">
        <v>7</v>
      </c>
      <c r="F177" s="289">
        <v>22</v>
      </c>
      <c r="G177" s="290">
        <f t="shared" si="30"/>
        <v>110</v>
      </c>
      <c r="H177" s="290">
        <f t="shared" si="31"/>
        <v>770</v>
      </c>
      <c r="I177" s="290">
        <v>720</v>
      </c>
      <c r="J177" s="290">
        <f t="shared" si="32"/>
        <v>5040</v>
      </c>
      <c r="K177" s="290">
        <f t="shared" si="33"/>
        <v>360</v>
      </c>
      <c r="L177" s="290">
        <f t="shared" si="34"/>
        <v>2520</v>
      </c>
      <c r="M177" s="254"/>
    </row>
    <row r="178" spans="1:13" ht="22.5" customHeight="1">
      <c r="A178" s="254">
        <v>161</v>
      </c>
      <c r="B178" s="254" t="s">
        <v>503</v>
      </c>
      <c r="C178" s="254" t="s">
        <v>504</v>
      </c>
      <c r="D178" s="254" t="s">
        <v>114</v>
      </c>
      <c r="E178" s="288">
        <v>7</v>
      </c>
      <c r="F178" s="289">
        <v>22</v>
      </c>
      <c r="G178" s="290">
        <f t="shared" si="30"/>
        <v>110</v>
      </c>
      <c r="H178" s="290">
        <f t="shared" si="31"/>
        <v>770</v>
      </c>
      <c r="I178" s="290">
        <v>720</v>
      </c>
      <c r="J178" s="290">
        <f t="shared" si="32"/>
        <v>5040</v>
      </c>
      <c r="K178" s="290">
        <f t="shared" si="33"/>
        <v>360</v>
      </c>
      <c r="L178" s="290">
        <f t="shared" si="34"/>
        <v>2520</v>
      </c>
      <c r="M178" s="254"/>
    </row>
    <row r="179" spans="1:13" ht="22.5" customHeight="1">
      <c r="A179" s="254">
        <v>162</v>
      </c>
      <c r="B179" s="254" t="s">
        <v>505</v>
      </c>
      <c r="C179" s="254" t="s">
        <v>506</v>
      </c>
      <c r="D179" s="254" t="s">
        <v>119</v>
      </c>
      <c r="E179" s="288">
        <v>5</v>
      </c>
      <c r="F179" s="289">
        <v>28</v>
      </c>
      <c r="G179" s="290">
        <f t="shared" si="30"/>
        <v>140</v>
      </c>
      <c r="H179" s="290">
        <f t="shared" si="31"/>
        <v>700</v>
      </c>
      <c r="I179" s="290">
        <v>800</v>
      </c>
      <c r="J179" s="290">
        <f t="shared" si="32"/>
        <v>4000</v>
      </c>
      <c r="K179" s="290">
        <f t="shared" si="33"/>
        <v>400</v>
      </c>
      <c r="L179" s="290">
        <f t="shared" si="34"/>
        <v>2000</v>
      </c>
      <c r="M179" s="254"/>
    </row>
    <row r="180" spans="1:13" ht="22.5" customHeight="1">
      <c r="A180" s="254">
        <v>163</v>
      </c>
      <c r="B180" s="254" t="s">
        <v>507</v>
      </c>
      <c r="C180" s="254" t="s">
        <v>508</v>
      </c>
      <c r="D180" s="254" t="s">
        <v>112</v>
      </c>
      <c r="E180" s="288">
        <v>5</v>
      </c>
      <c r="F180" s="289">
        <v>28</v>
      </c>
      <c r="G180" s="290">
        <f t="shared" si="30"/>
        <v>140</v>
      </c>
      <c r="H180" s="290">
        <f t="shared" si="31"/>
        <v>700</v>
      </c>
      <c r="I180" s="290">
        <v>720</v>
      </c>
      <c r="J180" s="290">
        <f t="shared" si="32"/>
        <v>3600</v>
      </c>
      <c r="K180" s="290">
        <f t="shared" si="33"/>
        <v>360</v>
      </c>
      <c r="L180" s="290">
        <f t="shared" si="34"/>
        <v>1800</v>
      </c>
      <c r="M180" s="254"/>
    </row>
    <row r="181" spans="1:13" ht="22.5" customHeight="1">
      <c r="A181" s="254">
        <v>164</v>
      </c>
      <c r="B181" s="254" t="s">
        <v>509</v>
      </c>
      <c r="C181" s="254" t="s">
        <v>510</v>
      </c>
      <c r="D181" s="254" t="s">
        <v>112</v>
      </c>
      <c r="E181" s="288">
        <v>5</v>
      </c>
      <c r="F181" s="289">
        <v>28</v>
      </c>
      <c r="G181" s="290">
        <f t="shared" si="30"/>
        <v>140</v>
      </c>
      <c r="H181" s="290">
        <f t="shared" si="31"/>
        <v>700</v>
      </c>
      <c r="I181" s="290">
        <v>720</v>
      </c>
      <c r="J181" s="290">
        <f t="shared" si="32"/>
        <v>3600</v>
      </c>
      <c r="K181" s="290">
        <f t="shared" si="33"/>
        <v>360</v>
      </c>
      <c r="L181" s="290">
        <f t="shared" si="34"/>
        <v>1800</v>
      </c>
      <c r="M181" s="254"/>
    </row>
    <row r="182" spans="1:13" ht="22.5" customHeight="1">
      <c r="A182" s="254">
        <v>165</v>
      </c>
      <c r="B182" s="254" t="s">
        <v>511</v>
      </c>
      <c r="C182" s="254" t="s">
        <v>512</v>
      </c>
      <c r="D182" s="254" t="s">
        <v>114</v>
      </c>
      <c r="E182" s="288">
        <v>5</v>
      </c>
      <c r="F182" s="289">
        <v>22</v>
      </c>
      <c r="G182" s="290">
        <f t="shared" si="30"/>
        <v>110</v>
      </c>
      <c r="H182" s="290">
        <f t="shared" si="31"/>
        <v>550</v>
      </c>
      <c r="I182" s="290">
        <v>720</v>
      </c>
      <c r="J182" s="290">
        <f t="shared" si="32"/>
        <v>3600</v>
      </c>
      <c r="K182" s="290">
        <f t="shared" si="33"/>
        <v>360</v>
      </c>
      <c r="L182" s="290">
        <f t="shared" si="34"/>
        <v>1800</v>
      </c>
      <c r="M182" s="254"/>
    </row>
    <row r="183" spans="1:13" ht="22.5" customHeight="1">
      <c r="A183" s="254">
        <v>166</v>
      </c>
      <c r="B183" s="254" t="s">
        <v>513</v>
      </c>
      <c r="C183" s="254" t="s">
        <v>514</v>
      </c>
      <c r="D183" s="254" t="s">
        <v>114</v>
      </c>
      <c r="E183" s="288">
        <v>5</v>
      </c>
      <c r="F183" s="289">
        <v>22</v>
      </c>
      <c r="G183" s="290">
        <f t="shared" si="30"/>
        <v>110</v>
      </c>
      <c r="H183" s="290">
        <f t="shared" si="31"/>
        <v>550</v>
      </c>
      <c r="I183" s="290">
        <v>720</v>
      </c>
      <c r="J183" s="290">
        <f t="shared" si="32"/>
        <v>3600</v>
      </c>
      <c r="K183" s="290">
        <f t="shared" si="33"/>
        <v>360</v>
      </c>
      <c r="L183" s="290">
        <f t="shared" si="34"/>
        <v>1800</v>
      </c>
      <c r="M183" s="254"/>
    </row>
    <row r="184" spans="1:13" ht="22.5" customHeight="1">
      <c r="A184" s="254">
        <v>167</v>
      </c>
      <c r="B184" s="254" t="s">
        <v>515</v>
      </c>
      <c r="C184" s="254" t="s">
        <v>516</v>
      </c>
      <c r="D184" s="254" t="s">
        <v>114</v>
      </c>
      <c r="E184" s="288">
        <v>7</v>
      </c>
      <c r="F184" s="289">
        <v>22</v>
      </c>
      <c r="G184" s="290">
        <f t="shared" si="30"/>
        <v>110</v>
      </c>
      <c r="H184" s="290">
        <f t="shared" si="31"/>
        <v>770</v>
      </c>
      <c r="I184" s="290">
        <v>720</v>
      </c>
      <c r="J184" s="290">
        <f t="shared" si="32"/>
        <v>5040</v>
      </c>
      <c r="K184" s="290">
        <f t="shared" si="33"/>
        <v>360</v>
      </c>
      <c r="L184" s="290">
        <f t="shared" si="34"/>
        <v>2520</v>
      </c>
      <c r="M184" s="254"/>
    </row>
    <row r="185" spans="1:13" ht="22.5" customHeight="1">
      <c r="A185" s="254">
        <v>168</v>
      </c>
      <c r="B185" s="254" t="s">
        <v>517</v>
      </c>
      <c r="C185" s="254" t="s">
        <v>518</v>
      </c>
      <c r="D185" s="254" t="s">
        <v>117</v>
      </c>
      <c r="E185" s="288">
        <v>5</v>
      </c>
      <c r="F185" s="289">
        <v>34</v>
      </c>
      <c r="G185" s="290">
        <f t="shared" si="30"/>
        <v>170</v>
      </c>
      <c r="H185" s="290">
        <f t="shared" si="31"/>
        <v>850</v>
      </c>
      <c r="I185" s="290">
        <f>G185*5</f>
        <v>850</v>
      </c>
      <c r="J185" s="290">
        <f t="shared" si="32"/>
        <v>4250</v>
      </c>
      <c r="K185" s="290">
        <f t="shared" si="33"/>
        <v>425</v>
      </c>
      <c r="L185" s="290">
        <f t="shared" si="34"/>
        <v>2125</v>
      </c>
      <c r="M185" s="254"/>
    </row>
    <row r="186" spans="1:13" ht="22.5" customHeight="1">
      <c r="A186" s="254">
        <v>169</v>
      </c>
      <c r="B186" s="254" t="s">
        <v>519</v>
      </c>
      <c r="C186" s="254" t="s">
        <v>520</v>
      </c>
      <c r="D186" s="254" t="s">
        <v>113</v>
      </c>
      <c r="E186" s="288">
        <v>4</v>
      </c>
      <c r="F186" s="289">
        <v>22</v>
      </c>
      <c r="G186" s="290">
        <f t="shared" si="30"/>
        <v>110</v>
      </c>
      <c r="H186" s="290">
        <f t="shared" si="31"/>
        <v>440</v>
      </c>
      <c r="I186" s="290">
        <v>720</v>
      </c>
      <c r="J186" s="290">
        <f t="shared" si="32"/>
        <v>2880</v>
      </c>
      <c r="K186" s="290">
        <f t="shared" si="33"/>
        <v>360</v>
      </c>
      <c r="L186" s="290">
        <f t="shared" si="34"/>
        <v>1440</v>
      </c>
      <c r="M186" s="254"/>
    </row>
    <row r="187" spans="1:13" ht="22.5" customHeight="1">
      <c r="A187" s="254">
        <v>170</v>
      </c>
      <c r="B187" s="291" t="s">
        <v>521</v>
      </c>
      <c r="C187" s="291" t="s">
        <v>522</v>
      </c>
      <c r="D187" s="291" t="s">
        <v>113</v>
      </c>
      <c r="E187" s="292">
        <v>2.5</v>
      </c>
      <c r="F187" s="293">
        <v>22</v>
      </c>
      <c r="G187" s="294">
        <f t="shared" si="30"/>
        <v>110</v>
      </c>
      <c r="H187" s="290">
        <f t="shared" si="31"/>
        <v>275</v>
      </c>
      <c r="I187" s="294">
        <v>720</v>
      </c>
      <c r="J187" s="294">
        <f t="shared" si="32"/>
        <v>1800</v>
      </c>
      <c r="K187" s="290">
        <f t="shared" si="33"/>
        <v>360</v>
      </c>
      <c r="L187" s="294">
        <f t="shared" si="34"/>
        <v>900</v>
      </c>
      <c r="M187" s="254"/>
    </row>
    <row r="188" spans="1:13" ht="22.5" customHeight="1">
      <c r="A188" s="254">
        <v>171</v>
      </c>
      <c r="B188" s="295" t="s">
        <v>523</v>
      </c>
      <c r="C188" s="295" t="s">
        <v>524</v>
      </c>
      <c r="D188" s="295" t="s">
        <v>113</v>
      </c>
      <c r="E188" s="296">
        <v>5</v>
      </c>
      <c r="F188" s="297">
        <v>22</v>
      </c>
      <c r="G188" s="298">
        <f t="shared" si="30"/>
        <v>110</v>
      </c>
      <c r="H188" s="298">
        <f t="shared" si="31"/>
        <v>550</v>
      </c>
      <c r="I188" s="298">
        <v>720</v>
      </c>
      <c r="J188" s="298">
        <f t="shared" si="32"/>
        <v>3600</v>
      </c>
      <c r="K188" s="298">
        <f t="shared" si="33"/>
        <v>360</v>
      </c>
      <c r="L188" s="298">
        <f t="shared" si="34"/>
        <v>1800</v>
      </c>
      <c r="M188" s="295"/>
    </row>
    <row r="189" spans="1:13" ht="22.5" customHeight="1">
      <c r="A189" s="933" t="s">
        <v>318</v>
      </c>
      <c r="B189" s="934"/>
      <c r="C189" s="935"/>
      <c r="D189" s="299">
        <f>COUNTA(ARGO_A[QUALITY])</f>
        <v>101</v>
      </c>
      <c r="E189" s="300">
        <f>SUM(E87:E188)</f>
        <v>539.30000000000007</v>
      </c>
      <c r="F189" s="301"/>
      <c r="G189" s="302"/>
      <c r="H189" s="303">
        <f>SUM(H87:H188)</f>
        <v>76108</v>
      </c>
      <c r="I189" s="304"/>
      <c r="J189" s="301"/>
      <c r="K189" s="301"/>
      <c r="L189" s="301"/>
      <c r="M189" s="301"/>
    </row>
    <row r="190" spans="1:13" ht="16.8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</row>
    <row r="191" spans="1:13" ht="16.8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</row>
    <row r="192" spans="1:13" ht="16.8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</row>
    <row r="193" spans="1:13" ht="13.2">
      <c r="A193" s="930" t="s">
        <v>33</v>
      </c>
      <c r="B193" s="931"/>
      <c r="C193" s="931"/>
      <c r="D193" s="931"/>
      <c r="E193" s="931"/>
      <c r="F193" s="931"/>
      <c r="G193" s="931"/>
      <c r="H193" s="931"/>
      <c r="I193" s="931"/>
      <c r="J193" s="931"/>
      <c r="K193" s="931"/>
      <c r="L193" s="931"/>
      <c r="M193" s="932"/>
    </row>
    <row r="194" spans="1:13" ht="22.5" customHeight="1">
      <c r="A194" s="253" t="s">
        <v>165</v>
      </c>
      <c r="B194" s="282" t="s">
        <v>166</v>
      </c>
      <c r="C194" s="282" t="s">
        <v>167</v>
      </c>
      <c r="D194" s="255" t="s">
        <v>168</v>
      </c>
      <c r="E194" s="255" t="s">
        <v>169</v>
      </c>
      <c r="F194" s="284" t="s">
        <v>525</v>
      </c>
      <c r="G194" s="285" t="s">
        <v>526</v>
      </c>
      <c r="H194" s="255" t="s">
        <v>172</v>
      </c>
      <c r="I194" s="286" t="s">
        <v>527</v>
      </c>
      <c r="J194" s="286" t="s">
        <v>528</v>
      </c>
      <c r="K194" s="282" t="s">
        <v>175</v>
      </c>
      <c r="L194" s="282" t="s">
        <v>529</v>
      </c>
      <c r="M194" s="287" t="s">
        <v>177</v>
      </c>
    </row>
    <row r="195" spans="1:13" ht="22.5" customHeight="1">
      <c r="A195" s="274">
        <v>172</v>
      </c>
      <c r="B195" s="274" t="s">
        <v>530</v>
      </c>
      <c r="C195" s="274" t="s">
        <v>531</v>
      </c>
      <c r="D195" s="274" t="s">
        <v>112</v>
      </c>
      <c r="E195" s="275">
        <v>6</v>
      </c>
      <c r="F195" s="276">
        <v>22</v>
      </c>
      <c r="G195" s="277">
        <f t="shared" ref="G195:G209" si="35">F195*5</f>
        <v>110</v>
      </c>
      <c r="H195" s="277">
        <f t="shared" ref="H195:H320" si="36">E195*G195</f>
        <v>660</v>
      </c>
      <c r="I195" s="305">
        <v>720</v>
      </c>
      <c r="J195" s="306">
        <f t="shared" ref="J195:J209" si="37">I195*E195</f>
        <v>4320</v>
      </c>
      <c r="K195" s="306">
        <f t="shared" ref="K195:K320" si="38">I195/2</f>
        <v>360</v>
      </c>
      <c r="L195" s="306">
        <f t="shared" ref="L195:L209" si="39">K195*E195</f>
        <v>2160</v>
      </c>
      <c r="M195" s="254"/>
    </row>
    <row r="196" spans="1:13" ht="22.5" customHeight="1">
      <c r="A196" s="274">
        <v>173</v>
      </c>
      <c r="B196" s="274" t="s">
        <v>532</v>
      </c>
      <c r="C196" s="274" t="s">
        <v>533</v>
      </c>
      <c r="D196" s="274" t="s">
        <v>113</v>
      </c>
      <c r="E196" s="275">
        <v>5</v>
      </c>
      <c r="F196" s="276">
        <v>20</v>
      </c>
      <c r="G196" s="277">
        <f t="shared" si="35"/>
        <v>100</v>
      </c>
      <c r="H196" s="277">
        <f t="shared" si="36"/>
        <v>500</v>
      </c>
      <c r="I196" s="305">
        <v>720</v>
      </c>
      <c r="J196" s="306">
        <f t="shared" si="37"/>
        <v>3600</v>
      </c>
      <c r="K196" s="306">
        <f t="shared" si="38"/>
        <v>360</v>
      </c>
      <c r="L196" s="306">
        <f t="shared" si="39"/>
        <v>1800</v>
      </c>
      <c r="M196" s="254"/>
    </row>
    <row r="197" spans="1:13" ht="22.5" customHeight="1">
      <c r="A197" s="274">
        <v>174</v>
      </c>
      <c r="B197" s="274" t="s">
        <v>534</v>
      </c>
      <c r="C197" s="274" t="s">
        <v>535</v>
      </c>
      <c r="D197" s="274" t="s">
        <v>112</v>
      </c>
      <c r="E197" s="275">
        <v>5.0999999999999996</v>
      </c>
      <c r="F197" s="276">
        <v>22</v>
      </c>
      <c r="G197" s="277">
        <f t="shared" si="35"/>
        <v>110</v>
      </c>
      <c r="H197" s="277">
        <f t="shared" si="36"/>
        <v>561</v>
      </c>
      <c r="I197" s="305">
        <v>720</v>
      </c>
      <c r="J197" s="306">
        <f t="shared" si="37"/>
        <v>3671.9999999999995</v>
      </c>
      <c r="K197" s="306">
        <f t="shared" si="38"/>
        <v>360</v>
      </c>
      <c r="L197" s="306">
        <f t="shared" si="39"/>
        <v>1835.9999999999998</v>
      </c>
      <c r="M197" s="254"/>
    </row>
    <row r="198" spans="1:13" ht="22.5" customHeight="1">
      <c r="A198" s="274">
        <v>175</v>
      </c>
      <c r="B198" s="274" t="s">
        <v>536</v>
      </c>
      <c r="C198" s="274" t="s">
        <v>537</v>
      </c>
      <c r="D198" s="274" t="s">
        <v>113</v>
      </c>
      <c r="E198" s="275">
        <v>5.2</v>
      </c>
      <c r="F198" s="276">
        <v>20</v>
      </c>
      <c r="G198" s="277">
        <f t="shared" si="35"/>
        <v>100</v>
      </c>
      <c r="H198" s="277">
        <f t="shared" si="36"/>
        <v>520</v>
      </c>
      <c r="I198" s="305">
        <v>720</v>
      </c>
      <c r="J198" s="306">
        <f t="shared" si="37"/>
        <v>3744</v>
      </c>
      <c r="K198" s="306">
        <f t="shared" si="38"/>
        <v>360</v>
      </c>
      <c r="L198" s="306">
        <f t="shared" si="39"/>
        <v>1872</v>
      </c>
      <c r="M198" s="254"/>
    </row>
    <row r="199" spans="1:13" ht="22.5" customHeight="1">
      <c r="A199" s="274">
        <v>176</v>
      </c>
      <c r="B199" s="274" t="s">
        <v>538</v>
      </c>
      <c r="C199" s="274" t="s">
        <v>539</v>
      </c>
      <c r="D199" s="274" t="s">
        <v>112</v>
      </c>
      <c r="E199" s="275">
        <v>5.5</v>
      </c>
      <c r="F199" s="276">
        <v>22</v>
      </c>
      <c r="G199" s="277">
        <f t="shared" si="35"/>
        <v>110</v>
      </c>
      <c r="H199" s="277">
        <f t="shared" si="36"/>
        <v>605</v>
      </c>
      <c r="I199" s="305">
        <v>720</v>
      </c>
      <c r="J199" s="306">
        <f t="shared" si="37"/>
        <v>3960</v>
      </c>
      <c r="K199" s="306">
        <f t="shared" si="38"/>
        <v>360</v>
      </c>
      <c r="L199" s="306">
        <f t="shared" si="39"/>
        <v>1980</v>
      </c>
      <c r="M199" s="254"/>
    </row>
    <row r="200" spans="1:13" ht="22.5" customHeight="1">
      <c r="A200" s="274">
        <v>177</v>
      </c>
      <c r="B200" s="274" t="s">
        <v>540</v>
      </c>
      <c r="C200" s="274" t="s">
        <v>541</v>
      </c>
      <c r="D200" s="274" t="s">
        <v>112</v>
      </c>
      <c r="E200" s="275">
        <v>5</v>
      </c>
      <c r="F200" s="276">
        <v>22</v>
      </c>
      <c r="G200" s="277">
        <f t="shared" si="35"/>
        <v>110</v>
      </c>
      <c r="H200" s="277">
        <f t="shared" si="36"/>
        <v>550</v>
      </c>
      <c r="I200" s="305">
        <v>720</v>
      </c>
      <c r="J200" s="306">
        <f t="shared" si="37"/>
        <v>3600</v>
      </c>
      <c r="K200" s="306">
        <f t="shared" si="38"/>
        <v>360</v>
      </c>
      <c r="L200" s="306">
        <f t="shared" si="39"/>
        <v>1800</v>
      </c>
      <c r="M200" s="254"/>
    </row>
    <row r="201" spans="1:13" ht="22.5" customHeight="1">
      <c r="A201" s="274">
        <v>178</v>
      </c>
      <c r="B201" s="274" t="s">
        <v>542</v>
      </c>
      <c r="C201" s="274" t="s">
        <v>543</v>
      </c>
      <c r="D201" s="274" t="s">
        <v>113</v>
      </c>
      <c r="E201" s="275">
        <v>5</v>
      </c>
      <c r="F201" s="276">
        <v>20</v>
      </c>
      <c r="G201" s="277">
        <f t="shared" si="35"/>
        <v>100</v>
      </c>
      <c r="H201" s="277">
        <f t="shared" si="36"/>
        <v>500</v>
      </c>
      <c r="I201" s="305">
        <v>720</v>
      </c>
      <c r="J201" s="306">
        <f t="shared" si="37"/>
        <v>3600</v>
      </c>
      <c r="K201" s="306">
        <f t="shared" si="38"/>
        <v>360</v>
      </c>
      <c r="L201" s="306">
        <f t="shared" si="39"/>
        <v>1800</v>
      </c>
      <c r="M201" s="254"/>
    </row>
    <row r="202" spans="1:13" ht="22.5" customHeight="1">
      <c r="A202" s="274">
        <v>179</v>
      </c>
      <c r="B202" s="274" t="s">
        <v>544</v>
      </c>
      <c r="C202" s="274" t="s">
        <v>545</v>
      </c>
      <c r="D202" s="274" t="s">
        <v>113</v>
      </c>
      <c r="E202" s="275">
        <v>6</v>
      </c>
      <c r="F202" s="276">
        <v>20</v>
      </c>
      <c r="G202" s="277">
        <f t="shared" si="35"/>
        <v>100</v>
      </c>
      <c r="H202" s="277">
        <f t="shared" si="36"/>
        <v>600</v>
      </c>
      <c r="I202" s="305">
        <v>720</v>
      </c>
      <c r="J202" s="306">
        <f t="shared" si="37"/>
        <v>4320</v>
      </c>
      <c r="K202" s="306">
        <f t="shared" si="38"/>
        <v>360</v>
      </c>
      <c r="L202" s="306">
        <f t="shared" si="39"/>
        <v>2160</v>
      </c>
      <c r="M202" s="254"/>
    </row>
    <row r="203" spans="1:13" ht="22.5" customHeight="1">
      <c r="A203" s="274">
        <v>180</v>
      </c>
      <c r="B203" s="274" t="s">
        <v>546</v>
      </c>
      <c r="C203" s="274" t="s">
        <v>547</v>
      </c>
      <c r="D203" s="274" t="s">
        <v>112</v>
      </c>
      <c r="E203" s="275">
        <v>5.5</v>
      </c>
      <c r="F203" s="276">
        <v>22</v>
      </c>
      <c r="G203" s="277">
        <f t="shared" si="35"/>
        <v>110</v>
      </c>
      <c r="H203" s="277">
        <f t="shared" si="36"/>
        <v>605</v>
      </c>
      <c r="I203" s="305">
        <v>720</v>
      </c>
      <c r="J203" s="306">
        <f t="shared" si="37"/>
        <v>3960</v>
      </c>
      <c r="K203" s="306">
        <f t="shared" si="38"/>
        <v>360</v>
      </c>
      <c r="L203" s="306">
        <f t="shared" si="39"/>
        <v>1980</v>
      </c>
      <c r="M203" s="254"/>
    </row>
    <row r="204" spans="1:13" ht="22.5" customHeight="1">
      <c r="A204" s="274">
        <v>181</v>
      </c>
      <c r="B204" s="274" t="s">
        <v>548</v>
      </c>
      <c r="C204" s="274" t="s">
        <v>549</v>
      </c>
      <c r="D204" s="274" t="s">
        <v>113</v>
      </c>
      <c r="E204" s="275">
        <v>5.5</v>
      </c>
      <c r="F204" s="276">
        <v>20</v>
      </c>
      <c r="G204" s="277">
        <f t="shared" si="35"/>
        <v>100</v>
      </c>
      <c r="H204" s="277">
        <f t="shared" si="36"/>
        <v>550</v>
      </c>
      <c r="I204" s="305">
        <v>720</v>
      </c>
      <c r="J204" s="306">
        <f t="shared" si="37"/>
        <v>3960</v>
      </c>
      <c r="K204" s="306">
        <f t="shared" si="38"/>
        <v>360</v>
      </c>
      <c r="L204" s="306">
        <f t="shared" si="39"/>
        <v>1980</v>
      </c>
      <c r="M204" s="254"/>
    </row>
    <row r="205" spans="1:13" ht="22.5" customHeight="1">
      <c r="A205" s="274">
        <v>182</v>
      </c>
      <c r="B205" s="274" t="s">
        <v>550</v>
      </c>
      <c r="C205" s="274" t="s">
        <v>551</v>
      </c>
      <c r="D205" s="274" t="s">
        <v>112</v>
      </c>
      <c r="E205" s="275">
        <v>6.8</v>
      </c>
      <c r="F205" s="276">
        <v>22</v>
      </c>
      <c r="G205" s="277">
        <f t="shared" si="35"/>
        <v>110</v>
      </c>
      <c r="H205" s="277">
        <f t="shared" si="36"/>
        <v>748</v>
      </c>
      <c r="I205" s="305">
        <v>720</v>
      </c>
      <c r="J205" s="306">
        <f t="shared" si="37"/>
        <v>4896</v>
      </c>
      <c r="K205" s="306">
        <f t="shared" si="38"/>
        <v>360</v>
      </c>
      <c r="L205" s="306">
        <f t="shared" si="39"/>
        <v>2448</v>
      </c>
      <c r="M205" s="254"/>
    </row>
    <row r="206" spans="1:13" ht="22.5" customHeight="1">
      <c r="A206" s="274">
        <v>183</v>
      </c>
      <c r="B206" s="274" t="s">
        <v>552</v>
      </c>
      <c r="C206" s="274" t="s">
        <v>553</v>
      </c>
      <c r="D206" s="274" t="s">
        <v>113</v>
      </c>
      <c r="E206" s="275">
        <v>5</v>
      </c>
      <c r="F206" s="276">
        <v>20</v>
      </c>
      <c r="G206" s="277">
        <f t="shared" si="35"/>
        <v>100</v>
      </c>
      <c r="H206" s="277">
        <f t="shared" si="36"/>
        <v>500</v>
      </c>
      <c r="I206" s="305">
        <v>720</v>
      </c>
      <c r="J206" s="306">
        <f t="shared" si="37"/>
        <v>3600</v>
      </c>
      <c r="K206" s="306">
        <f t="shared" si="38"/>
        <v>360</v>
      </c>
      <c r="L206" s="306">
        <f t="shared" si="39"/>
        <v>1800</v>
      </c>
      <c r="M206" s="254"/>
    </row>
    <row r="207" spans="1:13" ht="22.5" customHeight="1">
      <c r="A207" s="274">
        <v>184</v>
      </c>
      <c r="B207" s="274" t="s">
        <v>554</v>
      </c>
      <c r="C207" s="274" t="s">
        <v>555</v>
      </c>
      <c r="D207" s="274" t="s">
        <v>112</v>
      </c>
      <c r="E207" s="275">
        <v>5.5</v>
      </c>
      <c r="F207" s="276">
        <v>22</v>
      </c>
      <c r="G207" s="277">
        <f t="shared" si="35"/>
        <v>110</v>
      </c>
      <c r="H207" s="277">
        <f t="shared" si="36"/>
        <v>605</v>
      </c>
      <c r="I207" s="305">
        <v>720</v>
      </c>
      <c r="J207" s="306">
        <f t="shared" si="37"/>
        <v>3960</v>
      </c>
      <c r="K207" s="306">
        <f t="shared" si="38"/>
        <v>360</v>
      </c>
      <c r="L207" s="306">
        <f t="shared" si="39"/>
        <v>1980</v>
      </c>
      <c r="M207" s="254"/>
    </row>
    <row r="208" spans="1:13" ht="22.5" customHeight="1">
      <c r="A208" s="274">
        <v>185</v>
      </c>
      <c r="B208" s="274" t="s">
        <v>556</v>
      </c>
      <c r="C208" s="274" t="s">
        <v>557</v>
      </c>
      <c r="D208" s="274" t="s">
        <v>113</v>
      </c>
      <c r="E208" s="275">
        <v>5.5</v>
      </c>
      <c r="F208" s="276">
        <v>20</v>
      </c>
      <c r="G208" s="277">
        <f t="shared" si="35"/>
        <v>100</v>
      </c>
      <c r="H208" s="277">
        <f t="shared" si="36"/>
        <v>550</v>
      </c>
      <c r="I208" s="305">
        <v>720</v>
      </c>
      <c r="J208" s="306">
        <f t="shared" si="37"/>
        <v>3960</v>
      </c>
      <c r="K208" s="306">
        <f t="shared" si="38"/>
        <v>360</v>
      </c>
      <c r="L208" s="306">
        <f t="shared" si="39"/>
        <v>1980</v>
      </c>
      <c r="M208" s="254"/>
    </row>
    <row r="209" spans="1:13" ht="22.5" customHeight="1">
      <c r="A209" s="274">
        <v>186</v>
      </c>
      <c r="B209" s="274" t="s">
        <v>558</v>
      </c>
      <c r="C209" s="274" t="s">
        <v>559</v>
      </c>
      <c r="D209" s="274" t="s">
        <v>112</v>
      </c>
      <c r="E209" s="275">
        <v>5</v>
      </c>
      <c r="F209" s="276">
        <v>22</v>
      </c>
      <c r="G209" s="277">
        <f t="shared" si="35"/>
        <v>110</v>
      </c>
      <c r="H209" s="277">
        <f t="shared" si="36"/>
        <v>550</v>
      </c>
      <c r="I209" s="305">
        <v>720</v>
      </c>
      <c r="J209" s="306">
        <f t="shared" si="37"/>
        <v>3600</v>
      </c>
      <c r="K209" s="306">
        <f t="shared" si="38"/>
        <v>360</v>
      </c>
      <c r="L209" s="306">
        <f t="shared" si="39"/>
        <v>1800</v>
      </c>
      <c r="M209" s="254"/>
    </row>
    <row r="210" spans="1:13" ht="22.5" customHeight="1">
      <c r="A210" s="274">
        <v>187</v>
      </c>
      <c r="B210" s="274" t="s">
        <v>560</v>
      </c>
      <c r="C210" s="274" t="s">
        <v>561</v>
      </c>
      <c r="D210" s="274" t="s">
        <v>113</v>
      </c>
      <c r="E210" s="275">
        <v>2.5</v>
      </c>
      <c r="F210" s="276">
        <v>20</v>
      </c>
      <c r="G210" s="277">
        <v>100</v>
      </c>
      <c r="H210" s="277">
        <f t="shared" si="36"/>
        <v>250</v>
      </c>
      <c r="I210" s="305">
        <v>720</v>
      </c>
      <c r="J210" s="306">
        <v>2500</v>
      </c>
      <c r="K210" s="306">
        <f t="shared" si="38"/>
        <v>360</v>
      </c>
      <c r="L210" s="306">
        <v>1000</v>
      </c>
      <c r="M210" s="254"/>
    </row>
    <row r="211" spans="1:13" ht="22.5" customHeight="1">
      <c r="A211" s="274">
        <v>188</v>
      </c>
      <c r="B211" s="274" t="s">
        <v>562</v>
      </c>
      <c r="C211" s="274" t="s">
        <v>563</v>
      </c>
      <c r="D211" s="274" t="s">
        <v>112</v>
      </c>
      <c r="E211" s="275">
        <v>5.5</v>
      </c>
      <c r="F211" s="276">
        <v>22</v>
      </c>
      <c r="G211" s="277">
        <f t="shared" ref="G211:G320" si="40">F211*5</f>
        <v>110</v>
      </c>
      <c r="H211" s="277">
        <f t="shared" si="36"/>
        <v>605</v>
      </c>
      <c r="I211" s="305">
        <v>720</v>
      </c>
      <c r="J211" s="306">
        <f t="shared" ref="J211:J320" si="41">I211*E211</f>
        <v>3960</v>
      </c>
      <c r="K211" s="306">
        <f t="shared" si="38"/>
        <v>360</v>
      </c>
      <c r="L211" s="306">
        <f t="shared" ref="L211:L320" si="42">K211*E211</f>
        <v>1980</v>
      </c>
      <c r="M211" s="254"/>
    </row>
    <row r="212" spans="1:13" ht="22.5" customHeight="1">
      <c r="A212" s="274">
        <v>189</v>
      </c>
      <c r="B212" s="274" t="s">
        <v>564</v>
      </c>
      <c r="C212" s="274" t="s">
        <v>565</v>
      </c>
      <c r="D212" s="274" t="s">
        <v>112</v>
      </c>
      <c r="E212" s="275">
        <v>5</v>
      </c>
      <c r="F212" s="276">
        <v>22</v>
      </c>
      <c r="G212" s="277">
        <f t="shared" si="40"/>
        <v>110</v>
      </c>
      <c r="H212" s="277">
        <f t="shared" si="36"/>
        <v>550</v>
      </c>
      <c r="I212" s="305">
        <v>720</v>
      </c>
      <c r="J212" s="306">
        <f t="shared" si="41"/>
        <v>3600</v>
      </c>
      <c r="K212" s="306">
        <f t="shared" si="38"/>
        <v>360</v>
      </c>
      <c r="L212" s="306">
        <f t="shared" si="42"/>
        <v>1800</v>
      </c>
      <c r="M212" s="254"/>
    </row>
    <row r="213" spans="1:13" ht="22.5" customHeight="1">
      <c r="A213" s="274">
        <v>190</v>
      </c>
      <c r="B213" s="274" t="s">
        <v>566</v>
      </c>
      <c r="C213" s="274" t="s">
        <v>567</v>
      </c>
      <c r="D213" s="274" t="s">
        <v>113</v>
      </c>
      <c r="E213" s="275">
        <v>5</v>
      </c>
      <c r="F213" s="276">
        <v>20</v>
      </c>
      <c r="G213" s="277">
        <f t="shared" si="40"/>
        <v>100</v>
      </c>
      <c r="H213" s="277">
        <f t="shared" si="36"/>
        <v>500</v>
      </c>
      <c r="I213" s="305">
        <v>720</v>
      </c>
      <c r="J213" s="306">
        <f t="shared" si="41"/>
        <v>3600</v>
      </c>
      <c r="K213" s="306">
        <f t="shared" si="38"/>
        <v>360</v>
      </c>
      <c r="L213" s="306">
        <f t="shared" si="42"/>
        <v>1800</v>
      </c>
      <c r="M213" s="254"/>
    </row>
    <row r="214" spans="1:13" ht="22.5" customHeight="1">
      <c r="A214" s="274">
        <v>191</v>
      </c>
      <c r="B214" s="274" t="s">
        <v>568</v>
      </c>
      <c r="C214" s="274" t="s">
        <v>569</v>
      </c>
      <c r="D214" s="274" t="s">
        <v>113</v>
      </c>
      <c r="E214" s="275">
        <v>4.9000000000000004</v>
      </c>
      <c r="F214" s="276">
        <v>20</v>
      </c>
      <c r="G214" s="277">
        <f t="shared" si="40"/>
        <v>100</v>
      </c>
      <c r="H214" s="277">
        <f t="shared" si="36"/>
        <v>490.00000000000006</v>
      </c>
      <c r="I214" s="305">
        <v>720</v>
      </c>
      <c r="J214" s="306">
        <f t="shared" si="41"/>
        <v>3528.0000000000005</v>
      </c>
      <c r="K214" s="306">
        <f t="shared" si="38"/>
        <v>360</v>
      </c>
      <c r="L214" s="306">
        <f t="shared" si="42"/>
        <v>1764.0000000000002</v>
      </c>
      <c r="M214" s="254"/>
    </row>
    <row r="215" spans="1:13" ht="22.5" customHeight="1">
      <c r="A215" s="274">
        <v>192</v>
      </c>
      <c r="B215" s="274" t="s">
        <v>570</v>
      </c>
      <c r="C215" s="274" t="s">
        <v>571</v>
      </c>
      <c r="D215" s="274" t="s">
        <v>112</v>
      </c>
      <c r="E215" s="275">
        <v>6.4</v>
      </c>
      <c r="F215" s="276">
        <v>22</v>
      </c>
      <c r="G215" s="277">
        <f t="shared" si="40"/>
        <v>110</v>
      </c>
      <c r="H215" s="277">
        <f t="shared" si="36"/>
        <v>704</v>
      </c>
      <c r="I215" s="305">
        <v>720</v>
      </c>
      <c r="J215" s="306">
        <f t="shared" si="41"/>
        <v>4608</v>
      </c>
      <c r="K215" s="306">
        <f t="shared" si="38"/>
        <v>360</v>
      </c>
      <c r="L215" s="306">
        <f t="shared" si="42"/>
        <v>2304</v>
      </c>
      <c r="M215" s="254"/>
    </row>
    <row r="216" spans="1:13" ht="22.5" customHeight="1">
      <c r="A216" s="274">
        <v>193</v>
      </c>
      <c r="B216" s="274" t="s">
        <v>572</v>
      </c>
      <c r="C216" s="274" t="s">
        <v>573</v>
      </c>
      <c r="D216" s="274" t="s">
        <v>112</v>
      </c>
      <c r="E216" s="275">
        <v>5.5</v>
      </c>
      <c r="F216" s="276">
        <v>22</v>
      </c>
      <c r="G216" s="277">
        <f t="shared" si="40"/>
        <v>110</v>
      </c>
      <c r="H216" s="277">
        <f t="shared" si="36"/>
        <v>605</v>
      </c>
      <c r="I216" s="305">
        <v>720</v>
      </c>
      <c r="J216" s="306">
        <f t="shared" si="41"/>
        <v>3960</v>
      </c>
      <c r="K216" s="306">
        <f t="shared" si="38"/>
        <v>360</v>
      </c>
      <c r="L216" s="306">
        <f t="shared" si="42"/>
        <v>1980</v>
      </c>
      <c r="M216" s="254"/>
    </row>
    <row r="217" spans="1:13" ht="22.5" customHeight="1">
      <c r="A217" s="274">
        <v>194</v>
      </c>
      <c r="B217" s="274" t="s">
        <v>574</v>
      </c>
      <c r="C217" s="274" t="s">
        <v>575</v>
      </c>
      <c r="D217" s="274" t="s">
        <v>113</v>
      </c>
      <c r="E217" s="275">
        <v>5.5</v>
      </c>
      <c r="F217" s="276">
        <v>20</v>
      </c>
      <c r="G217" s="277">
        <f t="shared" si="40"/>
        <v>100</v>
      </c>
      <c r="H217" s="277">
        <f t="shared" si="36"/>
        <v>550</v>
      </c>
      <c r="I217" s="305">
        <v>720</v>
      </c>
      <c r="J217" s="306">
        <f t="shared" si="41"/>
        <v>3960</v>
      </c>
      <c r="K217" s="306">
        <f t="shared" si="38"/>
        <v>360</v>
      </c>
      <c r="L217" s="306">
        <f t="shared" si="42"/>
        <v>1980</v>
      </c>
      <c r="M217" s="254"/>
    </row>
    <row r="218" spans="1:13" ht="22.5" customHeight="1">
      <c r="A218" s="274">
        <v>195</v>
      </c>
      <c r="B218" s="274" t="s">
        <v>576</v>
      </c>
      <c r="C218" s="274" t="s">
        <v>577</v>
      </c>
      <c r="D218" s="274" t="s">
        <v>112</v>
      </c>
      <c r="E218" s="275">
        <v>5.5</v>
      </c>
      <c r="F218" s="276">
        <v>22</v>
      </c>
      <c r="G218" s="277">
        <f t="shared" si="40"/>
        <v>110</v>
      </c>
      <c r="H218" s="277">
        <f t="shared" si="36"/>
        <v>605</v>
      </c>
      <c r="I218" s="305">
        <v>720</v>
      </c>
      <c r="J218" s="306">
        <f t="shared" si="41"/>
        <v>3960</v>
      </c>
      <c r="K218" s="306">
        <f t="shared" si="38"/>
        <v>360</v>
      </c>
      <c r="L218" s="306">
        <f t="shared" si="42"/>
        <v>1980</v>
      </c>
      <c r="M218" s="254"/>
    </row>
    <row r="219" spans="1:13" ht="22.5" customHeight="1">
      <c r="A219" s="274">
        <v>196</v>
      </c>
      <c r="B219" s="274" t="s">
        <v>578</v>
      </c>
      <c r="C219" s="274" t="s">
        <v>579</v>
      </c>
      <c r="D219" s="274" t="s">
        <v>113</v>
      </c>
      <c r="E219" s="275">
        <v>5.5</v>
      </c>
      <c r="F219" s="276">
        <v>20</v>
      </c>
      <c r="G219" s="277">
        <f t="shared" si="40"/>
        <v>100</v>
      </c>
      <c r="H219" s="277">
        <f t="shared" si="36"/>
        <v>550</v>
      </c>
      <c r="I219" s="305">
        <v>720</v>
      </c>
      <c r="J219" s="306">
        <f t="shared" si="41"/>
        <v>3960</v>
      </c>
      <c r="K219" s="306">
        <f t="shared" si="38"/>
        <v>360</v>
      </c>
      <c r="L219" s="306">
        <f t="shared" si="42"/>
        <v>1980</v>
      </c>
      <c r="M219" s="254"/>
    </row>
    <row r="220" spans="1:13" ht="22.5" customHeight="1">
      <c r="A220" s="274">
        <v>197</v>
      </c>
      <c r="B220" s="274" t="s">
        <v>580</v>
      </c>
      <c r="C220" s="274" t="s">
        <v>581</v>
      </c>
      <c r="D220" s="274" t="s">
        <v>112</v>
      </c>
      <c r="E220" s="275">
        <v>6.4</v>
      </c>
      <c r="F220" s="276">
        <v>22</v>
      </c>
      <c r="G220" s="277">
        <f t="shared" si="40"/>
        <v>110</v>
      </c>
      <c r="H220" s="277">
        <f t="shared" si="36"/>
        <v>704</v>
      </c>
      <c r="I220" s="305">
        <v>720</v>
      </c>
      <c r="J220" s="306">
        <f t="shared" si="41"/>
        <v>4608</v>
      </c>
      <c r="K220" s="306">
        <f t="shared" si="38"/>
        <v>360</v>
      </c>
      <c r="L220" s="306">
        <f t="shared" si="42"/>
        <v>2304</v>
      </c>
      <c r="M220" s="254"/>
    </row>
    <row r="221" spans="1:13" ht="22.5" customHeight="1">
      <c r="A221" s="274">
        <v>198</v>
      </c>
      <c r="B221" s="274" t="s">
        <v>582</v>
      </c>
      <c r="C221" s="274" t="s">
        <v>583</v>
      </c>
      <c r="D221" s="274" t="s">
        <v>113</v>
      </c>
      <c r="E221" s="275">
        <v>5.9</v>
      </c>
      <c r="F221" s="276">
        <v>20</v>
      </c>
      <c r="G221" s="277">
        <f t="shared" si="40"/>
        <v>100</v>
      </c>
      <c r="H221" s="277">
        <f t="shared" si="36"/>
        <v>590</v>
      </c>
      <c r="I221" s="305">
        <v>720</v>
      </c>
      <c r="J221" s="306">
        <f t="shared" si="41"/>
        <v>4248</v>
      </c>
      <c r="K221" s="306">
        <f t="shared" si="38"/>
        <v>360</v>
      </c>
      <c r="L221" s="306">
        <f t="shared" si="42"/>
        <v>2124</v>
      </c>
      <c r="M221" s="254"/>
    </row>
    <row r="222" spans="1:13" ht="22.5" customHeight="1">
      <c r="A222" s="274">
        <v>199</v>
      </c>
      <c r="B222" s="274" t="s">
        <v>584</v>
      </c>
      <c r="C222" s="274" t="s">
        <v>585</v>
      </c>
      <c r="D222" s="274" t="s">
        <v>112</v>
      </c>
      <c r="E222" s="275">
        <v>5.4</v>
      </c>
      <c r="F222" s="276">
        <v>22</v>
      </c>
      <c r="G222" s="277">
        <f t="shared" si="40"/>
        <v>110</v>
      </c>
      <c r="H222" s="277">
        <f t="shared" si="36"/>
        <v>594</v>
      </c>
      <c r="I222" s="305">
        <v>720</v>
      </c>
      <c r="J222" s="306">
        <f t="shared" si="41"/>
        <v>3888.0000000000005</v>
      </c>
      <c r="K222" s="306">
        <f t="shared" si="38"/>
        <v>360</v>
      </c>
      <c r="L222" s="306">
        <f t="shared" si="42"/>
        <v>1944.0000000000002</v>
      </c>
      <c r="M222" s="254"/>
    </row>
    <row r="223" spans="1:13" ht="22.5" customHeight="1">
      <c r="A223" s="274">
        <v>200</v>
      </c>
      <c r="B223" s="274" t="s">
        <v>586</v>
      </c>
      <c r="C223" s="274" t="s">
        <v>587</v>
      </c>
      <c r="D223" s="274" t="s">
        <v>113</v>
      </c>
      <c r="E223" s="275">
        <v>5.4</v>
      </c>
      <c r="F223" s="276">
        <v>22</v>
      </c>
      <c r="G223" s="277">
        <f t="shared" si="40"/>
        <v>110</v>
      </c>
      <c r="H223" s="277">
        <f t="shared" si="36"/>
        <v>594</v>
      </c>
      <c r="I223" s="305">
        <v>720</v>
      </c>
      <c r="J223" s="306">
        <f t="shared" si="41"/>
        <v>3888.0000000000005</v>
      </c>
      <c r="K223" s="306">
        <f t="shared" si="38"/>
        <v>360</v>
      </c>
      <c r="L223" s="306">
        <f t="shared" si="42"/>
        <v>1944.0000000000002</v>
      </c>
      <c r="M223" s="254"/>
    </row>
    <row r="224" spans="1:13" ht="22.5" customHeight="1">
      <c r="A224" s="274">
        <v>201</v>
      </c>
      <c r="B224" s="274" t="s">
        <v>588</v>
      </c>
      <c r="C224" s="274" t="s">
        <v>589</v>
      </c>
      <c r="D224" s="274" t="s">
        <v>117</v>
      </c>
      <c r="E224" s="275">
        <v>6.3</v>
      </c>
      <c r="F224" s="276">
        <v>28</v>
      </c>
      <c r="G224" s="277">
        <f t="shared" si="40"/>
        <v>140</v>
      </c>
      <c r="H224" s="277">
        <f t="shared" si="36"/>
        <v>882</v>
      </c>
      <c r="I224" s="305">
        <v>850</v>
      </c>
      <c r="J224" s="306">
        <f t="shared" si="41"/>
        <v>5355</v>
      </c>
      <c r="K224" s="306">
        <f t="shared" si="38"/>
        <v>425</v>
      </c>
      <c r="L224" s="306">
        <f t="shared" si="42"/>
        <v>2677.5</v>
      </c>
      <c r="M224" s="254"/>
    </row>
    <row r="225" spans="1:13" ht="22.5" customHeight="1">
      <c r="A225" s="274">
        <v>202</v>
      </c>
      <c r="B225" s="274" t="s">
        <v>590</v>
      </c>
      <c r="C225" s="274" t="s">
        <v>591</v>
      </c>
      <c r="D225" s="274" t="s">
        <v>113</v>
      </c>
      <c r="E225" s="275">
        <v>6.4</v>
      </c>
      <c r="F225" s="276">
        <v>22</v>
      </c>
      <c r="G225" s="277">
        <f t="shared" si="40"/>
        <v>110</v>
      </c>
      <c r="H225" s="277">
        <f t="shared" si="36"/>
        <v>704</v>
      </c>
      <c r="I225" s="305">
        <v>720</v>
      </c>
      <c r="J225" s="306">
        <f t="shared" si="41"/>
        <v>4608</v>
      </c>
      <c r="K225" s="306">
        <f t="shared" si="38"/>
        <v>360</v>
      </c>
      <c r="L225" s="306">
        <f t="shared" si="42"/>
        <v>2304</v>
      </c>
      <c r="M225" s="254"/>
    </row>
    <row r="226" spans="1:13" ht="22.5" customHeight="1">
      <c r="A226" s="274">
        <v>203</v>
      </c>
      <c r="B226" s="274" t="s">
        <v>592</v>
      </c>
      <c r="C226" s="274" t="s">
        <v>593</v>
      </c>
      <c r="D226" s="274" t="s">
        <v>117</v>
      </c>
      <c r="E226" s="275">
        <v>5.4</v>
      </c>
      <c r="F226" s="276">
        <v>28</v>
      </c>
      <c r="G226" s="277">
        <f t="shared" si="40"/>
        <v>140</v>
      </c>
      <c r="H226" s="277">
        <f t="shared" si="36"/>
        <v>756</v>
      </c>
      <c r="I226" s="305">
        <v>800</v>
      </c>
      <c r="J226" s="306">
        <f t="shared" si="41"/>
        <v>4320</v>
      </c>
      <c r="K226" s="306">
        <f t="shared" si="38"/>
        <v>400</v>
      </c>
      <c r="L226" s="306">
        <f t="shared" si="42"/>
        <v>2160</v>
      </c>
      <c r="M226" s="254"/>
    </row>
    <row r="227" spans="1:13" ht="22.5" customHeight="1">
      <c r="A227" s="274">
        <v>204</v>
      </c>
      <c r="B227" s="274" t="s">
        <v>594</v>
      </c>
      <c r="C227" s="274" t="s">
        <v>595</v>
      </c>
      <c r="D227" s="274" t="s">
        <v>113</v>
      </c>
      <c r="E227" s="275">
        <v>6.5</v>
      </c>
      <c r="F227" s="276">
        <v>22</v>
      </c>
      <c r="G227" s="277">
        <f t="shared" si="40"/>
        <v>110</v>
      </c>
      <c r="H227" s="277">
        <f t="shared" si="36"/>
        <v>715</v>
      </c>
      <c r="I227" s="305">
        <v>720</v>
      </c>
      <c r="J227" s="306">
        <f t="shared" si="41"/>
        <v>4680</v>
      </c>
      <c r="K227" s="306">
        <f t="shared" si="38"/>
        <v>360</v>
      </c>
      <c r="L227" s="306">
        <f t="shared" si="42"/>
        <v>2340</v>
      </c>
      <c r="M227" s="254"/>
    </row>
    <row r="228" spans="1:13" ht="22.5" customHeight="1">
      <c r="A228" s="274">
        <v>205</v>
      </c>
      <c r="B228" s="254" t="s">
        <v>596</v>
      </c>
      <c r="C228" s="254" t="s">
        <v>597</v>
      </c>
      <c r="D228" s="254" t="s">
        <v>117</v>
      </c>
      <c r="E228" s="288">
        <v>6.2</v>
      </c>
      <c r="F228" s="276">
        <v>28</v>
      </c>
      <c r="G228" s="277">
        <f t="shared" si="40"/>
        <v>140</v>
      </c>
      <c r="H228" s="277">
        <f t="shared" si="36"/>
        <v>868</v>
      </c>
      <c r="I228" s="305">
        <v>800</v>
      </c>
      <c r="J228" s="306">
        <f t="shared" si="41"/>
        <v>4960</v>
      </c>
      <c r="K228" s="306">
        <f t="shared" si="38"/>
        <v>400</v>
      </c>
      <c r="L228" s="306">
        <f t="shared" si="42"/>
        <v>2480</v>
      </c>
      <c r="M228" s="254"/>
    </row>
    <row r="229" spans="1:13" ht="22.5" customHeight="1">
      <c r="A229" s="274">
        <v>206</v>
      </c>
      <c r="B229" s="254" t="s">
        <v>598</v>
      </c>
      <c r="C229" s="254" t="s">
        <v>599</v>
      </c>
      <c r="D229" s="254" t="s">
        <v>113</v>
      </c>
      <c r="E229" s="288">
        <v>6.2</v>
      </c>
      <c r="F229" s="276">
        <v>22</v>
      </c>
      <c r="G229" s="277">
        <f t="shared" si="40"/>
        <v>110</v>
      </c>
      <c r="H229" s="277">
        <f t="shared" si="36"/>
        <v>682</v>
      </c>
      <c r="I229" s="305">
        <v>720</v>
      </c>
      <c r="J229" s="306">
        <f t="shared" si="41"/>
        <v>4464</v>
      </c>
      <c r="K229" s="306">
        <f t="shared" si="38"/>
        <v>360</v>
      </c>
      <c r="L229" s="306">
        <f t="shared" si="42"/>
        <v>2232</v>
      </c>
      <c r="M229" s="254"/>
    </row>
    <row r="230" spans="1:13" ht="22.5" customHeight="1">
      <c r="A230" s="274">
        <v>207</v>
      </c>
      <c r="B230" s="274" t="s">
        <v>600</v>
      </c>
      <c r="C230" s="274" t="s">
        <v>535</v>
      </c>
      <c r="D230" s="274" t="s">
        <v>117</v>
      </c>
      <c r="E230" s="275">
        <v>5.5</v>
      </c>
      <c r="F230" s="276">
        <v>28</v>
      </c>
      <c r="G230" s="277">
        <f t="shared" si="40"/>
        <v>140</v>
      </c>
      <c r="H230" s="277">
        <f t="shared" si="36"/>
        <v>770</v>
      </c>
      <c r="I230" s="305">
        <v>800</v>
      </c>
      <c r="J230" s="306">
        <f t="shared" si="41"/>
        <v>4400</v>
      </c>
      <c r="K230" s="306">
        <f t="shared" si="38"/>
        <v>400</v>
      </c>
      <c r="L230" s="306">
        <f t="shared" si="42"/>
        <v>2200</v>
      </c>
      <c r="M230" s="254"/>
    </row>
    <row r="231" spans="1:13" ht="22.5" customHeight="1">
      <c r="A231" s="274">
        <v>208</v>
      </c>
      <c r="B231" s="274" t="s">
        <v>601</v>
      </c>
      <c r="C231" s="274" t="s">
        <v>537</v>
      </c>
      <c r="D231" s="274" t="s">
        <v>113</v>
      </c>
      <c r="E231" s="275">
        <v>6.5</v>
      </c>
      <c r="F231" s="276">
        <v>22</v>
      </c>
      <c r="G231" s="277">
        <f t="shared" si="40"/>
        <v>110</v>
      </c>
      <c r="H231" s="277">
        <f t="shared" si="36"/>
        <v>715</v>
      </c>
      <c r="I231" s="305">
        <v>720</v>
      </c>
      <c r="J231" s="306">
        <f t="shared" si="41"/>
        <v>4680</v>
      </c>
      <c r="K231" s="306">
        <f t="shared" si="38"/>
        <v>360</v>
      </c>
      <c r="L231" s="306">
        <f t="shared" si="42"/>
        <v>2340</v>
      </c>
      <c r="M231" s="254"/>
    </row>
    <row r="232" spans="1:13" ht="22.5" customHeight="1">
      <c r="A232" s="274">
        <v>209</v>
      </c>
      <c r="B232" s="274" t="s">
        <v>602</v>
      </c>
      <c r="C232" s="274" t="s">
        <v>603</v>
      </c>
      <c r="D232" s="274" t="s">
        <v>113</v>
      </c>
      <c r="E232" s="275">
        <v>5</v>
      </c>
      <c r="F232" s="276">
        <v>22</v>
      </c>
      <c r="G232" s="277">
        <f t="shared" si="40"/>
        <v>110</v>
      </c>
      <c r="H232" s="277">
        <f t="shared" si="36"/>
        <v>550</v>
      </c>
      <c r="I232" s="305">
        <v>720</v>
      </c>
      <c r="J232" s="306">
        <f t="shared" si="41"/>
        <v>3600</v>
      </c>
      <c r="K232" s="306">
        <f t="shared" si="38"/>
        <v>360</v>
      </c>
      <c r="L232" s="306">
        <f t="shared" si="42"/>
        <v>1800</v>
      </c>
      <c r="M232" s="254"/>
    </row>
    <row r="233" spans="1:13" ht="22.5" customHeight="1">
      <c r="A233" s="274">
        <v>210</v>
      </c>
      <c r="B233" s="274" t="s">
        <v>604</v>
      </c>
      <c r="C233" s="274" t="s">
        <v>605</v>
      </c>
      <c r="D233" s="274" t="s">
        <v>112</v>
      </c>
      <c r="E233" s="275">
        <v>6.7</v>
      </c>
      <c r="F233" s="276">
        <v>22</v>
      </c>
      <c r="G233" s="277">
        <f t="shared" si="40"/>
        <v>110</v>
      </c>
      <c r="H233" s="277">
        <f t="shared" si="36"/>
        <v>737</v>
      </c>
      <c r="I233" s="305">
        <v>720</v>
      </c>
      <c r="J233" s="306">
        <f t="shared" si="41"/>
        <v>4824</v>
      </c>
      <c r="K233" s="306">
        <f t="shared" si="38"/>
        <v>360</v>
      </c>
      <c r="L233" s="306">
        <f t="shared" si="42"/>
        <v>2412</v>
      </c>
      <c r="M233" s="254"/>
    </row>
    <row r="234" spans="1:13" ht="22.5" customHeight="1">
      <c r="A234" s="274">
        <v>211</v>
      </c>
      <c r="B234" s="274" t="s">
        <v>606</v>
      </c>
      <c r="C234" s="274" t="s">
        <v>607</v>
      </c>
      <c r="D234" s="274" t="s">
        <v>112</v>
      </c>
      <c r="E234" s="275">
        <v>5</v>
      </c>
      <c r="F234" s="276">
        <v>22</v>
      </c>
      <c r="G234" s="277">
        <f t="shared" si="40"/>
        <v>110</v>
      </c>
      <c r="H234" s="277">
        <f t="shared" si="36"/>
        <v>550</v>
      </c>
      <c r="I234" s="305">
        <v>720</v>
      </c>
      <c r="J234" s="306">
        <f t="shared" si="41"/>
        <v>3600</v>
      </c>
      <c r="K234" s="306">
        <f t="shared" si="38"/>
        <v>360</v>
      </c>
      <c r="L234" s="306">
        <f t="shared" si="42"/>
        <v>1800</v>
      </c>
      <c r="M234" s="254"/>
    </row>
    <row r="235" spans="1:13" ht="22.5" customHeight="1">
      <c r="A235" s="274">
        <v>212</v>
      </c>
      <c r="B235" s="274" t="s">
        <v>608</v>
      </c>
      <c r="C235" s="274" t="s">
        <v>609</v>
      </c>
      <c r="D235" s="274" t="s">
        <v>113</v>
      </c>
      <c r="E235" s="275">
        <v>5.0999999999999996</v>
      </c>
      <c r="F235" s="276">
        <v>22</v>
      </c>
      <c r="G235" s="277">
        <f t="shared" si="40"/>
        <v>110</v>
      </c>
      <c r="H235" s="277">
        <f t="shared" si="36"/>
        <v>561</v>
      </c>
      <c r="I235" s="305">
        <v>720</v>
      </c>
      <c r="J235" s="306">
        <f t="shared" si="41"/>
        <v>3671.9999999999995</v>
      </c>
      <c r="K235" s="306">
        <f t="shared" si="38"/>
        <v>360</v>
      </c>
      <c r="L235" s="306">
        <f t="shared" si="42"/>
        <v>1835.9999999999998</v>
      </c>
      <c r="M235" s="254"/>
    </row>
    <row r="236" spans="1:13" ht="22.5" customHeight="1">
      <c r="A236" s="274">
        <v>213</v>
      </c>
      <c r="B236" s="274" t="s">
        <v>610</v>
      </c>
      <c r="C236" s="274" t="s">
        <v>611</v>
      </c>
      <c r="D236" s="274" t="s">
        <v>113</v>
      </c>
      <c r="E236" s="275">
        <v>5.0999999999999996</v>
      </c>
      <c r="F236" s="276">
        <v>22</v>
      </c>
      <c r="G236" s="277">
        <f t="shared" si="40"/>
        <v>110</v>
      </c>
      <c r="H236" s="277">
        <f t="shared" si="36"/>
        <v>561</v>
      </c>
      <c r="I236" s="305">
        <v>720</v>
      </c>
      <c r="J236" s="306">
        <f t="shared" si="41"/>
        <v>3671.9999999999995</v>
      </c>
      <c r="K236" s="306">
        <f t="shared" si="38"/>
        <v>360</v>
      </c>
      <c r="L236" s="306">
        <f t="shared" si="42"/>
        <v>1835.9999999999998</v>
      </c>
      <c r="M236" s="254"/>
    </row>
    <row r="237" spans="1:13" ht="22.5" customHeight="1">
      <c r="A237" s="274">
        <v>214</v>
      </c>
      <c r="B237" s="274" t="s">
        <v>612</v>
      </c>
      <c r="C237" s="274" t="s">
        <v>613</v>
      </c>
      <c r="D237" s="274" t="s">
        <v>112</v>
      </c>
      <c r="E237" s="275">
        <v>5</v>
      </c>
      <c r="F237" s="307" t="s">
        <v>614</v>
      </c>
      <c r="G237" s="277">
        <f t="shared" si="40"/>
        <v>110</v>
      </c>
      <c r="H237" s="277">
        <f t="shared" si="36"/>
        <v>550</v>
      </c>
      <c r="I237" s="305">
        <v>720</v>
      </c>
      <c r="J237" s="306">
        <f t="shared" si="41"/>
        <v>3600</v>
      </c>
      <c r="K237" s="306">
        <f t="shared" si="38"/>
        <v>360</v>
      </c>
      <c r="L237" s="306">
        <f t="shared" si="42"/>
        <v>1800</v>
      </c>
      <c r="M237" s="254"/>
    </row>
    <row r="238" spans="1:13" ht="22.5" customHeight="1">
      <c r="A238" s="274">
        <v>215</v>
      </c>
      <c r="B238" s="274" t="s">
        <v>615</v>
      </c>
      <c r="C238" s="274" t="s">
        <v>616</v>
      </c>
      <c r="D238" s="274" t="s">
        <v>112</v>
      </c>
      <c r="E238" s="275">
        <v>6.4</v>
      </c>
      <c r="F238" s="307" t="s">
        <v>614</v>
      </c>
      <c r="G238" s="277">
        <f t="shared" si="40"/>
        <v>110</v>
      </c>
      <c r="H238" s="277">
        <f t="shared" si="36"/>
        <v>704</v>
      </c>
      <c r="I238" s="305">
        <v>720</v>
      </c>
      <c r="J238" s="306">
        <f t="shared" si="41"/>
        <v>4608</v>
      </c>
      <c r="K238" s="306">
        <f t="shared" si="38"/>
        <v>360</v>
      </c>
      <c r="L238" s="306">
        <f t="shared" si="42"/>
        <v>2304</v>
      </c>
      <c r="M238" s="254"/>
    </row>
    <row r="239" spans="1:13" ht="22.5" customHeight="1">
      <c r="A239" s="274">
        <v>216</v>
      </c>
      <c r="B239" s="274" t="s">
        <v>617</v>
      </c>
      <c r="C239" s="274" t="s">
        <v>618</v>
      </c>
      <c r="D239" s="274" t="s">
        <v>113</v>
      </c>
      <c r="E239" s="275">
        <v>6</v>
      </c>
      <c r="F239" s="307" t="s">
        <v>614</v>
      </c>
      <c r="G239" s="277">
        <f t="shared" si="40"/>
        <v>110</v>
      </c>
      <c r="H239" s="277">
        <f t="shared" si="36"/>
        <v>660</v>
      </c>
      <c r="I239" s="305">
        <v>720</v>
      </c>
      <c r="J239" s="306">
        <f t="shared" si="41"/>
        <v>4320</v>
      </c>
      <c r="K239" s="306">
        <f t="shared" si="38"/>
        <v>360</v>
      </c>
      <c r="L239" s="306">
        <f t="shared" si="42"/>
        <v>2160</v>
      </c>
      <c r="M239" s="254"/>
    </row>
    <row r="240" spans="1:13" ht="22.5" customHeight="1">
      <c r="A240" s="274">
        <v>217</v>
      </c>
      <c r="B240" s="274" t="s">
        <v>619</v>
      </c>
      <c r="C240" s="274" t="s">
        <v>620</v>
      </c>
      <c r="D240" s="274" t="s">
        <v>112</v>
      </c>
      <c r="E240" s="275">
        <v>4.2</v>
      </c>
      <c r="F240" s="307" t="s">
        <v>614</v>
      </c>
      <c r="G240" s="277">
        <f t="shared" si="40"/>
        <v>110</v>
      </c>
      <c r="H240" s="277">
        <f t="shared" si="36"/>
        <v>462</v>
      </c>
      <c r="I240" s="305">
        <v>720</v>
      </c>
      <c r="J240" s="306">
        <f t="shared" si="41"/>
        <v>3024</v>
      </c>
      <c r="K240" s="306">
        <f t="shared" si="38"/>
        <v>360</v>
      </c>
      <c r="L240" s="306">
        <f t="shared" si="42"/>
        <v>1512</v>
      </c>
      <c r="M240" s="254"/>
    </row>
    <row r="241" spans="1:13" ht="22.5" customHeight="1">
      <c r="A241" s="274">
        <v>218</v>
      </c>
      <c r="B241" s="274" t="s">
        <v>621</v>
      </c>
      <c r="C241" s="274" t="s">
        <v>622</v>
      </c>
      <c r="D241" s="274" t="s">
        <v>112</v>
      </c>
      <c r="E241" s="275">
        <v>5.8</v>
      </c>
      <c r="F241" s="307" t="s">
        <v>614</v>
      </c>
      <c r="G241" s="277">
        <f t="shared" si="40"/>
        <v>110</v>
      </c>
      <c r="H241" s="277">
        <f t="shared" si="36"/>
        <v>638</v>
      </c>
      <c r="I241" s="305">
        <v>720</v>
      </c>
      <c r="J241" s="306">
        <f t="shared" si="41"/>
        <v>4176</v>
      </c>
      <c r="K241" s="306">
        <f t="shared" si="38"/>
        <v>360</v>
      </c>
      <c r="L241" s="306">
        <f t="shared" si="42"/>
        <v>2088</v>
      </c>
      <c r="M241" s="254"/>
    </row>
    <row r="242" spans="1:13" ht="22.5" customHeight="1">
      <c r="A242" s="274">
        <v>219</v>
      </c>
      <c r="B242" s="308" t="s">
        <v>623</v>
      </c>
      <c r="C242" s="309" t="s">
        <v>624</v>
      </c>
      <c r="D242" s="309" t="s">
        <v>112</v>
      </c>
      <c r="E242" s="310">
        <v>5.4</v>
      </c>
      <c r="F242" s="307" t="s">
        <v>625</v>
      </c>
      <c r="G242" s="277">
        <f t="shared" si="40"/>
        <v>110.05000000000001</v>
      </c>
      <c r="H242" s="277">
        <f t="shared" si="36"/>
        <v>594.2700000000001</v>
      </c>
      <c r="I242" s="305">
        <v>720</v>
      </c>
      <c r="J242" s="306">
        <f t="shared" si="41"/>
        <v>3888.0000000000005</v>
      </c>
      <c r="K242" s="306">
        <f t="shared" si="38"/>
        <v>360</v>
      </c>
      <c r="L242" s="306">
        <f t="shared" si="42"/>
        <v>1944.0000000000002</v>
      </c>
      <c r="M242" s="254"/>
    </row>
    <row r="243" spans="1:13" ht="22.5" customHeight="1">
      <c r="A243" s="274">
        <v>220</v>
      </c>
      <c r="B243" s="274" t="s">
        <v>626</v>
      </c>
      <c r="C243" s="274" t="s">
        <v>627</v>
      </c>
      <c r="D243" s="274" t="s">
        <v>112</v>
      </c>
      <c r="E243" s="275">
        <v>5</v>
      </c>
      <c r="F243" s="307" t="s">
        <v>614</v>
      </c>
      <c r="G243" s="277">
        <f t="shared" si="40"/>
        <v>110</v>
      </c>
      <c r="H243" s="277">
        <f t="shared" si="36"/>
        <v>550</v>
      </c>
      <c r="I243" s="305">
        <v>720</v>
      </c>
      <c r="J243" s="306">
        <f t="shared" si="41"/>
        <v>3600</v>
      </c>
      <c r="K243" s="306">
        <f t="shared" si="38"/>
        <v>360</v>
      </c>
      <c r="L243" s="306">
        <f t="shared" si="42"/>
        <v>1800</v>
      </c>
      <c r="M243" s="254"/>
    </row>
    <row r="244" spans="1:13" ht="22.5" customHeight="1">
      <c r="A244" s="274">
        <v>221</v>
      </c>
      <c r="B244" s="274" t="s">
        <v>628</v>
      </c>
      <c r="C244" s="274" t="s">
        <v>629</v>
      </c>
      <c r="D244" s="274" t="s">
        <v>112</v>
      </c>
      <c r="E244" s="275">
        <v>5</v>
      </c>
      <c r="F244" s="307" t="s">
        <v>614</v>
      </c>
      <c r="G244" s="277">
        <f t="shared" si="40"/>
        <v>110</v>
      </c>
      <c r="H244" s="277">
        <f t="shared" si="36"/>
        <v>550</v>
      </c>
      <c r="I244" s="305">
        <v>720</v>
      </c>
      <c r="J244" s="306">
        <f t="shared" si="41"/>
        <v>3600</v>
      </c>
      <c r="K244" s="306">
        <f t="shared" si="38"/>
        <v>360</v>
      </c>
      <c r="L244" s="306">
        <f t="shared" si="42"/>
        <v>1800</v>
      </c>
      <c r="M244" s="254"/>
    </row>
    <row r="245" spans="1:13" ht="22.5" customHeight="1">
      <c r="A245" s="274">
        <v>222</v>
      </c>
      <c r="B245" s="274" t="s">
        <v>630</v>
      </c>
      <c r="C245" s="274" t="s">
        <v>631</v>
      </c>
      <c r="D245" s="274" t="s">
        <v>112</v>
      </c>
      <c r="E245" s="275">
        <v>6</v>
      </c>
      <c r="F245" s="307" t="s">
        <v>614</v>
      </c>
      <c r="G245" s="277">
        <f t="shared" si="40"/>
        <v>110</v>
      </c>
      <c r="H245" s="277">
        <f t="shared" si="36"/>
        <v>660</v>
      </c>
      <c r="I245" s="305">
        <v>720</v>
      </c>
      <c r="J245" s="306">
        <f t="shared" si="41"/>
        <v>4320</v>
      </c>
      <c r="K245" s="306">
        <f t="shared" si="38"/>
        <v>360</v>
      </c>
      <c r="L245" s="306">
        <f t="shared" si="42"/>
        <v>2160</v>
      </c>
      <c r="M245" s="254"/>
    </row>
    <row r="246" spans="1:13" ht="22.5" customHeight="1">
      <c r="A246" s="274">
        <v>223</v>
      </c>
      <c r="B246" s="274" t="s">
        <v>632</v>
      </c>
      <c r="C246" s="274" t="s">
        <v>633</v>
      </c>
      <c r="D246" s="274" t="s">
        <v>112</v>
      </c>
      <c r="E246" s="275">
        <v>5</v>
      </c>
      <c r="F246" s="307" t="s">
        <v>614</v>
      </c>
      <c r="G246" s="277">
        <f t="shared" si="40"/>
        <v>110</v>
      </c>
      <c r="H246" s="277">
        <f t="shared" si="36"/>
        <v>550</v>
      </c>
      <c r="I246" s="305">
        <v>720</v>
      </c>
      <c r="J246" s="306">
        <f t="shared" si="41"/>
        <v>3600</v>
      </c>
      <c r="K246" s="306">
        <f t="shared" si="38"/>
        <v>360</v>
      </c>
      <c r="L246" s="306">
        <f t="shared" si="42"/>
        <v>1800</v>
      </c>
      <c r="M246" s="254"/>
    </row>
    <row r="247" spans="1:13" ht="22.5" customHeight="1">
      <c r="A247" s="274">
        <v>224</v>
      </c>
      <c r="B247" s="274" t="s">
        <v>634</v>
      </c>
      <c r="C247" s="274" t="s">
        <v>635</v>
      </c>
      <c r="D247" s="274" t="s">
        <v>112</v>
      </c>
      <c r="E247" s="275">
        <v>5</v>
      </c>
      <c r="F247" s="307" t="s">
        <v>614</v>
      </c>
      <c r="G247" s="277">
        <f t="shared" si="40"/>
        <v>110</v>
      </c>
      <c r="H247" s="277">
        <f t="shared" si="36"/>
        <v>550</v>
      </c>
      <c r="I247" s="305">
        <v>720</v>
      </c>
      <c r="J247" s="306">
        <f t="shared" si="41"/>
        <v>3600</v>
      </c>
      <c r="K247" s="306">
        <f t="shared" si="38"/>
        <v>360</v>
      </c>
      <c r="L247" s="306">
        <f t="shared" si="42"/>
        <v>1800</v>
      </c>
      <c r="M247" s="254"/>
    </row>
    <row r="248" spans="1:13" ht="22.5" customHeight="1">
      <c r="A248" s="274">
        <v>225</v>
      </c>
      <c r="B248" s="274" t="s">
        <v>636</v>
      </c>
      <c r="C248" s="274" t="s">
        <v>637</v>
      </c>
      <c r="D248" s="274" t="s">
        <v>112</v>
      </c>
      <c r="E248" s="275">
        <v>5.7</v>
      </c>
      <c r="F248" s="307" t="s">
        <v>614</v>
      </c>
      <c r="G248" s="277">
        <f t="shared" si="40"/>
        <v>110</v>
      </c>
      <c r="H248" s="277">
        <f t="shared" si="36"/>
        <v>627</v>
      </c>
      <c r="I248" s="305">
        <v>720</v>
      </c>
      <c r="J248" s="306">
        <f t="shared" si="41"/>
        <v>4104</v>
      </c>
      <c r="K248" s="306">
        <f t="shared" si="38"/>
        <v>360</v>
      </c>
      <c r="L248" s="306">
        <f t="shared" si="42"/>
        <v>2052</v>
      </c>
      <c r="M248" s="254"/>
    </row>
    <row r="249" spans="1:13" ht="22.5" customHeight="1">
      <c r="A249" s="274">
        <v>226</v>
      </c>
      <c r="B249" s="274" t="s">
        <v>638</v>
      </c>
      <c r="C249" s="274" t="s">
        <v>639</v>
      </c>
      <c r="D249" s="274" t="s">
        <v>112</v>
      </c>
      <c r="E249" s="275">
        <v>6.5</v>
      </c>
      <c r="F249" s="307" t="s">
        <v>614</v>
      </c>
      <c r="G249" s="277">
        <f t="shared" si="40"/>
        <v>110</v>
      </c>
      <c r="H249" s="277">
        <f t="shared" si="36"/>
        <v>715</v>
      </c>
      <c r="I249" s="305">
        <v>720</v>
      </c>
      <c r="J249" s="306">
        <f t="shared" si="41"/>
        <v>4680</v>
      </c>
      <c r="K249" s="306">
        <f t="shared" si="38"/>
        <v>360</v>
      </c>
      <c r="L249" s="306">
        <f t="shared" si="42"/>
        <v>2340</v>
      </c>
      <c r="M249" s="254"/>
    </row>
    <row r="250" spans="1:13" ht="22.5" customHeight="1">
      <c r="A250" s="274">
        <v>227</v>
      </c>
      <c r="B250" s="274" t="s">
        <v>640</v>
      </c>
      <c r="C250" s="274" t="s">
        <v>641</v>
      </c>
      <c r="D250" s="274" t="s">
        <v>112</v>
      </c>
      <c r="E250" s="275">
        <v>5</v>
      </c>
      <c r="F250" s="307" t="s">
        <v>614</v>
      </c>
      <c r="G250" s="277">
        <f t="shared" si="40"/>
        <v>110</v>
      </c>
      <c r="H250" s="277">
        <f t="shared" si="36"/>
        <v>550</v>
      </c>
      <c r="I250" s="305">
        <v>720</v>
      </c>
      <c r="J250" s="306">
        <f t="shared" si="41"/>
        <v>3600</v>
      </c>
      <c r="K250" s="306">
        <f t="shared" si="38"/>
        <v>360</v>
      </c>
      <c r="L250" s="306">
        <f t="shared" si="42"/>
        <v>1800</v>
      </c>
      <c r="M250" s="254"/>
    </row>
    <row r="251" spans="1:13" ht="22.5" customHeight="1">
      <c r="A251" s="274">
        <v>228</v>
      </c>
      <c r="B251" s="274" t="s">
        <v>642</v>
      </c>
      <c r="C251" s="274" t="s">
        <v>539</v>
      </c>
      <c r="D251" s="274" t="s">
        <v>112</v>
      </c>
      <c r="E251" s="275">
        <v>6.8</v>
      </c>
      <c r="F251" s="307" t="s">
        <v>614</v>
      </c>
      <c r="G251" s="277">
        <f t="shared" si="40"/>
        <v>110</v>
      </c>
      <c r="H251" s="277">
        <f t="shared" si="36"/>
        <v>748</v>
      </c>
      <c r="I251" s="305">
        <v>720</v>
      </c>
      <c r="J251" s="306">
        <f t="shared" si="41"/>
        <v>4896</v>
      </c>
      <c r="K251" s="306">
        <f t="shared" si="38"/>
        <v>360</v>
      </c>
      <c r="L251" s="306">
        <f t="shared" si="42"/>
        <v>2448</v>
      </c>
      <c r="M251" s="254"/>
    </row>
    <row r="252" spans="1:13" ht="22.5" customHeight="1">
      <c r="A252" s="274">
        <v>229</v>
      </c>
      <c r="B252" s="274" t="s">
        <v>643</v>
      </c>
      <c r="C252" s="274" t="s">
        <v>644</v>
      </c>
      <c r="D252" s="274" t="s">
        <v>112</v>
      </c>
      <c r="E252" s="275">
        <v>6</v>
      </c>
      <c r="F252" s="307" t="s">
        <v>614</v>
      </c>
      <c r="G252" s="277">
        <f t="shared" si="40"/>
        <v>110</v>
      </c>
      <c r="H252" s="277">
        <f t="shared" si="36"/>
        <v>660</v>
      </c>
      <c r="I252" s="305">
        <v>720</v>
      </c>
      <c r="J252" s="306">
        <f t="shared" si="41"/>
        <v>4320</v>
      </c>
      <c r="K252" s="306">
        <f t="shared" si="38"/>
        <v>360</v>
      </c>
      <c r="L252" s="306">
        <f t="shared" si="42"/>
        <v>2160</v>
      </c>
      <c r="M252" s="254"/>
    </row>
    <row r="253" spans="1:13" ht="22.5" customHeight="1">
      <c r="A253" s="274">
        <v>230</v>
      </c>
      <c r="B253" s="274" t="s">
        <v>645</v>
      </c>
      <c r="C253" s="274" t="s">
        <v>646</v>
      </c>
      <c r="D253" s="274" t="s">
        <v>112</v>
      </c>
      <c r="E253" s="275">
        <v>5</v>
      </c>
      <c r="F253" s="307" t="s">
        <v>614</v>
      </c>
      <c r="G253" s="277">
        <f t="shared" si="40"/>
        <v>110</v>
      </c>
      <c r="H253" s="277">
        <f t="shared" si="36"/>
        <v>550</v>
      </c>
      <c r="I253" s="305">
        <v>720</v>
      </c>
      <c r="J253" s="306">
        <f t="shared" si="41"/>
        <v>3600</v>
      </c>
      <c r="K253" s="306">
        <f t="shared" si="38"/>
        <v>360</v>
      </c>
      <c r="L253" s="306">
        <f t="shared" si="42"/>
        <v>1800</v>
      </c>
      <c r="M253" s="254"/>
    </row>
    <row r="254" spans="1:13" ht="22.5" customHeight="1">
      <c r="A254" s="274">
        <v>231</v>
      </c>
      <c r="B254" s="274" t="s">
        <v>647</v>
      </c>
      <c r="C254" s="274" t="s">
        <v>648</v>
      </c>
      <c r="D254" s="274" t="s">
        <v>112</v>
      </c>
      <c r="E254" s="275">
        <v>6.7</v>
      </c>
      <c r="F254" s="307" t="s">
        <v>614</v>
      </c>
      <c r="G254" s="277">
        <f t="shared" si="40"/>
        <v>110</v>
      </c>
      <c r="H254" s="277">
        <f t="shared" si="36"/>
        <v>737</v>
      </c>
      <c r="I254" s="305">
        <v>720</v>
      </c>
      <c r="J254" s="306">
        <f t="shared" si="41"/>
        <v>4824</v>
      </c>
      <c r="K254" s="306">
        <f t="shared" si="38"/>
        <v>360</v>
      </c>
      <c r="L254" s="306">
        <f t="shared" si="42"/>
        <v>2412</v>
      </c>
      <c r="M254" s="254"/>
    </row>
    <row r="255" spans="1:13" ht="22.5" customHeight="1">
      <c r="A255" s="274">
        <v>232</v>
      </c>
      <c r="B255" s="274" t="s">
        <v>649</v>
      </c>
      <c r="C255" s="274" t="s">
        <v>650</v>
      </c>
      <c r="D255" s="274" t="s">
        <v>112</v>
      </c>
      <c r="E255" s="275">
        <v>6.5</v>
      </c>
      <c r="F255" s="307" t="s">
        <v>614</v>
      </c>
      <c r="G255" s="277">
        <f t="shared" si="40"/>
        <v>110</v>
      </c>
      <c r="H255" s="277">
        <f t="shared" si="36"/>
        <v>715</v>
      </c>
      <c r="I255" s="305">
        <v>720</v>
      </c>
      <c r="J255" s="306">
        <f t="shared" si="41"/>
        <v>4680</v>
      </c>
      <c r="K255" s="306">
        <f t="shared" si="38"/>
        <v>360</v>
      </c>
      <c r="L255" s="306">
        <f t="shared" si="42"/>
        <v>2340</v>
      </c>
      <c r="M255" s="254"/>
    </row>
    <row r="256" spans="1:13" ht="22.5" customHeight="1">
      <c r="A256" s="274">
        <v>233</v>
      </c>
      <c r="B256" s="274" t="s">
        <v>651</v>
      </c>
      <c r="C256" s="274" t="s">
        <v>652</v>
      </c>
      <c r="D256" s="274" t="s">
        <v>112</v>
      </c>
      <c r="E256" s="275">
        <v>5</v>
      </c>
      <c r="F256" s="307" t="s">
        <v>614</v>
      </c>
      <c r="G256" s="277">
        <f t="shared" si="40"/>
        <v>110</v>
      </c>
      <c r="H256" s="277">
        <f t="shared" si="36"/>
        <v>550</v>
      </c>
      <c r="I256" s="305">
        <v>720</v>
      </c>
      <c r="J256" s="306">
        <f t="shared" si="41"/>
        <v>3600</v>
      </c>
      <c r="K256" s="306">
        <f t="shared" si="38"/>
        <v>360</v>
      </c>
      <c r="L256" s="306">
        <f t="shared" si="42"/>
        <v>1800</v>
      </c>
      <c r="M256" s="254"/>
    </row>
    <row r="257" spans="1:13" ht="22.5" customHeight="1">
      <c r="A257" s="274">
        <v>234</v>
      </c>
      <c r="B257" s="274" t="s">
        <v>653</v>
      </c>
      <c r="C257" s="274" t="s">
        <v>654</v>
      </c>
      <c r="D257" s="274" t="s">
        <v>112</v>
      </c>
      <c r="E257" s="275">
        <v>5.5</v>
      </c>
      <c r="F257" s="307" t="s">
        <v>614</v>
      </c>
      <c r="G257" s="277">
        <f t="shared" si="40"/>
        <v>110</v>
      </c>
      <c r="H257" s="277">
        <f t="shared" si="36"/>
        <v>605</v>
      </c>
      <c r="I257" s="305">
        <v>720</v>
      </c>
      <c r="J257" s="306">
        <f t="shared" si="41"/>
        <v>3960</v>
      </c>
      <c r="K257" s="306">
        <f t="shared" si="38"/>
        <v>360</v>
      </c>
      <c r="L257" s="306">
        <f t="shared" si="42"/>
        <v>1980</v>
      </c>
      <c r="M257" s="254"/>
    </row>
    <row r="258" spans="1:13" ht="22.5" customHeight="1">
      <c r="A258" s="274">
        <v>235</v>
      </c>
      <c r="B258" s="274" t="s">
        <v>655</v>
      </c>
      <c r="C258" s="274" t="s">
        <v>656</v>
      </c>
      <c r="D258" s="274" t="s">
        <v>115</v>
      </c>
      <c r="E258" s="275">
        <v>5.7</v>
      </c>
      <c r="F258" s="276">
        <v>22</v>
      </c>
      <c r="G258" s="277">
        <f t="shared" si="40"/>
        <v>110</v>
      </c>
      <c r="H258" s="277">
        <f t="shared" si="36"/>
        <v>627</v>
      </c>
      <c r="I258" s="305">
        <v>800</v>
      </c>
      <c r="J258" s="306">
        <f t="shared" si="41"/>
        <v>4560</v>
      </c>
      <c r="K258" s="306">
        <f t="shared" si="38"/>
        <v>400</v>
      </c>
      <c r="L258" s="306">
        <f t="shared" si="42"/>
        <v>2280</v>
      </c>
      <c r="M258" s="254"/>
    </row>
    <row r="259" spans="1:13" ht="22.5" customHeight="1">
      <c r="A259" s="274">
        <v>236</v>
      </c>
      <c r="B259" s="274" t="s">
        <v>657</v>
      </c>
      <c r="C259" s="274" t="s">
        <v>658</v>
      </c>
      <c r="D259" s="274" t="s">
        <v>115</v>
      </c>
      <c r="E259" s="275">
        <v>5</v>
      </c>
      <c r="F259" s="276">
        <v>22</v>
      </c>
      <c r="G259" s="277">
        <f t="shared" si="40"/>
        <v>110</v>
      </c>
      <c r="H259" s="277">
        <f t="shared" si="36"/>
        <v>550</v>
      </c>
      <c r="I259" s="305">
        <v>800</v>
      </c>
      <c r="J259" s="306">
        <f t="shared" si="41"/>
        <v>4000</v>
      </c>
      <c r="K259" s="306">
        <f t="shared" si="38"/>
        <v>400</v>
      </c>
      <c r="L259" s="306">
        <f t="shared" si="42"/>
        <v>2000</v>
      </c>
      <c r="M259" s="254"/>
    </row>
    <row r="260" spans="1:13" ht="22.5" customHeight="1">
      <c r="A260" s="274">
        <v>237</v>
      </c>
      <c r="B260" s="274" t="s">
        <v>659</v>
      </c>
      <c r="C260" s="274" t="s">
        <v>660</v>
      </c>
      <c r="D260" s="274" t="s">
        <v>114</v>
      </c>
      <c r="E260" s="275">
        <v>5</v>
      </c>
      <c r="F260" s="276">
        <v>22</v>
      </c>
      <c r="G260" s="277">
        <f t="shared" si="40"/>
        <v>110</v>
      </c>
      <c r="H260" s="277">
        <f t="shared" si="36"/>
        <v>550</v>
      </c>
      <c r="I260" s="305">
        <v>720</v>
      </c>
      <c r="J260" s="306">
        <f t="shared" si="41"/>
        <v>3600</v>
      </c>
      <c r="K260" s="306">
        <f t="shared" si="38"/>
        <v>360</v>
      </c>
      <c r="L260" s="306">
        <f t="shared" si="42"/>
        <v>1800</v>
      </c>
      <c r="M260" s="254"/>
    </row>
    <row r="261" spans="1:13" ht="22.5" customHeight="1">
      <c r="A261" s="274">
        <v>238</v>
      </c>
      <c r="B261" s="274" t="s">
        <v>661</v>
      </c>
      <c r="C261" s="274" t="s">
        <v>662</v>
      </c>
      <c r="D261" s="274" t="s">
        <v>114</v>
      </c>
      <c r="E261" s="275">
        <v>6</v>
      </c>
      <c r="F261" s="276">
        <v>22</v>
      </c>
      <c r="G261" s="277">
        <f t="shared" si="40"/>
        <v>110</v>
      </c>
      <c r="H261" s="277">
        <f t="shared" si="36"/>
        <v>660</v>
      </c>
      <c r="I261" s="305">
        <v>720</v>
      </c>
      <c r="J261" s="306">
        <f t="shared" si="41"/>
        <v>4320</v>
      </c>
      <c r="K261" s="306">
        <f t="shared" si="38"/>
        <v>360</v>
      </c>
      <c r="L261" s="306">
        <f t="shared" si="42"/>
        <v>2160</v>
      </c>
      <c r="M261" s="254"/>
    </row>
    <row r="262" spans="1:13" ht="22.5" customHeight="1">
      <c r="A262" s="274">
        <v>239</v>
      </c>
      <c r="B262" s="274" t="s">
        <v>663</v>
      </c>
      <c r="C262" s="274" t="s">
        <v>631</v>
      </c>
      <c r="D262" s="274" t="s">
        <v>122</v>
      </c>
      <c r="E262" s="275">
        <v>5</v>
      </c>
      <c r="F262" s="276">
        <v>22</v>
      </c>
      <c r="G262" s="277">
        <f t="shared" si="40"/>
        <v>110</v>
      </c>
      <c r="H262" s="277">
        <f t="shared" si="36"/>
        <v>550</v>
      </c>
      <c r="I262" s="305">
        <v>800</v>
      </c>
      <c r="J262" s="306">
        <f t="shared" si="41"/>
        <v>4000</v>
      </c>
      <c r="K262" s="306">
        <f t="shared" si="38"/>
        <v>400</v>
      </c>
      <c r="L262" s="306">
        <f t="shared" si="42"/>
        <v>2000</v>
      </c>
      <c r="M262" s="254"/>
    </row>
    <row r="263" spans="1:13" ht="22.5" customHeight="1">
      <c r="A263" s="274">
        <v>240</v>
      </c>
      <c r="B263" s="274" t="s">
        <v>664</v>
      </c>
      <c r="C263" s="274" t="s">
        <v>665</v>
      </c>
      <c r="D263" s="274" t="s">
        <v>666</v>
      </c>
      <c r="E263" s="275">
        <v>5</v>
      </c>
      <c r="F263" s="276">
        <v>22</v>
      </c>
      <c r="G263" s="277">
        <f t="shared" si="40"/>
        <v>110</v>
      </c>
      <c r="H263" s="277">
        <f t="shared" si="36"/>
        <v>550</v>
      </c>
      <c r="I263" s="305">
        <v>800</v>
      </c>
      <c r="J263" s="306">
        <f t="shared" si="41"/>
        <v>4000</v>
      </c>
      <c r="K263" s="306">
        <f t="shared" si="38"/>
        <v>400</v>
      </c>
      <c r="L263" s="306">
        <f t="shared" si="42"/>
        <v>2000</v>
      </c>
      <c r="M263" s="254"/>
    </row>
    <row r="264" spans="1:13" ht="22.5" customHeight="1">
      <c r="A264" s="274">
        <v>241</v>
      </c>
      <c r="B264" s="274" t="s">
        <v>667</v>
      </c>
      <c r="C264" s="274" t="s">
        <v>668</v>
      </c>
      <c r="D264" s="274" t="s">
        <v>122</v>
      </c>
      <c r="E264" s="275">
        <v>5</v>
      </c>
      <c r="F264" s="276">
        <v>22</v>
      </c>
      <c r="G264" s="277">
        <f t="shared" si="40"/>
        <v>110</v>
      </c>
      <c r="H264" s="277">
        <f t="shared" si="36"/>
        <v>550</v>
      </c>
      <c r="I264" s="305">
        <v>800</v>
      </c>
      <c r="J264" s="306">
        <f t="shared" si="41"/>
        <v>4000</v>
      </c>
      <c r="K264" s="306">
        <f t="shared" si="38"/>
        <v>400</v>
      </c>
      <c r="L264" s="306">
        <f t="shared" si="42"/>
        <v>2000</v>
      </c>
      <c r="M264" s="254"/>
    </row>
    <row r="265" spans="1:13" ht="22.5" customHeight="1">
      <c r="A265" s="274">
        <v>242</v>
      </c>
      <c r="B265" s="274" t="s">
        <v>669</v>
      </c>
      <c r="C265" s="274" t="s">
        <v>670</v>
      </c>
      <c r="D265" s="274" t="s">
        <v>122</v>
      </c>
      <c r="E265" s="275">
        <v>5</v>
      </c>
      <c r="F265" s="276">
        <v>22</v>
      </c>
      <c r="G265" s="277">
        <f t="shared" si="40"/>
        <v>110</v>
      </c>
      <c r="H265" s="277">
        <f t="shared" si="36"/>
        <v>550</v>
      </c>
      <c r="I265" s="305">
        <v>800</v>
      </c>
      <c r="J265" s="306">
        <f t="shared" si="41"/>
        <v>4000</v>
      </c>
      <c r="K265" s="306">
        <f t="shared" si="38"/>
        <v>400</v>
      </c>
      <c r="L265" s="306">
        <f t="shared" si="42"/>
        <v>2000</v>
      </c>
      <c r="M265" s="254"/>
    </row>
    <row r="266" spans="1:13" ht="22.5" customHeight="1">
      <c r="A266" s="274">
        <v>243</v>
      </c>
      <c r="B266" s="274" t="s">
        <v>671</v>
      </c>
      <c r="C266" s="274" t="s">
        <v>672</v>
      </c>
      <c r="D266" s="274" t="s">
        <v>114</v>
      </c>
      <c r="E266" s="275">
        <v>5</v>
      </c>
      <c r="F266" s="276">
        <v>22</v>
      </c>
      <c r="G266" s="277">
        <f t="shared" si="40"/>
        <v>110</v>
      </c>
      <c r="H266" s="277">
        <f t="shared" si="36"/>
        <v>550</v>
      </c>
      <c r="I266" s="305">
        <v>720</v>
      </c>
      <c r="J266" s="306">
        <f t="shared" si="41"/>
        <v>3600</v>
      </c>
      <c r="K266" s="306">
        <f t="shared" si="38"/>
        <v>360</v>
      </c>
      <c r="L266" s="306">
        <f t="shared" si="42"/>
        <v>1800</v>
      </c>
      <c r="M266" s="254"/>
    </row>
    <row r="267" spans="1:13" ht="22.5" customHeight="1">
      <c r="A267" s="274">
        <v>244</v>
      </c>
      <c r="B267" s="274" t="s">
        <v>673</v>
      </c>
      <c r="C267" s="274" t="s">
        <v>674</v>
      </c>
      <c r="D267" s="274" t="s">
        <v>113</v>
      </c>
      <c r="E267" s="275">
        <v>5</v>
      </c>
      <c r="F267" s="276">
        <v>22</v>
      </c>
      <c r="G267" s="277">
        <f t="shared" si="40"/>
        <v>110</v>
      </c>
      <c r="H267" s="277">
        <f t="shared" si="36"/>
        <v>550</v>
      </c>
      <c r="I267" s="305">
        <v>720</v>
      </c>
      <c r="J267" s="306">
        <f t="shared" si="41"/>
        <v>3600</v>
      </c>
      <c r="K267" s="306">
        <f t="shared" si="38"/>
        <v>360</v>
      </c>
      <c r="L267" s="306">
        <f t="shared" si="42"/>
        <v>1800</v>
      </c>
      <c r="M267" s="254"/>
    </row>
    <row r="268" spans="1:13" ht="22.5" customHeight="1">
      <c r="A268" s="274">
        <v>245</v>
      </c>
      <c r="B268" s="274" t="s">
        <v>675</v>
      </c>
      <c r="C268" s="274" t="s">
        <v>676</v>
      </c>
      <c r="D268" s="274" t="s">
        <v>119</v>
      </c>
      <c r="E268" s="275">
        <v>5</v>
      </c>
      <c r="F268" s="276">
        <v>22</v>
      </c>
      <c r="G268" s="277">
        <f t="shared" si="40"/>
        <v>110</v>
      </c>
      <c r="H268" s="277">
        <f t="shared" si="36"/>
        <v>550</v>
      </c>
      <c r="I268" s="305">
        <v>800</v>
      </c>
      <c r="J268" s="306">
        <f t="shared" si="41"/>
        <v>4000</v>
      </c>
      <c r="K268" s="306">
        <f t="shared" si="38"/>
        <v>400</v>
      </c>
      <c r="L268" s="306">
        <f t="shared" si="42"/>
        <v>2000</v>
      </c>
      <c r="M268" s="254"/>
    </row>
    <row r="269" spans="1:13" ht="22.5" customHeight="1">
      <c r="A269" s="274">
        <v>246</v>
      </c>
      <c r="B269" s="274" t="s">
        <v>677</v>
      </c>
      <c r="C269" s="274" t="s">
        <v>678</v>
      </c>
      <c r="D269" s="274" t="s">
        <v>119</v>
      </c>
      <c r="E269" s="275">
        <v>5</v>
      </c>
      <c r="F269" s="276">
        <v>22</v>
      </c>
      <c r="G269" s="277">
        <f t="shared" si="40"/>
        <v>110</v>
      </c>
      <c r="H269" s="277">
        <f t="shared" si="36"/>
        <v>550</v>
      </c>
      <c r="I269" s="305">
        <v>800</v>
      </c>
      <c r="J269" s="306">
        <f t="shared" si="41"/>
        <v>4000</v>
      </c>
      <c r="K269" s="306">
        <f t="shared" si="38"/>
        <v>400</v>
      </c>
      <c r="L269" s="306">
        <f t="shared" si="42"/>
        <v>2000</v>
      </c>
      <c r="M269" s="254"/>
    </row>
    <row r="270" spans="1:13" ht="22.5" customHeight="1">
      <c r="A270" s="274">
        <v>247</v>
      </c>
      <c r="B270" s="274" t="s">
        <v>679</v>
      </c>
      <c r="C270" s="274" t="s">
        <v>680</v>
      </c>
      <c r="D270" s="274" t="s">
        <v>119</v>
      </c>
      <c r="E270" s="275">
        <v>5</v>
      </c>
      <c r="F270" s="276">
        <v>22</v>
      </c>
      <c r="G270" s="277">
        <f t="shared" si="40"/>
        <v>110</v>
      </c>
      <c r="H270" s="277">
        <f t="shared" si="36"/>
        <v>550</v>
      </c>
      <c r="I270" s="305">
        <v>800</v>
      </c>
      <c r="J270" s="306">
        <f t="shared" si="41"/>
        <v>4000</v>
      </c>
      <c r="K270" s="306">
        <f t="shared" si="38"/>
        <v>400</v>
      </c>
      <c r="L270" s="306">
        <f t="shared" si="42"/>
        <v>2000</v>
      </c>
      <c r="M270" s="254"/>
    </row>
    <row r="271" spans="1:13" ht="22.5" customHeight="1">
      <c r="A271" s="274">
        <v>248</v>
      </c>
      <c r="B271" s="274" t="s">
        <v>681</v>
      </c>
      <c r="C271" s="274" t="s">
        <v>682</v>
      </c>
      <c r="D271" s="274" t="s">
        <v>112</v>
      </c>
      <c r="E271" s="275">
        <v>5</v>
      </c>
      <c r="F271" s="276">
        <v>22</v>
      </c>
      <c r="G271" s="277">
        <f t="shared" si="40"/>
        <v>110</v>
      </c>
      <c r="H271" s="277">
        <f t="shared" si="36"/>
        <v>550</v>
      </c>
      <c r="I271" s="305">
        <v>720</v>
      </c>
      <c r="J271" s="306">
        <f t="shared" si="41"/>
        <v>3600</v>
      </c>
      <c r="K271" s="306">
        <f t="shared" si="38"/>
        <v>360</v>
      </c>
      <c r="L271" s="306">
        <f t="shared" si="42"/>
        <v>1800</v>
      </c>
      <c r="M271" s="254"/>
    </row>
    <row r="272" spans="1:13" ht="22.5" customHeight="1">
      <c r="A272" s="274">
        <v>249</v>
      </c>
      <c r="B272" s="274" t="s">
        <v>683</v>
      </c>
      <c r="C272" s="274" t="s">
        <v>684</v>
      </c>
      <c r="D272" s="274" t="s">
        <v>112</v>
      </c>
      <c r="E272" s="275">
        <v>5</v>
      </c>
      <c r="F272" s="276">
        <v>22</v>
      </c>
      <c r="G272" s="277">
        <f t="shared" si="40"/>
        <v>110</v>
      </c>
      <c r="H272" s="277">
        <f t="shared" si="36"/>
        <v>550</v>
      </c>
      <c r="I272" s="305">
        <v>720</v>
      </c>
      <c r="J272" s="306">
        <f t="shared" si="41"/>
        <v>3600</v>
      </c>
      <c r="K272" s="306">
        <f t="shared" si="38"/>
        <v>360</v>
      </c>
      <c r="L272" s="306">
        <f t="shared" si="42"/>
        <v>1800</v>
      </c>
      <c r="M272" s="254"/>
    </row>
    <row r="273" spans="1:13" ht="22.5" customHeight="1">
      <c r="A273" s="274">
        <v>250</v>
      </c>
      <c r="B273" s="274" t="s">
        <v>685</v>
      </c>
      <c r="C273" s="274" t="s">
        <v>686</v>
      </c>
      <c r="D273" s="274" t="s">
        <v>112</v>
      </c>
      <c r="E273" s="275">
        <v>6.4</v>
      </c>
      <c r="F273" s="276">
        <v>22</v>
      </c>
      <c r="G273" s="277">
        <f t="shared" si="40"/>
        <v>110</v>
      </c>
      <c r="H273" s="277">
        <f t="shared" si="36"/>
        <v>704</v>
      </c>
      <c r="I273" s="305">
        <v>720</v>
      </c>
      <c r="J273" s="306">
        <f t="shared" si="41"/>
        <v>4608</v>
      </c>
      <c r="K273" s="306">
        <f t="shared" si="38"/>
        <v>360</v>
      </c>
      <c r="L273" s="306">
        <f t="shared" si="42"/>
        <v>2304</v>
      </c>
      <c r="M273" s="254"/>
    </row>
    <row r="274" spans="1:13" ht="22.5" customHeight="1">
      <c r="A274" s="274">
        <v>251</v>
      </c>
      <c r="B274" s="274" t="s">
        <v>687</v>
      </c>
      <c r="C274" s="274" t="s">
        <v>688</v>
      </c>
      <c r="D274" s="274" t="s">
        <v>112</v>
      </c>
      <c r="E274" s="275">
        <v>5.5</v>
      </c>
      <c r="F274" s="276">
        <v>22</v>
      </c>
      <c r="G274" s="277">
        <f t="shared" si="40"/>
        <v>110</v>
      </c>
      <c r="H274" s="277">
        <f t="shared" si="36"/>
        <v>605</v>
      </c>
      <c r="I274" s="305">
        <v>720</v>
      </c>
      <c r="J274" s="306">
        <f t="shared" si="41"/>
        <v>3960</v>
      </c>
      <c r="K274" s="306">
        <f t="shared" si="38"/>
        <v>360</v>
      </c>
      <c r="L274" s="306">
        <f t="shared" si="42"/>
        <v>1980</v>
      </c>
      <c r="M274" s="254"/>
    </row>
    <row r="275" spans="1:13" ht="22.5" customHeight="1">
      <c r="A275" s="274">
        <v>252</v>
      </c>
      <c r="B275" s="274" t="s">
        <v>689</v>
      </c>
      <c r="C275" s="274" t="s">
        <v>690</v>
      </c>
      <c r="D275" s="274" t="s">
        <v>112</v>
      </c>
      <c r="E275" s="275">
        <v>5.3</v>
      </c>
      <c r="F275" s="276">
        <v>22</v>
      </c>
      <c r="G275" s="277">
        <f t="shared" si="40"/>
        <v>110</v>
      </c>
      <c r="H275" s="277">
        <f t="shared" si="36"/>
        <v>583</v>
      </c>
      <c r="I275" s="305">
        <v>720</v>
      </c>
      <c r="J275" s="306">
        <f t="shared" si="41"/>
        <v>3816</v>
      </c>
      <c r="K275" s="306">
        <f t="shared" si="38"/>
        <v>360</v>
      </c>
      <c r="L275" s="306">
        <f t="shared" si="42"/>
        <v>1908</v>
      </c>
      <c r="M275" s="254"/>
    </row>
    <row r="276" spans="1:13" ht="22.5" customHeight="1">
      <c r="A276" s="274">
        <v>253</v>
      </c>
      <c r="B276" s="274" t="s">
        <v>691</v>
      </c>
      <c r="C276" s="274" t="s">
        <v>692</v>
      </c>
      <c r="D276" s="274" t="s">
        <v>112</v>
      </c>
      <c r="E276" s="275">
        <v>6.6</v>
      </c>
      <c r="F276" s="276">
        <v>22</v>
      </c>
      <c r="G276" s="277">
        <f t="shared" si="40"/>
        <v>110</v>
      </c>
      <c r="H276" s="277">
        <f t="shared" si="36"/>
        <v>726</v>
      </c>
      <c r="I276" s="305">
        <v>720</v>
      </c>
      <c r="J276" s="306">
        <f t="shared" si="41"/>
        <v>4752</v>
      </c>
      <c r="K276" s="306">
        <f t="shared" si="38"/>
        <v>360</v>
      </c>
      <c r="L276" s="306">
        <f t="shared" si="42"/>
        <v>2376</v>
      </c>
      <c r="M276" s="254"/>
    </row>
    <row r="277" spans="1:13" ht="22.5" customHeight="1">
      <c r="A277" s="274">
        <v>254</v>
      </c>
      <c r="B277" s="274" t="s">
        <v>693</v>
      </c>
      <c r="C277" s="274" t="s">
        <v>694</v>
      </c>
      <c r="D277" s="274" t="s">
        <v>113</v>
      </c>
      <c r="E277" s="275">
        <v>6.5</v>
      </c>
      <c r="F277" s="276">
        <v>22</v>
      </c>
      <c r="G277" s="277">
        <f t="shared" si="40"/>
        <v>110</v>
      </c>
      <c r="H277" s="277">
        <f t="shared" si="36"/>
        <v>715</v>
      </c>
      <c r="I277" s="305">
        <v>720</v>
      </c>
      <c r="J277" s="306">
        <f t="shared" si="41"/>
        <v>4680</v>
      </c>
      <c r="K277" s="306">
        <f t="shared" si="38"/>
        <v>360</v>
      </c>
      <c r="L277" s="306">
        <f t="shared" si="42"/>
        <v>2340</v>
      </c>
      <c r="M277" s="254"/>
    </row>
    <row r="278" spans="1:13" ht="22.5" customHeight="1">
      <c r="A278" s="274">
        <v>255</v>
      </c>
      <c r="B278" s="274" t="s">
        <v>695</v>
      </c>
      <c r="C278" s="274" t="s">
        <v>696</v>
      </c>
      <c r="D278" s="274" t="s">
        <v>112</v>
      </c>
      <c r="E278" s="275">
        <v>5</v>
      </c>
      <c r="F278" s="276">
        <v>22</v>
      </c>
      <c r="G278" s="277">
        <f t="shared" si="40"/>
        <v>110</v>
      </c>
      <c r="H278" s="277">
        <f t="shared" si="36"/>
        <v>550</v>
      </c>
      <c r="I278" s="305">
        <v>720</v>
      </c>
      <c r="J278" s="306">
        <f t="shared" si="41"/>
        <v>3600</v>
      </c>
      <c r="K278" s="306">
        <f t="shared" si="38"/>
        <v>360</v>
      </c>
      <c r="L278" s="306">
        <f t="shared" si="42"/>
        <v>1800</v>
      </c>
      <c r="M278" s="254"/>
    </row>
    <row r="279" spans="1:13" ht="22.5" customHeight="1">
      <c r="A279" s="274">
        <v>256</v>
      </c>
      <c r="B279" s="274" t="s">
        <v>697</v>
      </c>
      <c r="C279" s="274" t="s">
        <v>698</v>
      </c>
      <c r="D279" s="274" t="s">
        <v>112</v>
      </c>
      <c r="E279" s="275">
        <v>5.3</v>
      </c>
      <c r="F279" s="276">
        <v>22</v>
      </c>
      <c r="G279" s="277">
        <f t="shared" si="40"/>
        <v>110</v>
      </c>
      <c r="H279" s="277">
        <f t="shared" si="36"/>
        <v>583</v>
      </c>
      <c r="I279" s="305">
        <v>720</v>
      </c>
      <c r="J279" s="306">
        <f t="shared" si="41"/>
        <v>3816</v>
      </c>
      <c r="K279" s="306">
        <f t="shared" si="38"/>
        <v>360</v>
      </c>
      <c r="L279" s="306">
        <f t="shared" si="42"/>
        <v>1908</v>
      </c>
      <c r="M279" s="254"/>
    </row>
    <row r="280" spans="1:13" ht="22.5" customHeight="1">
      <c r="A280" s="274">
        <v>257</v>
      </c>
      <c r="B280" s="274" t="s">
        <v>699</v>
      </c>
      <c r="C280" s="274" t="s">
        <v>700</v>
      </c>
      <c r="D280" s="274" t="s">
        <v>112</v>
      </c>
      <c r="E280" s="275">
        <v>5.5</v>
      </c>
      <c r="F280" s="276">
        <v>22</v>
      </c>
      <c r="G280" s="277">
        <f t="shared" si="40"/>
        <v>110</v>
      </c>
      <c r="H280" s="277">
        <f t="shared" si="36"/>
        <v>605</v>
      </c>
      <c r="I280" s="305">
        <v>720</v>
      </c>
      <c r="J280" s="306">
        <f t="shared" si="41"/>
        <v>3960</v>
      </c>
      <c r="K280" s="306">
        <f t="shared" si="38"/>
        <v>360</v>
      </c>
      <c r="L280" s="306">
        <f t="shared" si="42"/>
        <v>1980</v>
      </c>
      <c r="M280" s="254"/>
    </row>
    <row r="281" spans="1:13" ht="22.5" customHeight="1">
      <c r="A281" s="274">
        <v>258</v>
      </c>
      <c r="B281" s="274" t="s">
        <v>701</v>
      </c>
      <c r="C281" s="274" t="s">
        <v>702</v>
      </c>
      <c r="D281" s="274" t="s">
        <v>112</v>
      </c>
      <c r="E281" s="275">
        <v>5.5</v>
      </c>
      <c r="F281" s="276">
        <v>22</v>
      </c>
      <c r="G281" s="277">
        <f t="shared" si="40"/>
        <v>110</v>
      </c>
      <c r="H281" s="277">
        <f t="shared" si="36"/>
        <v>605</v>
      </c>
      <c r="I281" s="305">
        <v>720</v>
      </c>
      <c r="J281" s="306">
        <f t="shared" si="41"/>
        <v>3960</v>
      </c>
      <c r="K281" s="306">
        <f t="shared" si="38"/>
        <v>360</v>
      </c>
      <c r="L281" s="306">
        <f t="shared" si="42"/>
        <v>1980</v>
      </c>
      <c r="M281" s="254"/>
    </row>
    <row r="282" spans="1:13" ht="22.5" customHeight="1">
      <c r="A282" s="274">
        <v>259</v>
      </c>
      <c r="B282" s="274" t="s">
        <v>703</v>
      </c>
      <c r="C282" s="274" t="s">
        <v>704</v>
      </c>
      <c r="D282" s="274" t="s">
        <v>112</v>
      </c>
      <c r="E282" s="275">
        <v>5.2</v>
      </c>
      <c r="F282" s="276">
        <v>22</v>
      </c>
      <c r="G282" s="277">
        <f t="shared" si="40"/>
        <v>110</v>
      </c>
      <c r="H282" s="277">
        <f t="shared" si="36"/>
        <v>572</v>
      </c>
      <c r="I282" s="305">
        <v>720</v>
      </c>
      <c r="J282" s="306">
        <f t="shared" si="41"/>
        <v>3744</v>
      </c>
      <c r="K282" s="306">
        <f t="shared" si="38"/>
        <v>360</v>
      </c>
      <c r="L282" s="306">
        <f t="shared" si="42"/>
        <v>1872</v>
      </c>
      <c r="M282" s="254"/>
    </row>
    <row r="283" spans="1:13" ht="22.5" customHeight="1">
      <c r="A283" s="274">
        <v>260</v>
      </c>
      <c r="B283" s="274" t="s">
        <v>705</v>
      </c>
      <c r="C283" s="274" t="s">
        <v>706</v>
      </c>
      <c r="D283" s="274" t="s">
        <v>112</v>
      </c>
      <c r="E283" s="275">
        <v>5.2</v>
      </c>
      <c r="F283" s="276">
        <v>22</v>
      </c>
      <c r="G283" s="277">
        <f t="shared" si="40"/>
        <v>110</v>
      </c>
      <c r="H283" s="277">
        <f t="shared" si="36"/>
        <v>572</v>
      </c>
      <c r="I283" s="305">
        <v>720</v>
      </c>
      <c r="J283" s="306">
        <f t="shared" si="41"/>
        <v>3744</v>
      </c>
      <c r="K283" s="306">
        <f t="shared" si="38"/>
        <v>360</v>
      </c>
      <c r="L283" s="306">
        <f t="shared" si="42"/>
        <v>1872</v>
      </c>
      <c r="M283" s="254"/>
    </row>
    <row r="284" spans="1:13" ht="22.5" customHeight="1">
      <c r="A284" s="274">
        <v>261</v>
      </c>
      <c r="B284" s="274" t="s">
        <v>707</v>
      </c>
      <c r="C284" s="274" t="s">
        <v>708</v>
      </c>
      <c r="D284" s="274" t="s">
        <v>112</v>
      </c>
      <c r="E284" s="275">
        <v>5</v>
      </c>
      <c r="F284" s="276">
        <v>22</v>
      </c>
      <c r="G284" s="277">
        <f t="shared" si="40"/>
        <v>110</v>
      </c>
      <c r="H284" s="277">
        <f t="shared" si="36"/>
        <v>550</v>
      </c>
      <c r="I284" s="305">
        <v>720</v>
      </c>
      <c r="J284" s="306">
        <f t="shared" si="41"/>
        <v>3600</v>
      </c>
      <c r="K284" s="306">
        <f t="shared" si="38"/>
        <v>360</v>
      </c>
      <c r="L284" s="306">
        <f t="shared" si="42"/>
        <v>1800</v>
      </c>
      <c r="M284" s="254"/>
    </row>
    <row r="285" spans="1:13" ht="22.5" customHeight="1">
      <c r="A285" s="274">
        <v>262</v>
      </c>
      <c r="B285" s="274" t="s">
        <v>709</v>
      </c>
      <c r="C285" s="274" t="s">
        <v>710</v>
      </c>
      <c r="D285" s="274" t="s">
        <v>113</v>
      </c>
      <c r="E285" s="275">
        <v>5</v>
      </c>
      <c r="F285" s="276">
        <v>22</v>
      </c>
      <c r="G285" s="277">
        <f t="shared" si="40"/>
        <v>110</v>
      </c>
      <c r="H285" s="277">
        <f t="shared" si="36"/>
        <v>550</v>
      </c>
      <c r="I285" s="305">
        <v>720</v>
      </c>
      <c r="J285" s="306">
        <f t="shared" si="41"/>
        <v>3600</v>
      </c>
      <c r="K285" s="306">
        <f t="shared" si="38"/>
        <v>360</v>
      </c>
      <c r="L285" s="306">
        <f t="shared" si="42"/>
        <v>1800</v>
      </c>
      <c r="M285" s="254"/>
    </row>
    <row r="286" spans="1:13" ht="22.5" customHeight="1">
      <c r="A286" s="274">
        <v>263</v>
      </c>
      <c r="B286" s="274" t="s">
        <v>711</v>
      </c>
      <c r="C286" s="274" t="s">
        <v>712</v>
      </c>
      <c r="D286" s="274" t="s">
        <v>113</v>
      </c>
      <c r="E286" s="275">
        <v>5.3</v>
      </c>
      <c r="F286" s="276">
        <v>22</v>
      </c>
      <c r="G286" s="277">
        <f t="shared" si="40"/>
        <v>110</v>
      </c>
      <c r="H286" s="277">
        <f t="shared" si="36"/>
        <v>583</v>
      </c>
      <c r="I286" s="305">
        <v>720</v>
      </c>
      <c r="J286" s="306">
        <f t="shared" si="41"/>
        <v>3816</v>
      </c>
      <c r="K286" s="306">
        <f t="shared" si="38"/>
        <v>360</v>
      </c>
      <c r="L286" s="306">
        <f t="shared" si="42"/>
        <v>1908</v>
      </c>
      <c r="M286" s="254"/>
    </row>
    <row r="287" spans="1:13" ht="22.5" customHeight="1">
      <c r="A287" s="274">
        <v>264</v>
      </c>
      <c r="B287" s="274" t="s">
        <v>713</v>
      </c>
      <c r="C287" s="274" t="s">
        <v>714</v>
      </c>
      <c r="D287" s="274" t="s">
        <v>113</v>
      </c>
      <c r="E287" s="275">
        <v>5.5</v>
      </c>
      <c r="F287" s="276">
        <v>22</v>
      </c>
      <c r="G287" s="277">
        <f t="shared" si="40"/>
        <v>110</v>
      </c>
      <c r="H287" s="277">
        <f t="shared" si="36"/>
        <v>605</v>
      </c>
      <c r="I287" s="305">
        <v>720</v>
      </c>
      <c r="J287" s="306">
        <f t="shared" si="41"/>
        <v>3960</v>
      </c>
      <c r="K287" s="306">
        <f t="shared" si="38"/>
        <v>360</v>
      </c>
      <c r="L287" s="306">
        <f t="shared" si="42"/>
        <v>1980</v>
      </c>
      <c r="M287" s="254"/>
    </row>
    <row r="288" spans="1:13" ht="22.5" customHeight="1">
      <c r="A288" s="274">
        <v>265</v>
      </c>
      <c r="B288" s="274" t="s">
        <v>715</v>
      </c>
      <c r="C288" s="274" t="s">
        <v>716</v>
      </c>
      <c r="D288" s="274" t="s">
        <v>113</v>
      </c>
      <c r="E288" s="275">
        <v>5</v>
      </c>
      <c r="F288" s="276">
        <v>22</v>
      </c>
      <c r="G288" s="277">
        <f t="shared" si="40"/>
        <v>110</v>
      </c>
      <c r="H288" s="277">
        <f t="shared" si="36"/>
        <v>550</v>
      </c>
      <c r="I288" s="305">
        <v>720</v>
      </c>
      <c r="J288" s="306">
        <f t="shared" si="41"/>
        <v>3600</v>
      </c>
      <c r="K288" s="306">
        <f t="shared" si="38"/>
        <v>360</v>
      </c>
      <c r="L288" s="306">
        <f t="shared" si="42"/>
        <v>1800</v>
      </c>
      <c r="M288" s="254"/>
    </row>
    <row r="289" spans="1:13" ht="22.5" customHeight="1">
      <c r="A289" s="274">
        <v>266</v>
      </c>
      <c r="B289" s="274" t="s">
        <v>717</v>
      </c>
      <c r="C289" s="274" t="s">
        <v>718</v>
      </c>
      <c r="D289" s="274" t="s">
        <v>117</v>
      </c>
      <c r="E289" s="275">
        <v>5</v>
      </c>
      <c r="F289" s="276">
        <v>28</v>
      </c>
      <c r="G289" s="277">
        <f t="shared" si="40"/>
        <v>140</v>
      </c>
      <c r="H289" s="277">
        <f t="shared" si="36"/>
        <v>700</v>
      </c>
      <c r="I289" s="305">
        <v>850</v>
      </c>
      <c r="J289" s="306">
        <f t="shared" si="41"/>
        <v>4250</v>
      </c>
      <c r="K289" s="306">
        <f t="shared" si="38"/>
        <v>425</v>
      </c>
      <c r="L289" s="306">
        <f t="shared" si="42"/>
        <v>2125</v>
      </c>
      <c r="M289" s="254"/>
    </row>
    <row r="290" spans="1:13" ht="22.5" customHeight="1">
      <c r="A290" s="274">
        <v>267</v>
      </c>
      <c r="B290" s="274" t="s">
        <v>719</v>
      </c>
      <c r="C290" s="274" t="s">
        <v>720</v>
      </c>
      <c r="D290" s="274" t="s">
        <v>113</v>
      </c>
      <c r="E290" s="275">
        <v>5</v>
      </c>
      <c r="F290" s="276">
        <v>22</v>
      </c>
      <c r="G290" s="277">
        <f t="shared" si="40"/>
        <v>110</v>
      </c>
      <c r="H290" s="277">
        <f t="shared" si="36"/>
        <v>550</v>
      </c>
      <c r="I290" s="305">
        <v>720</v>
      </c>
      <c r="J290" s="306">
        <f t="shared" si="41"/>
        <v>3600</v>
      </c>
      <c r="K290" s="306">
        <f t="shared" si="38"/>
        <v>360</v>
      </c>
      <c r="L290" s="306">
        <f t="shared" si="42"/>
        <v>1800</v>
      </c>
      <c r="M290" s="254"/>
    </row>
    <row r="291" spans="1:13" ht="22.5" customHeight="1">
      <c r="A291" s="274">
        <v>268</v>
      </c>
      <c r="B291" s="274" t="s">
        <v>721</v>
      </c>
      <c r="C291" s="274" t="s">
        <v>722</v>
      </c>
      <c r="D291" s="274" t="s">
        <v>113</v>
      </c>
      <c r="E291" s="275">
        <v>6.5</v>
      </c>
      <c r="F291" s="276">
        <v>22</v>
      </c>
      <c r="G291" s="277">
        <f t="shared" si="40"/>
        <v>110</v>
      </c>
      <c r="H291" s="277">
        <f t="shared" si="36"/>
        <v>715</v>
      </c>
      <c r="I291" s="305">
        <v>720</v>
      </c>
      <c r="J291" s="306">
        <f t="shared" si="41"/>
        <v>4680</v>
      </c>
      <c r="K291" s="306">
        <f t="shared" si="38"/>
        <v>360</v>
      </c>
      <c r="L291" s="306">
        <f t="shared" si="42"/>
        <v>2340</v>
      </c>
      <c r="M291" s="254"/>
    </row>
    <row r="292" spans="1:13" ht="22.5" customHeight="1">
      <c r="A292" s="274">
        <v>269</v>
      </c>
      <c r="B292" s="274" t="s">
        <v>723</v>
      </c>
      <c r="C292" s="274" t="s">
        <v>724</v>
      </c>
      <c r="D292" s="274" t="s">
        <v>113</v>
      </c>
      <c r="E292" s="275">
        <v>6.8</v>
      </c>
      <c r="F292" s="276">
        <v>22</v>
      </c>
      <c r="G292" s="277">
        <f t="shared" si="40"/>
        <v>110</v>
      </c>
      <c r="H292" s="277">
        <f t="shared" si="36"/>
        <v>748</v>
      </c>
      <c r="I292" s="305">
        <v>720</v>
      </c>
      <c r="J292" s="306">
        <f t="shared" si="41"/>
        <v>4896</v>
      </c>
      <c r="K292" s="306">
        <f t="shared" si="38"/>
        <v>360</v>
      </c>
      <c r="L292" s="306">
        <f t="shared" si="42"/>
        <v>2448</v>
      </c>
      <c r="M292" s="254"/>
    </row>
    <row r="293" spans="1:13" ht="22.5" customHeight="1">
      <c r="A293" s="274">
        <v>270</v>
      </c>
      <c r="B293" s="274" t="s">
        <v>725</v>
      </c>
      <c r="C293" s="274" t="s">
        <v>726</v>
      </c>
      <c r="D293" s="274" t="s">
        <v>113</v>
      </c>
      <c r="E293" s="275">
        <v>5</v>
      </c>
      <c r="F293" s="276">
        <v>22</v>
      </c>
      <c r="G293" s="277">
        <f t="shared" si="40"/>
        <v>110</v>
      </c>
      <c r="H293" s="277">
        <f t="shared" si="36"/>
        <v>550</v>
      </c>
      <c r="I293" s="305">
        <v>720</v>
      </c>
      <c r="J293" s="306">
        <f t="shared" si="41"/>
        <v>3600</v>
      </c>
      <c r="K293" s="306">
        <f t="shared" si="38"/>
        <v>360</v>
      </c>
      <c r="L293" s="306">
        <f t="shared" si="42"/>
        <v>1800</v>
      </c>
      <c r="M293" s="254"/>
    </row>
    <row r="294" spans="1:13" ht="22.5" customHeight="1">
      <c r="A294" s="274">
        <v>271</v>
      </c>
      <c r="B294" s="308" t="s">
        <v>727</v>
      </c>
      <c r="C294" s="309" t="s">
        <v>728</v>
      </c>
      <c r="D294" s="309" t="s">
        <v>113</v>
      </c>
      <c r="E294" s="310">
        <v>5</v>
      </c>
      <c r="F294" s="276">
        <v>22</v>
      </c>
      <c r="G294" s="277">
        <f t="shared" si="40"/>
        <v>110</v>
      </c>
      <c r="H294" s="277">
        <f t="shared" si="36"/>
        <v>550</v>
      </c>
      <c r="I294" s="305">
        <v>720</v>
      </c>
      <c r="J294" s="306">
        <f t="shared" si="41"/>
        <v>3600</v>
      </c>
      <c r="K294" s="306">
        <f t="shared" si="38"/>
        <v>360</v>
      </c>
      <c r="L294" s="306">
        <f t="shared" si="42"/>
        <v>1800</v>
      </c>
      <c r="M294" s="254"/>
    </row>
    <row r="295" spans="1:13" ht="22.5" customHeight="1">
      <c r="A295" s="274">
        <v>272</v>
      </c>
      <c r="B295" s="274" t="s">
        <v>729</v>
      </c>
      <c r="C295" s="274" t="s">
        <v>730</v>
      </c>
      <c r="D295" s="274" t="s">
        <v>113</v>
      </c>
      <c r="E295" s="275">
        <v>5</v>
      </c>
      <c r="F295" s="276">
        <v>22</v>
      </c>
      <c r="G295" s="277">
        <f t="shared" si="40"/>
        <v>110</v>
      </c>
      <c r="H295" s="277">
        <f t="shared" si="36"/>
        <v>550</v>
      </c>
      <c r="I295" s="305">
        <v>720</v>
      </c>
      <c r="J295" s="306">
        <f t="shared" si="41"/>
        <v>3600</v>
      </c>
      <c r="K295" s="306">
        <f t="shared" si="38"/>
        <v>360</v>
      </c>
      <c r="L295" s="306">
        <f t="shared" si="42"/>
        <v>1800</v>
      </c>
      <c r="M295" s="254"/>
    </row>
    <row r="296" spans="1:13" ht="22.5" customHeight="1">
      <c r="A296" s="274">
        <v>273</v>
      </c>
      <c r="B296" s="274" t="s">
        <v>731</v>
      </c>
      <c r="C296" s="274" t="s">
        <v>732</v>
      </c>
      <c r="D296" s="274" t="s">
        <v>113</v>
      </c>
      <c r="E296" s="275">
        <v>6.4</v>
      </c>
      <c r="F296" s="276">
        <v>22</v>
      </c>
      <c r="G296" s="277">
        <f t="shared" si="40"/>
        <v>110</v>
      </c>
      <c r="H296" s="277">
        <f t="shared" si="36"/>
        <v>704</v>
      </c>
      <c r="I296" s="305">
        <v>720</v>
      </c>
      <c r="J296" s="306">
        <f t="shared" si="41"/>
        <v>4608</v>
      </c>
      <c r="K296" s="306">
        <f t="shared" si="38"/>
        <v>360</v>
      </c>
      <c r="L296" s="306">
        <f t="shared" si="42"/>
        <v>2304</v>
      </c>
      <c r="M296" s="254"/>
    </row>
    <row r="297" spans="1:13" ht="22.5" customHeight="1">
      <c r="A297" s="274">
        <v>274</v>
      </c>
      <c r="B297" s="274" t="s">
        <v>733</v>
      </c>
      <c r="C297" s="274" t="s">
        <v>734</v>
      </c>
      <c r="D297" s="274" t="s">
        <v>113</v>
      </c>
      <c r="E297" s="275">
        <v>5</v>
      </c>
      <c r="F297" s="276">
        <v>22</v>
      </c>
      <c r="G297" s="277">
        <f t="shared" si="40"/>
        <v>110</v>
      </c>
      <c r="H297" s="277">
        <f t="shared" si="36"/>
        <v>550</v>
      </c>
      <c r="I297" s="305">
        <v>720</v>
      </c>
      <c r="J297" s="306">
        <f t="shared" si="41"/>
        <v>3600</v>
      </c>
      <c r="K297" s="306">
        <f t="shared" si="38"/>
        <v>360</v>
      </c>
      <c r="L297" s="306">
        <f t="shared" si="42"/>
        <v>1800</v>
      </c>
      <c r="M297" s="254"/>
    </row>
    <row r="298" spans="1:13" ht="22.5" customHeight="1">
      <c r="A298" s="274">
        <v>275</v>
      </c>
      <c r="B298" s="274" t="s">
        <v>735</v>
      </c>
      <c r="C298" s="274" t="s">
        <v>736</v>
      </c>
      <c r="D298" s="274" t="s">
        <v>117</v>
      </c>
      <c r="E298" s="275">
        <v>6.4</v>
      </c>
      <c r="F298" s="276">
        <v>28</v>
      </c>
      <c r="G298" s="277">
        <f t="shared" si="40"/>
        <v>140</v>
      </c>
      <c r="H298" s="277">
        <f t="shared" si="36"/>
        <v>896</v>
      </c>
      <c r="I298" s="305">
        <v>800</v>
      </c>
      <c r="J298" s="306">
        <f t="shared" si="41"/>
        <v>5120</v>
      </c>
      <c r="K298" s="306">
        <f t="shared" si="38"/>
        <v>400</v>
      </c>
      <c r="L298" s="306">
        <f t="shared" si="42"/>
        <v>2560</v>
      </c>
      <c r="M298" s="254"/>
    </row>
    <row r="299" spans="1:13" ht="22.5" customHeight="1">
      <c r="A299" s="274">
        <v>276</v>
      </c>
      <c r="B299" s="274" t="s">
        <v>737</v>
      </c>
      <c r="C299" s="274" t="s">
        <v>738</v>
      </c>
      <c r="D299" s="274" t="s">
        <v>117</v>
      </c>
      <c r="E299" s="275">
        <v>5.5</v>
      </c>
      <c r="F299" s="276">
        <v>28</v>
      </c>
      <c r="G299" s="277">
        <f t="shared" si="40"/>
        <v>140</v>
      </c>
      <c r="H299" s="277">
        <f t="shared" si="36"/>
        <v>770</v>
      </c>
      <c r="I299" s="305">
        <v>800</v>
      </c>
      <c r="J299" s="306">
        <f t="shared" si="41"/>
        <v>4400</v>
      </c>
      <c r="K299" s="306">
        <f t="shared" si="38"/>
        <v>400</v>
      </c>
      <c r="L299" s="306">
        <f t="shared" si="42"/>
        <v>2200</v>
      </c>
      <c r="M299" s="254"/>
    </row>
    <row r="300" spans="1:13" ht="22.5" customHeight="1">
      <c r="A300" s="274">
        <v>277</v>
      </c>
      <c r="B300" s="274" t="s">
        <v>739</v>
      </c>
      <c r="C300" s="274" t="s">
        <v>740</v>
      </c>
      <c r="D300" s="274" t="s">
        <v>115</v>
      </c>
      <c r="E300" s="275">
        <v>5</v>
      </c>
      <c r="F300" s="276">
        <v>22</v>
      </c>
      <c r="G300" s="277">
        <f t="shared" si="40"/>
        <v>110</v>
      </c>
      <c r="H300" s="277">
        <f t="shared" si="36"/>
        <v>550</v>
      </c>
      <c r="I300" s="305">
        <v>800</v>
      </c>
      <c r="J300" s="306">
        <f t="shared" si="41"/>
        <v>4000</v>
      </c>
      <c r="K300" s="306">
        <f t="shared" si="38"/>
        <v>400</v>
      </c>
      <c r="L300" s="306">
        <f t="shared" si="42"/>
        <v>2000</v>
      </c>
      <c r="M300" s="254"/>
    </row>
    <row r="301" spans="1:13" ht="22.5" customHeight="1">
      <c r="A301" s="274">
        <v>278</v>
      </c>
      <c r="B301" s="274" t="s">
        <v>741</v>
      </c>
      <c r="C301" s="274" t="s">
        <v>742</v>
      </c>
      <c r="D301" s="274" t="s">
        <v>117</v>
      </c>
      <c r="E301" s="275">
        <v>5.6</v>
      </c>
      <c r="F301" s="276">
        <v>28</v>
      </c>
      <c r="G301" s="277">
        <f t="shared" si="40"/>
        <v>140</v>
      </c>
      <c r="H301" s="277">
        <f t="shared" si="36"/>
        <v>784</v>
      </c>
      <c r="I301" s="305">
        <v>800</v>
      </c>
      <c r="J301" s="306">
        <f t="shared" si="41"/>
        <v>4480</v>
      </c>
      <c r="K301" s="306">
        <f t="shared" si="38"/>
        <v>400</v>
      </c>
      <c r="L301" s="306">
        <f t="shared" si="42"/>
        <v>2240</v>
      </c>
      <c r="M301" s="254"/>
    </row>
    <row r="302" spans="1:13" ht="22.5" customHeight="1">
      <c r="A302" s="274">
        <v>279</v>
      </c>
      <c r="B302" s="274" t="s">
        <v>743</v>
      </c>
      <c r="C302" s="274" t="s">
        <v>744</v>
      </c>
      <c r="D302" s="274" t="s">
        <v>117</v>
      </c>
      <c r="E302" s="275">
        <v>6.4</v>
      </c>
      <c r="F302" s="276">
        <v>28</v>
      </c>
      <c r="G302" s="277">
        <f t="shared" si="40"/>
        <v>140</v>
      </c>
      <c r="H302" s="277">
        <f t="shared" si="36"/>
        <v>896</v>
      </c>
      <c r="I302" s="305">
        <v>800</v>
      </c>
      <c r="J302" s="306">
        <f t="shared" si="41"/>
        <v>5120</v>
      </c>
      <c r="K302" s="306">
        <f t="shared" si="38"/>
        <v>400</v>
      </c>
      <c r="L302" s="306">
        <f t="shared" si="42"/>
        <v>2560</v>
      </c>
      <c r="M302" s="254"/>
    </row>
    <row r="303" spans="1:13" ht="22.5" customHeight="1">
      <c r="A303" s="274">
        <v>280</v>
      </c>
      <c r="B303" s="274" t="s">
        <v>745</v>
      </c>
      <c r="C303" s="274" t="s">
        <v>746</v>
      </c>
      <c r="D303" s="274" t="s">
        <v>117</v>
      </c>
      <c r="E303" s="275">
        <v>6.1</v>
      </c>
      <c r="F303" s="276">
        <v>28</v>
      </c>
      <c r="G303" s="277">
        <f t="shared" si="40"/>
        <v>140</v>
      </c>
      <c r="H303" s="277">
        <f t="shared" si="36"/>
        <v>854</v>
      </c>
      <c r="I303" s="305">
        <v>800</v>
      </c>
      <c r="J303" s="306">
        <f t="shared" si="41"/>
        <v>4880</v>
      </c>
      <c r="K303" s="306">
        <f t="shared" si="38"/>
        <v>400</v>
      </c>
      <c r="L303" s="306">
        <f t="shared" si="42"/>
        <v>2440</v>
      </c>
      <c r="M303" s="254"/>
    </row>
    <row r="304" spans="1:13" ht="22.5" customHeight="1">
      <c r="A304" s="274">
        <v>281</v>
      </c>
      <c r="B304" s="274" t="s">
        <v>747</v>
      </c>
      <c r="C304" s="274" t="s">
        <v>748</v>
      </c>
      <c r="D304" s="274" t="s">
        <v>112</v>
      </c>
      <c r="E304" s="275">
        <v>5</v>
      </c>
      <c r="F304" s="276">
        <v>22</v>
      </c>
      <c r="G304" s="277">
        <f t="shared" si="40"/>
        <v>110</v>
      </c>
      <c r="H304" s="277">
        <f t="shared" si="36"/>
        <v>550</v>
      </c>
      <c r="I304" s="305">
        <v>720</v>
      </c>
      <c r="J304" s="306">
        <f t="shared" si="41"/>
        <v>3600</v>
      </c>
      <c r="K304" s="306">
        <f t="shared" si="38"/>
        <v>360</v>
      </c>
      <c r="L304" s="306">
        <f t="shared" si="42"/>
        <v>1800</v>
      </c>
      <c r="M304" s="254"/>
    </row>
    <row r="305" spans="1:13" ht="22.5" customHeight="1">
      <c r="A305" s="274">
        <v>282</v>
      </c>
      <c r="B305" s="274" t="s">
        <v>749</v>
      </c>
      <c r="C305" s="274" t="s">
        <v>750</v>
      </c>
      <c r="D305" s="274" t="s">
        <v>114</v>
      </c>
      <c r="E305" s="275">
        <v>7</v>
      </c>
      <c r="F305" s="276">
        <v>22</v>
      </c>
      <c r="G305" s="277">
        <f t="shared" si="40"/>
        <v>110</v>
      </c>
      <c r="H305" s="277">
        <f t="shared" si="36"/>
        <v>770</v>
      </c>
      <c r="I305" s="305">
        <v>720</v>
      </c>
      <c r="J305" s="306">
        <f t="shared" si="41"/>
        <v>5040</v>
      </c>
      <c r="K305" s="306">
        <f t="shared" si="38"/>
        <v>360</v>
      </c>
      <c r="L305" s="306">
        <f t="shared" si="42"/>
        <v>2520</v>
      </c>
      <c r="M305" s="254"/>
    </row>
    <row r="306" spans="1:13" ht="22.5" customHeight="1">
      <c r="A306" s="274">
        <v>283</v>
      </c>
      <c r="B306" s="274" t="s">
        <v>751</v>
      </c>
      <c r="C306" s="274" t="s">
        <v>752</v>
      </c>
      <c r="D306" s="274" t="s">
        <v>113</v>
      </c>
      <c r="E306" s="275">
        <v>5</v>
      </c>
      <c r="F306" s="276">
        <v>22</v>
      </c>
      <c r="G306" s="277">
        <f t="shared" si="40"/>
        <v>110</v>
      </c>
      <c r="H306" s="277">
        <f t="shared" si="36"/>
        <v>550</v>
      </c>
      <c r="I306" s="305">
        <v>720</v>
      </c>
      <c r="J306" s="306">
        <f t="shared" si="41"/>
        <v>3600</v>
      </c>
      <c r="K306" s="306">
        <f t="shared" si="38"/>
        <v>360</v>
      </c>
      <c r="L306" s="306">
        <f t="shared" si="42"/>
        <v>1800</v>
      </c>
      <c r="M306" s="254"/>
    </row>
    <row r="307" spans="1:13" ht="22.5" customHeight="1">
      <c r="A307" s="274">
        <v>284</v>
      </c>
      <c r="B307" s="274" t="s">
        <v>753</v>
      </c>
      <c r="C307" s="274" t="s">
        <v>754</v>
      </c>
      <c r="D307" s="274" t="s">
        <v>112</v>
      </c>
      <c r="E307" s="275">
        <v>5</v>
      </c>
      <c r="F307" s="276">
        <v>22</v>
      </c>
      <c r="G307" s="277">
        <f t="shared" si="40"/>
        <v>110</v>
      </c>
      <c r="H307" s="277">
        <f t="shared" si="36"/>
        <v>550</v>
      </c>
      <c r="I307" s="305">
        <v>720</v>
      </c>
      <c r="J307" s="306">
        <f t="shared" si="41"/>
        <v>3600</v>
      </c>
      <c r="K307" s="306">
        <f t="shared" si="38"/>
        <v>360</v>
      </c>
      <c r="L307" s="306">
        <f t="shared" si="42"/>
        <v>1800</v>
      </c>
      <c r="M307" s="254"/>
    </row>
    <row r="308" spans="1:13" ht="22.5" customHeight="1">
      <c r="A308" s="274">
        <v>285</v>
      </c>
      <c r="B308" s="274" t="s">
        <v>755</v>
      </c>
      <c r="C308" s="274" t="s">
        <v>756</v>
      </c>
      <c r="D308" s="274" t="s">
        <v>113</v>
      </c>
      <c r="E308" s="275">
        <v>5</v>
      </c>
      <c r="F308" s="276">
        <v>22</v>
      </c>
      <c r="G308" s="277">
        <f t="shared" si="40"/>
        <v>110</v>
      </c>
      <c r="H308" s="277">
        <f t="shared" si="36"/>
        <v>550</v>
      </c>
      <c r="I308" s="305">
        <v>720</v>
      </c>
      <c r="J308" s="306">
        <f t="shared" si="41"/>
        <v>3600</v>
      </c>
      <c r="K308" s="306">
        <f t="shared" si="38"/>
        <v>360</v>
      </c>
      <c r="L308" s="306">
        <f t="shared" si="42"/>
        <v>1800</v>
      </c>
      <c r="M308" s="254"/>
    </row>
    <row r="309" spans="1:13" ht="22.5" customHeight="1">
      <c r="A309" s="274">
        <v>286</v>
      </c>
      <c r="B309" s="274" t="s">
        <v>757</v>
      </c>
      <c r="C309" s="274" t="s">
        <v>758</v>
      </c>
      <c r="D309" s="274" t="s">
        <v>113</v>
      </c>
      <c r="E309" s="275">
        <v>5</v>
      </c>
      <c r="F309" s="276">
        <v>22</v>
      </c>
      <c r="G309" s="277">
        <f t="shared" si="40"/>
        <v>110</v>
      </c>
      <c r="H309" s="277">
        <f t="shared" si="36"/>
        <v>550</v>
      </c>
      <c r="I309" s="305">
        <v>720</v>
      </c>
      <c r="J309" s="306">
        <f t="shared" si="41"/>
        <v>3600</v>
      </c>
      <c r="K309" s="306">
        <f t="shared" si="38"/>
        <v>360</v>
      </c>
      <c r="L309" s="306">
        <f t="shared" si="42"/>
        <v>1800</v>
      </c>
      <c r="M309" s="254"/>
    </row>
    <row r="310" spans="1:13" ht="22.5" customHeight="1">
      <c r="A310" s="274">
        <v>287</v>
      </c>
      <c r="B310" s="274" t="s">
        <v>759</v>
      </c>
      <c r="C310" s="274" t="s">
        <v>760</v>
      </c>
      <c r="D310" s="274" t="s">
        <v>113</v>
      </c>
      <c r="E310" s="275">
        <v>5.2</v>
      </c>
      <c r="F310" s="276">
        <v>22</v>
      </c>
      <c r="G310" s="277">
        <f t="shared" si="40"/>
        <v>110</v>
      </c>
      <c r="H310" s="277">
        <f t="shared" si="36"/>
        <v>572</v>
      </c>
      <c r="I310" s="305">
        <v>720</v>
      </c>
      <c r="J310" s="306">
        <f t="shared" si="41"/>
        <v>3744</v>
      </c>
      <c r="K310" s="306">
        <f t="shared" si="38"/>
        <v>360</v>
      </c>
      <c r="L310" s="306">
        <f t="shared" si="42"/>
        <v>1872</v>
      </c>
      <c r="M310" s="254"/>
    </row>
    <row r="311" spans="1:13" ht="22.5" customHeight="1">
      <c r="A311" s="274">
        <v>288</v>
      </c>
      <c r="B311" s="274" t="s">
        <v>761</v>
      </c>
      <c r="C311" s="274" t="s">
        <v>762</v>
      </c>
      <c r="D311" s="274" t="s">
        <v>112</v>
      </c>
      <c r="E311" s="275">
        <v>5</v>
      </c>
      <c r="F311" s="276">
        <v>22</v>
      </c>
      <c r="G311" s="277">
        <f t="shared" si="40"/>
        <v>110</v>
      </c>
      <c r="H311" s="277">
        <f t="shared" si="36"/>
        <v>550</v>
      </c>
      <c r="I311" s="305">
        <v>720</v>
      </c>
      <c r="J311" s="306">
        <f t="shared" si="41"/>
        <v>3600</v>
      </c>
      <c r="K311" s="306">
        <f t="shared" si="38"/>
        <v>360</v>
      </c>
      <c r="L311" s="306">
        <f t="shared" si="42"/>
        <v>1800</v>
      </c>
      <c r="M311" s="254"/>
    </row>
    <row r="312" spans="1:13" ht="22.5" customHeight="1">
      <c r="A312" s="274">
        <v>289</v>
      </c>
      <c r="B312" s="274" t="s">
        <v>763</v>
      </c>
      <c r="C312" s="274" t="s">
        <v>764</v>
      </c>
      <c r="D312" s="274" t="s">
        <v>113</v>
      </c>
      <c r="E312" s="275">
        <v>6.5</v>
      </c>
      <c r="F312" s="276">
        <v>22</v>
      </c>
      <c r="G312" s="277">
        <f t="shared" si="40"/>
        <v>110</v>
      </c>
      <c r="H312" s="277">
        <f t="shared" si="36"/>
        <v>715</v>
      </c>
      <c r="I312" s="305">
        <v>720</v>
      </c>
      <c r="J312" s="306">
        <f t="shared" si="41"/>
        <v>4680</v>
      </c>
      <c r="K312" s="306">
        <f t="shared" si="38"/>
        <v>360</v>
      </c>
      <c r="L312" s="306">
        <f t="shared" si="42"/>
        <v>2340</v>
      </c>
      <c r="M312" s="254"/>
    </row>
    <row r="313" spans="1:13" ht="22.5" customHeight="1">
      <c r="A313" s="274">
        <v>290</v>
      </c>
      <c r="B313" s="274" t="s">
        <v>765</v>
      </c>
      <c r="C313" s="274" t="s">
        <v>766</v>
      </c>
      <c r="D313" s="274" t="s">
        <v>113</v>
      </c>
      <c r="E313" s="275">
        <v>5</v>
      </c>
      <c r="F313" s="276">
        <v>22</v>
      </c>
      <c r="G313" s="277">
        <f t="shared" si="40"/>
        <v>110</v>
      </c>
      <c r="H313" s="277">
        <f t="shared" si="36"/>
        <v>550</v>
      </c>
      <c r="I313" s="305">
        <v>720</v>
      </c>
      <c r="J313" s="306">
        <f t="shared" si="41"/>
        <v>3600</v>
      </c>
      <c r="K313" s="306">
        <f t="shared" si="38"/>
        <v>360</v>
      </c>
      <c r="L313" s="306">
        <f t="shared" si="42"/>
        <v>1800</v>
      </c>
      <c r="M313" s="254"/>
    </row>
    <row r="314" spans="1:13" ht="22.5" customHeight="1">
      <c r="A314" s="274">
        <v>291</v>
      </c>
      <c r="B314" s="274" t="s">
        <v>767</v>
      </c>
      <c r="C314" s="274" t="s">
        <v>768</v>
      </c>
      <c r="D314" s="274" t="s">
        <v>119</v>
      </c>
      <c r="E314" s="275">
        <v>5</v>
      </c>
      <c r="F314" s="276">
        <v>22</v>
      </c>
      <c r="G314" s="277">
        <f t="shared" si="40"/>
        <v>110</v>
      </c>
      <c r="H314" s="277">
        <f t="shared" si="36"/>
        <v>550</v>
      </c>
      <c r="I314" s="305">
        <v>720</v>
      </c>
      <c r="J314" s="306">
        <f t="shared" si="41"/>
        <v>3600</v>
      </c>
      <c r="K314" s="306">
        <f t="shared" si="38"/>
        <v>360</v>
      </c>
      <c r="L314" s="306">
        <f t="shared" si="42"/>
        <v>1800</v>
      </c>
      <c r="M314" s="254"/>
    </row>
    <row r="315" spans="1:13" ht="22.5" customHeight="1">
      <c r="A315" s="274">
        <v>292</v>
      </c>
      <c r="B315" s="274" t="s">
        <v>769</v>
      </c>
      <c r="C315" s="274" t="s">
        <v>770</v>
      </c>
      <c r="D315" s="274" t="s">
        <v>113</v>
      </c>
      <c r="E315" s="275">
        <v>5</v>
      </c>
      <c r="F315" s="276">
        <v>22</v>
      </c>
      <c r="G315" s="277">
        <f t="shared" si="40"/>
        <v>110</v>
      </c>
      <c r="H315" s="277">
        <f t="shared" si="36"/>
        <v>550</v>
      </c>
      <c r="I315" s="305">
        <v>720</v>
      </c>
      <c r="J315" s="306">
        <f t="shared" si="41"/>
        <v>3600</v>
      </c>
      <c r="K315" s="306">
        <f t="shared" si="38"/>
        <v>360</v>
      </c>
      <c r="L315" s="306">
        <f t="shared" si="42"/>
        <v>1800</v>
      </c>
      <c r="M315" s="254"/>
    </row>
    <row r="316" spans="1:13" ht="22.5" customHeight="1">
      <c r="A316" s="274">
        <v>293</v>
      </c>
      <c r="B316" s="274" t="s">
        <v>771</v>
      </c>
      <c r="C316" s="274" t="s">
        <v>772</v>
      </c>
      <c r="D316" s="274" t="s">
        <v>112</v>
      </c>
      <c r="E316" s="275">
        <v>5.8</v>
      </c>
      <c r="F316" s="276">
        <v>22</v>
      </c>
      <c r="G316" s="277">
        <f t="shared" si="40"/>
        <v>110</v>
      </c>
      <c r="H316" s="277">
        <f t="shared" si="36"/>
        <v>638</v>
      </c>
      <c r="I316" s="305">
        <v>720</v>
      </c>
      <c r="J316" s="306">
        <f t="shared" si="41"/>
        <v>4176</v>
      </c>
      <c r="K316" s="306">
        <f t="shared" si="38"/>
        <v>360</v>
      </c>
      <c r="L316" s="306">
        <f t="shared" si="42"/>
        <v>2088</v>
      </c>
      <c r="M316" s="254"/>
    </row>
    <row r="317" spans="1:13" ht="22.5" customHeight="1">
      <c r="A317" s="274">
        <v>294</v>
      </c>
      <c r="B317" s="274" t="s">
        <v>773</v>
      </c>
      <c r="C317" s="274" t="s">
        <v>774</v>
      </c>
      <c r="D317" s="274" t="s">
        <v>112</v>
      </c>
      <c r="E317" s="275">
        <v>5</v>
      </c>
      <c r="F317" s="276">
        <v>22</v>
      </c>
      <c r="G317" s="277">
        <f t="shared" si="40"/>
        <v>110</v>
      </c>
      <c r="H317" s="277">
        <f t="shared" si="36"/>
        <v>550</v>
      </c>
      <c r="I317" s="305">
        <v>720</v>
      </c>
      <c r="J317" s="306">
        <f t="shared" si="41"/>
        <v>3600</v>
      </c>
      <c r="K317" s="306">
        <f t="shared" si="38"/>
        <v>360</v>
      </c>
      <c r="L317" s="306">
        <f t="shared" si="42"/>
        <v>1800</v>
      </c>
      <c r="M317" s="254"/>
    </row>
    <row r="318" spans="1:13" ht="22.5" customHeight="1">
      <c r="A318" s="274">
        <v>295</v>
      </c>
      <c r="B318" s="274" t="s">
        <v>775</v>
      </c>
      <c r="C318" s="274" t="s">
        <v>776</v>
      </c>
      <c r="D318" s="274" t="s">
        <v>113</v>
      </c>
      <c r="E318" s="275">
        <v>5</v>
      </c>
      <c r="F318" s="276">
        <v>22</v>
      </c>
      <c r="G318" s="277">
        <f t="shared" si="40"/>
        <v>110</v>
      </c>
      <c r="H318" s="277">
        <f t="shared" si="36"/>
        <v>550</v>
      </c>
      <c r="I318" s="305">
        <v>720</v>
      </c>
      <c r="J318" s="306">
        <f t="shared" si="41"/>
        <v>3600</v>
      </c>
      <c r="K318" s="306">
        <f t="shared" si="38"/>
        <v>360</v>
      </c>
      <c r="L318" s="306">
        <f t="shared" si="42"/>
        <v>1800</v>
      </c>
      <c r="M318" s="254"/>
    </row>
    <row r="319" spans="1:13" ht="22.5" customHeight="1">
      <c r="A319" s="274">
        <v>296</v>
      </c>
      <c r="B319" s="274" t="s">
        <v>777</v>
      </c>
      <c r="C319" s="274" t="s">
        <v>778</v>
      </c>
      <c r="D319" s="274" t="s">
        <v>112</v>
      </c>
      <c r="E319" s="275">
        <v>5.3</v>
      </c>
      <c r="F319" s="276">
        <v>22</v>
      </c>
      <c r="G319" s="277">
        <f t="shared" si="40"/>
        <v>110</v>
      </c>
      <c r="H319" s="277">
        <f t="shared" si="36"/>
        <v>583</v>
      </c>
      <c r="I319" s="305">
        <v>720</v>
      </c>
      <c r="J319" s="306">
        <f t="shared" si="41"/>
        <v>3816</v>
      </c>
      <c r="K319" s="306">
        <f t="shared" si="38"/>
        <v>360</v>
      </c>
      <c r="L319" s="306">
        <f t="shared" si="42"/>
        <v>1908</v>
      </c>
      <c r="M319" s="254"/>
    </row>
    <row r="320" spans="1:13" ht="22.5" customHeight="1">
      <c r="A320" s="274">
        <v>297</v>
      </c>
      <c r="B320" s="274" t="s">
        <v>779</v>
      </c>
      <c r="C320" s="274" t="s">
        <v>780</v>
      </c>
      <c r="D320" s="274" t="s">
        <v>113</v>
      </c>
      <c r="E320" s="275">
        <v>4.9000000000000004</v>
      </c>
      <c r="F320" s="276">
        <v>22</v>
      </c>
      <c r="G320" s="277">
        <f t="shared" si="40"/>
        <v>110</v>
      </c>
      <c r="H320" s="277">
        <f t="shared" si="36"/>
        <v>539</v>
      </c>
      <c r="I320" s="305">
        <v>720</v>
      </c>
      <c r="J320" s="306">
        <f t="shared" si="41"/>
        <v>3528.0000000000005</v>
      </c>
      <c r="K320" s="306">
        <f t="shared" si="38"/>
        <v>360</v>
      </c>
      <c r="L320" s="306">
        <f t="shared" si="42"/>
        <v>1764.0000000000002</v>
      </c>
      <c r="M320" s="254"/>
    </row>
    <row r="321" spans="1:13" ht="22.5" customHeight="1">
      <c r="A321" s="936" t="s">
        <v>318</v>
      </c>
      <c r="B321" s="931"/>
      <c r="C321" s="932"/>
      <c r="D321" s="311">
        <f>COUNTA(D195:D320)</f>
        <v>126</v>
      </c>
      <c r="E321" s="312">
        <f>SUM(E195:E320)</f>
        <v>688.29999999999984</v>
      </c>
      <c r="F321" s="313"/>
      <c r="G321" s="314"/>
      <c r="H321" s="315">
        <f>SUM(H194:H320)</f>
        <v>76800.27</v>
      </c>
      <c r="I321" s="313"/>
      <c r="J321" s="313"/>
      <c r="K321" s="313"/>
      <c r="L321" s="313"/>
      <c r="M321" s="313"/>
    </row>
    <row r="322" spans="1:13" ht="16.8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</row>
    <row r="323" spans="1:13" ht="16.8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</row>
    <row r="324" spans="1:13" ht="13.2">
      <c r="A324" s="930" t="s">
        <v>34</v>
      </c>
      <c r="B324" s="931"/>
      <c r="C324" s="931"/>
      <c r="D324" s="931"/>
      <c r="E324" s="931"/>
      <c r="F324" s="931"/>
      <c r="G324" s="931"/>
      <c r="H324" s="931"/>
      <c r="I324" s="931"/>
      <c r="J324" s="931"/>
      <c r="K324" s="931"/>
      <c r="L324" s="931"/>
      <c r="M324" s="932"/>
    </row>
    <row r="325" spans="1:13" ht="22.5" customHeight="1">
      <c r="A325" s="253" t="s">
        <v>165</v>
      </c>
      <c r="B325" s="253" t="s">
        <v>166</v>
      </c>
      <c r="C325" s="253" t="s">
        <v>167</v>
      </c>
      <c r="D325" s="255" t="s">
        <v>168</v>
      </c>
      <c r="E325" s="255" t="s">
        <v>169</v>
      </c>
      <c r="F325" s="311" t="s">
        <v>781</v>
      </c>
      <c r="G325" s="316" t="s">
        <v>782</v>
      </c>
      <c r="H325" s="255" t="s">
        <v>172</v>
      </c>
      <c r="I325" s="317" t="s">
        <v>783</v>
      </c>
      <c r="J325" s="317" t="s">
        <v>784</v>
      </c>
      <c r="K325" s="253" t="s">
        <v>785</v>
      </c>
      <c r="L325" s="253" t="s">
        <v>786</v>
      </c>
      <c r="M325" s="318" t="s">
        <v>177</v>
      </c>
    </row>
    <row r="326" spans="1:13" ht="22.5" customHeight="1">
      <c r="A326" s="254">
        <v>298</v>
      </c>
      <c r="B326" s="254" t="s">
        <v>787</v>
      </c>
      <c r="C326" s="319" t="s">
        <v>788</v>
      </c>
      <c r="D326" s="258" t="s">
        <v>112</v>
      </c>
      <c r="E326" s="288">
        <v>5</v>
      </c>
      <c r="F326" s="289">
        <v>23</v>
      </c>
      <c r="G326" s="320">
        <f t="shared" ref="G326:G328" si="43">F326*5</f>
        <v>115</v>
      </c>
      <c r="H326" s="320">
        <f t="shared" ref="H326:H328" si="44">E326*G326</f>
        <v>575</v>
      </c>
      <c r="I326" s="320">
        <v>720</v>
      </c>
      <c r="J326" s="320">
        <f t="shared" ref="J326:J328" si="45">I326*E326</f>
        <v>3600</v>
      </c>
      <c r="K326" s="320">
        <f t="shared" ref="K326:K328" si="46">I326/2</f>
        <v>360</v>
      </c>
      <c r="L326" s="320">
        <f t="shared" ref="L326:L328" si="47">K326*E326</f>
        <v>1800</v>
      </c>
      <c r="M326" s="254"/>
    </row>
    <row r="327" spans="1:13" ht="22.5" customHeight="1">
      <c r="A327" s="254">
        <v>299</v>
      </c>
      <c r="B327" s="254" t="s">
        <v>789</v>
      </c>
      <c r="C327" s="319" t="s">
        <v>790</v>
      </c>
      <c r="D327" s="258" t="s">
        <v>112</v>
      </c>
      <c r="E327" s="288">
        <v>5</v>
      </c>
      <c r="F327" s="289">
        <v>23</v>
      </c>
      <c r="G327" s="320">
        <f t="shared" si="43"/>
        <v>115</v>
      </c>
      <c r="H327" s="320">
        <f t="shared" si="44"/>
        <v>575</v>
      </c>
      <c r="I327" s="320">
        <v>720</v>
      </c>
      <c r="J327" s="320">
        <f t="shared" si="45"/>
        <v>3600</v>
      </c>
      <c r="K327" s="320">
        <f t="shared" si="46"/>
        <v>360</v>
      </c>
      <c r="L327" s="320">
        <f t="shared" si="47"/>
        <v>1800</v>
      </c>
      <c r="M327" s="254"/>
    </row>
    <row r="328" spans="1:13" ht="22.5" customHeight="1">
      <c r="A328" s="254">
        <v>300</v>
      </c>
      <c r="B328" s="254" t="s">
        <v>791</v>
      </c>
      <c r="C328" s="319" t="s">
        <v>792</v>
      </c>
      <c r="D328" s="258" t="s">
        <v>112</v>
      </c>
      <c r="E328" s="288">
        <v>5</v>
      </c>
      <c r="F328" s="289">
        <v>23</v>
      </c>
      <c r="G328" s="320">
        <f t="shared" si="43"/>
        <v>115</v>
      </c>
      <c r="H328" s="320">
        <f t="shared" si="44"/>
        <v>575</v>
      </c>
      <c r="I328" s="320">
        <v>720</v>
      </c>
      <c r="J328" s="320">
        <f t="shared" si="45"/>
        <v>3600</v>
      </c>
      <c r="K328" s="320">
        <f t="shared" si="46"/>
        <v>360</v>
      </c>
      <c r="L328" s="320">
        <f t="shared" si="47"/>
        <v>1800</v>
      </c>
      <c r="M328" s="254"/>
    </row>
    <row r="329" spans="1:13" ht="22.5" customHeight="1">
      <c r="A329" s="254">
        <v>301</v>
      </c>
      <c r="B329" s="254" t="s">
        <v>793</v>
      </c>
      <c r="C329" s="319" t="s">
        <v>794</v>
      </c>
      <c r="D329" s="254" t="s">
        <v>117</v>
      </c>
      <c r="E329" s="288">
        <v>5</v>
      </c>
      <c r="F329" s="289">
        <v>34</v>
      </c>
      <c r="G329" s="320">
        <v>170</v>
      </c>
      <c r="H329" s="320">
        <v>850</v>
      </c>
      <c r="I329" s="320">
        <v>850</v>
      </c>
      <c r="J329" s="320">
        <v>4250</v>
      </c>
      <c r="K329" s="320">
        <v>425</v>
      </c>
      <c r="L329" s="320">
        <v>2125</v>
      </c>
      <c r="M329" s="254"/>
    </row>
    <row r="330" spans="1:13" ht="22.5" customHeight="1">
      <c r="A330" s="254">
        <v>302</v>
      </c>
      <c r="B330" s="254" t="s">
        <v>795</v>
      </c>
      <c r="C330" s="319" t="s">
        <v>796</v>
      </c>
      <c r="D330" s="258" t="s">
        <v>117</v>
      </c>
      <c r="E330" s="288">
        <v>5</v>
      </c>
      <c r="F330" s="289">
        <v>34</v>
      </c>
      <c r="G330" s="320">
        <f t="shared" ref="G330:G340" si="48">F330*5</f>
        <v>170</v>
      </c>
      <c r="H330" s="320">
        <f t="shared" ref="H330:H340" si="49">E330*G330</f>
        <v>850</v>
      </c>
      <c r="I330" s="320">
        <f t="shared" ref="I330:I332" si="50">G330*5</f>
        <v>850</v>
      </c>
      <c r="J330" s="320">
        <f t="shared" ref="J330:J340" si="51">I330*E330</f>
        <v>4250</v>
      </c>
      <c r="K330" s="320">
        <f t="shared" ref="K330:K340" si="52">I330/2</f>
        <v>425</v>
      </c>
      <c r="L330" s="320">
        <f t="shared" ref="L330:L340" si="53">K330*E330</f>
        <v>2125</v>
      </c>
      <c r="M330" s="254"/>
    </row>
    <row r="331" spans="1:13" ht="22.5" customHeight="1">
      <c r="A331" s="254">
        <v>303</v>
      </c>
      <c r="B331" s="254" t="s">
        <v>797</v>
      </c>
      <c r="C331" s="319" t="s">
        <v>798</v>
      </c>
      <c r="D331" s="258" t="s">
        <v>117</v>
      </c>
      <c r="E331" s="288">
        <v>5</v>
      </c>
      <c r="F331" s="289">
        <v>34</v>
      </c>
      <c r="G331" s="320">
        <f t="shared" si="48"/>
        <v>170</v>
      </c>
      <c r="H331" s="320">
        <f t="shared" si="49"/>
        <v>850</v>
      </c>
      <c r="I331" s="320">
        <f t="shared" si="50"/>
        <v>850</v>
      </c>
      <c r="J331" s="320">
        <f t="shared" si="51"/>
        <v>4250</v>
      </c>
      <c r="K331" s="320">
        <f t="shared" si="52"/>
        <v>425</v>
      </c>
      <c r="L331" s="320">
        <f t="shared" si="53"/>
        <v>2125</v>
      </c>
      <c r="M331" s="254"/>
    </row>
    <row r="332" spans="1:13" ht="22.5" customHeight="1">
      <c r="A332" s="254">
        <v>304</v>
      </c>
      <c r="B332" s="254" t="s">
        <v>799</v>
      </c>
      <c r="C332" s="319" t="s">
        <v>800</v>
      </c>
      <c r="D332" s="258" t="s">
        <v>117</v>
      </c>
      <c r="E332" s="288">
        <v>5</v>
      </c>
      <c r="F332" s="289">
        <v>34</v>
      </c>
      <c r="G332" s="320">
        <f t="shared" si="48"/>
        <v>170</v>
      </c>
      <c r="H332" s="320">
        <f t="shared" si="49"/>
        <v>850</v>
      </c>
      <c r="I332" s="320">
        <f t="shared" si="50"/>
        <v>850</v>
      </c>
      <c r="J332" s="320">
        <f t="shared" si="51"/>
        <v>4250</v>
      </c>
      <c r="K332" s="320">
        <f t="shared" si="52"/>
        <v>425</v>
      </c>
      <c r="L332" s="320">
        <f t="shared" si="53"/>
        <v>2125</v>
      </c>
      <c r="M332" s="254"/>
    </row>
    <row r="333" spans="1:13" ht="22.5" customHeight="1">
      <c r="A333" s="254">
        <v>305</v>
      </c>
      <c r="B333" s="254" t="s">
        <v>801</v>
      </c>
      <c r="C333" s="319" t="s">
        <v>802</v>
      </c>
      <c r="D333" s="258" t="s">
        <v>124</v>
      </c>
      <c r="E333" s="288">
        <v>5</v>
      </c>
      <c r="F333" s="289">
        <v>14</v>
      </c>
      <c r="G333" s="320">
        <f t="shared" si="48"/>
        <v>70</v>
      </c>
      <c r="H333" s="320">
        <f t="shared" si="49"/>
        <v>350</v>
      </c>
      <c r="I333" s="320">
        <v>720</v>
      </c>
      <c r="J333" s="320">
        <f t="shared" si="51"/>
        <v>3600</v>
      </c>
      <c r="K333" s="320">
        <f t="shared" si="52"/>
        <v>360</v>
      </c>
      <c r="L333" s="320">
        <f t="shared" si="53"/>
        <v>1800</v>
      </c>
      <c r="M333" s="254"/>
    </row>
    <row r="334" spans="1:13" ht="22.5" customHeight="1">
      <c r="A334" s="254">
        <v>306</v>
      </c>
      <c r="B334" s="254" t="s">
        <v>803</v>
      </c>
      <c r="C334" s="319" t="s">
        <v>804</v>
      </c>
      <c r="D334" s="258" t="s">
        <v>124</v>
      </c>
      <c r="E334" s="288">
        <v>5</v>
      </c>
      <c r="F334" s="289">
        <v>14</v>
      </c>
      <c r="G334" s="320">
        <f t="shared" si="48"/>
        <v>70</v>
      </c>
      <c r="H334" s="320">
        <f t="shared" si="49"/>
        <v>350</v>
      </c>
      <c r="I334" s="320">
        <v>720</v>
      </c>
      <c r="J334" s="320">
        <f t="shared" si="51"/>
        <v>3600</v>
      </c>
      <c r="K334" s="320">
        <f t="shared" si="52"/>
        <v>360</v>
      </c>
      <c r="L334" s="320">
        <f t="shared" si="53"/>
        <v>1800</v>
      </c>
      <c r="M334" s="254"/>
    </row>
    <row r="335" spans="1:13" ht="22.5" customHeight="1">
      <c r="A335" s="254">
        <v>307</v>
      </c>
      <c r="B335" s="254" t="s">
        <v>805</v>
      </c>
      <c r="C335" s="319" t="s">
        <v>806</v>
      </c>
      <c r="D335" s="258" t="s">
        <v>117</v>
      </c>
      <c r="E335" s="288">
        <v>5</v>
      </c>
      <c r="F335" s="289">
        <v>34</v>
      </c>
      <c r="G335" s="320">
        <f t="shared" si="48"/>
        <v>170</v>
      </c>
      <c r="H335" s="320">
        <f t="shared" si="49"/>
        <v>850</v>
      </c>
      <c r="I335" s="320">
        <f>G335*5</f>
        <v>850</v>
      </c>
      <c r="J335" s="320">
        <f t="shared" si="51"/>
        <v>4250</v>
      </c>
      <c r="K335" s="320">
        <f t="shared" si="52"/>
        <v>425</v>
      </c>
      <c r="L335" s="320">
        <f t="shared" si="53"/>
        <v>2125</v>
      </c>
      <c r="M335" s="254"/>
    </row>
    <row r="336" spans="1:13" ht="22.5" customHeight="1">
      <c r="A336" s="254">
        <v>308</v>
      </c>
      <c r="B336" s="254" t="s">
        <v>807</v>
      </c>
      <c r="C336" s="319" t="s">
        <v>808</v>
      </c>
      <c r="D336" s="258" t="s">
        <v>112</v>
      </c>
      <c r="E336" s="288">
        <v>5</v>
      </c>
      <c r="F336" s="289">
        <v>23</v>
      </c>
      <c r="G336" s="320">
        <f t="shared" si="48"/>
        <v>115</v>
      </c>
      <c r="H336" s="320">
        <f t="shared" si="49"/>
        <v>575</v>
      </c>
      <c r="I336" s="320">
        <v>720</v>
      </c>
      <c r="J336" s="320">
        <f t="shared" si="51"/>
        <v>3600</v>
      </c>
      <c r="K336" s="320">
        <f t="shared" si="52"/>
        <v>360</v>
      </c>
      <c r="L336" s="320">
        <f t="shared" si="53"/>
        <v>1800</v>
      </c>
      <c r="M336" s="254"/>
    </row>
    <row r="337" spans="1:13" ht="22.5" customHeight="1">
      <c r="A337" s="254">
        <v>309</v>
      </c>
      <c r="B337" s="254" t="s">
        <v>809</v>
      </c>
      <c r="C337" s="319" t="s">
        <v>810</v>
      </c>
      <c r="D337" s="258" t="s">
        <v>112</v>
      </c>
      <c r="E337" s="288">
        <v>5</v>
      </c>
      <c r="F337" s="289">
        <v>23</v>
      </c>
      <c r="G337" s="320">
        <f t="shared" si="48"/>
        <v>115</v>
      </c>
      <c r="H337" s="320">
        <f t="shared" si="49"/>
        <v>575</v>
      </c>
      <c r="I337" s="320">
        <v>720</v>
      </c>
      <c r="J337" s="320">
        <f t="shared" si="51"/>
        <v>3600</v>
      </c>
      <c r="K337" s="320">
        <f t="shared" si="52"/>
        <v>360</v>
      </c>
      <c r="L337" s="320">
        <f t="shared" si="53"/>
        <v>1800</v>
      </c>
      <c r="M337" s="254"/>
    </row>
    <row r="338" spans="1:13" ht="22.5" customHeight="1">
      <c r="A338" s="254">
        <v>310</v>
      </c>
      <c r="B338" s="254" t="s">
        <v>811</v>
      </c>
      <c r="C338" s="319" t="s">
        <v>812</v>
      </c>
      <c r="D338" s="258" t="s">
        <v>112</v>
      </c>
      <c r="E338" s="288">
        <v>5</v>
      </c>
      <c r="F338" s="289">
        <v>23</v>
      </c>
      <c r="G338" s="320">
        <f t="shared" si="48"/>
        <v>115</v>
      </c>
      <c r="H338" s="320">
        <f t="shared" si="49"/>
        <v>575</v>
      </c>
      <c r="I338" s="320">
        <v>720</v>
      </c>
      <c r="J338" s="320">
        <f t="shared" si="51"/>
        <v>3600</v>
      </c>
      <c r="K338" s="320">
        <f t="shared" si="52"/>
        <v>360</v>
      </c>
      <c r="L338" s="320">
        <f t="shared" si="53"/>
        <v>1800</v>
      </c>
      <c r="M338" s="254"/>
    </row>
    <row r="339" spans="1:13" ht="22.5" customHeight="1">
      <c r="A339" s="254">
        <v>311</v>
      </c>
      <c r="B339" s="254" t="s">
        <v>813</v>
      </c>
      <c r="C339" s="319" t="s">
        <v>814</v>
      </c>
      <c r="D339" s="258" t="s">
        <v>117</v>
      </c>
      <c r="E339" s="288">
        <v>5</v>
      </c>
      <c r="F339" s="289">
        <v>34</v>
      </c>
      <c r="G339" s="320">
        <f t="shared" si="48"/>
        <v>170</v>
      </c>
      <c r="H339" s="320">
        <f t="shared" si="49"/>
        <v>850</v>
      </c>
      <c r="I339" s="320">
        <f>G339*5</f>
        <v>850</v>
      </c>
      <c r="J339" s="320">
        <f t="shared" si="51"/>
        <v>4250</v>
      </c>
      <c r="K339" s="320">
        <f t="shared" si="52"/>
        <v>425</v>
      </c>
      <c r="L339" s="320">
        <f t="shared" si="53"/>
        <v>2125</v>
      </c>
      <c r="M339" s="254"/>
    </row>
    <row r="340" spans="1:13" ht="22.5" customHeight="1">
      <c r="A340" s="254">
        <v>312</v>
      </c>
      <c r="B340" s="254" t="s">
        <v>815</v>
      </c>
      <c r="C340" s="319" t="s">
        <v>816</v>
      </c>
      <c r="D340" s="258" t="s">
        <v>112</v>
      </c>
      <c r="E340" s="288">
        <v>5</v>
      </c>
      <c r="F340" s="289">
        <v>23</v>
      </c>
      <c r="G340" s="320">
        <f t="shared" si="48"/>
        <v>115</v>
      </c>
      <c r="H340" s="320">
        <f t="shared" si="49"/>
        <v>575</v>
      </c>
      <c r="I340" s="320">
        <v>720</v>
      </c>
      <c r="J340" s="320">
        <f t="shared" si="51"/>
        <v>3600</v>
      </c>
      <c r="K340" s="320">
        <f t="shared" si="52"/>
        <v>360</v>
      </c>
      <c r="L340" s="320">
        <f t="shared" si="53"/>
        <v>1800</v>
      </c>
      <c r="M340" s="254"/>
    </row>
    <row r="341" spans="1:13" ht="22.5" customHeight="1">
      <c r="A341" s="254">
        <v>313</v>
      </c>
      <c r="B341" s="254" t="s">
        <v>817</v>
      </c>
      <c r="C341" s="319" t="s">
        <v>818</v>
      </c>
      <c r="D341" s="254" t="s">
        <v>117</v>
      </c>
      <c r="E341" s="288">
        <v>5</v>
      </c>
      <c r="F341" s="289">
        <v>34</v>
      </c>
      <c r="G341" s="320">
        <v>170</v>
      </c>
      <c r="H341" s="320">
        <v>850</v>
      </c>
      <c r="I341" s="320">
        <v>850</v>
      </c>
      <c r="J341" s="320">
        <v>4250</v>
      </c>
      <c r="K341" s="320">
        <v>425</v>
      </c>
      <c r="L341" s="320">
        <v>2125</v>
      </c>
      <c r="M341" s="254"/>
    </row>
    <row r="342" spans="1:13" ht="22.5" customHeight="1">
      <c r="A342" s="254">
        <v>314</v>
      </c>
      <c r="B342" s="254" t="s">
        <v>819</v>
      </c>
      <c r="C342" s="319" t="s">
        <v>820</v>
      </c>
      <c r="D342" s="258" t="s">
        <v>117</v>
      </c>
      <c r="E342" s="288">
        <v>5</v>
      </c>
      <c r="F342" s="289">
        <v>34</v>
      </c>
      <c r="G342" s="320">
        <f t="shared" ref="G342:G399" si="54">F342*5</f>
        <v>170</v>
      </c>
      <c r="H342" s="320">
        <f t="shared" ref="H342:H399" si="55">E342*G342</f>
        <v>850</v>
      </c>
      <c r="I342" s="320">
        <f>G342*5</f>
        <v>850</v>
      </c>
      <c r="J342" s="320">
        <f t="shared" ref="J342:J399" si="56">I342*E342</f>
        <v>4250</v>
      </c>
      <c r="K342" s="320">
        <f t="shared" ref="K342:K399" si="57">I342/2</f>
        <v>425</v>
      </c>
      <c r="L342" s="320">
        <f t="shared" ref="L342:L399" si="58">K342*E342</f>
        <v>2125</v>
      </c>
      <c r="M342" s="254"/>
    </row>
    <row r="343" spans="1:13" ht="22.5" customHeight="1">
      <c r="A343" s="254">
        <v>315</v>
      </c>
      <c r="B343" s="254" t="s">
        <v>821</v>
      </c>
      <c r="C343" s="319" t="s">
        <v>822</v>
      </c>
      <c r="D343" s="258" t="s">
        <v>112</v>
      </c>
      <c r="E343" s="288">
        <v>5</v>
      </c>
      <c r="F343" s="289">
        <v>23</v>
      </c>
      <c r="G343" s="320">
        <f t="shared" si="54"/>
        <v>115</v>
      </c>
      <c r="H343" s="320">
        <f t="shared" si="55"/>
        <v>575</v>
      </c>
      <c r="I343" s="320">
        <v>720</v>
      </c>
      <c r="J343" s="320">
        <f t="shared" si="56"/>
        <v>3600</v>
      </c>
      <c r="K343" s="320">
        <f t="shared" si="57"/>
        <v>360</v>
      </c>
      <c r="L343" s="320">
        <f t="shared" si="58"/>
        <v>1800</v>
      </c>
      <c r="M343" s="254"/>
    </row>
    <row r="344" spans="1:13" ht="22.5" customHeight="1">
      <c r="A344" s="254">
        <v>316</v>
      </c>
      <c r="B344" s="254" t="s">
        <v>823</v>
      </c>
      <c r="C344" s="319" t="s">
        <v>824</v>
      </c>
      <c r="D344" s="258" t="s">
        <v>117</v>
      </c>
      <c r="E344" s="288">
        <v>5</v>
      </c>
      <c r="F344" s="289">
        <v>34</v>
      </c>
      <c r="G344" s="320">
        <f t="shared" si="54"/>
        <v>170</v>
      </c>
      <c r="H344" s="320">
        <f t="shared" si="55"/>
        <v>850</v>
      </c>
      <c r="I344" s="320">
        <f t="shared" ref="I344:I345" si="59">G344*5</f>
        <v>850</v>
      </c>
      <c r="J344" s="320">
        <f t="shared" si="56"/>
        <v>4250</v>
      </c>
      <c r="K344" s="320">
        <f t="shared" si="57"/>
        <v>425</v>
      </c>
      <c r="L344" s="320">
        <f t="shared" si="58"/>
        <v>2125</v>
      </c>
      <c r="M344" s="254"/>
    </row>
    <row r="345" spans="1:13" ht="22.5" customHeight="1">
      <c r="A345" s="254">
        <v>317</v>
      </c>
      <c r="B345" s="254" t="s">
        <v>825</v>
      </c>
      <c r="C345" s="319" t="s">
        <v>826</v>
      </c>
      <c r="D345" s="258" t="s">
        <v>117</v>
      </c>
      <c r="E345" s="288">
        <v>5</v>
      </c>
      <c r="F345" s="289">
        <v>34</v>
      </c>
      <c r="G345" s="320">
        <f t="shared" si="54"/>
        <v>170</v>
      </c>
      <c r="H345" s="320">
        <f t="shared" si="55"/>
        <v>850</v>
      </c>
      <c r="I345" s="320">
        <f t="shared" si="59"/>
        <v>850</v>
      </c>
      <c r="J345" s="320">
        <f t="shared" si="56"/>
        <v>4250</v>
      </c>
      <c r="K345" s="320">
        <f t="shared" si="57"/>
        <v>425</v>
      </c>
      <c r="L345" s="320">
        <f t="shared" si="58"/>
        <v>2125</v>
      </c>
      <c r="M345" s="254"/>
    </row>
    <row r="346" spans="1:13" ht="22.5" customHeight="1">
      <c r="A346" s="254">
        <v>318</v>
      </c>
      <c r="B346" s="254" t="s">
        <v>827</v>
      </c>
      <c r="C346" s="319" t="s">
        <v>828</v>
      </c>
      <c r="D346" s="258" t="s">
        <v>112</v>
      </c>
      <c r="E346" s="288">
        <v>5</v>
      </c>
      <c r="F346" s="289">
        <v>23</v>
      </c>
      <c r="G346" s="320">
        <f t="shared" si="54"/>
        <v>115</v>
      </c>
      <c r="H346" s="320">
        <f t="shared" si="55"/>
        <v>575</v>
      </c>
      <c r="I346" s="320">
        <v>720</v>
      </c>
      <c r="J346" s="320">
        <f t="shared" si="56"/>
        <v>3600</v>
      </c>
      <c r="K346" s="320">
        <f t="shared" si="57"/>
        <v>360</v>
      </c>
      <c r="L346" s="320">
        <f t="shared" si="58"/>
        <v>1800</v>
      </c>
      <c r="M346" s="254"/>
    </row>
    <row r="347" spans="1:13" ht="22.5" customHeight="1">
      <c r="A347" s="254">
        <v>319</v>
      </c>
      <c r="B347" s="254" t="s">
        <v>829</v>
      </c>
      <c r="C347" s="319" t="s">
        <v>830</v>
      </c>
      <c r="D347" s="258" t="s">
        <v>117</v>
      </c>
      <c r="E347" s="288">
        <v>5</v>
      </c>
      <c r="F347" s="289">
        <v>34</v>
      </c>
      <c r="G347" s="320">
        <f t="shared" si="54"/>
        <v>170</v>
      </c>
      <c r="H347" s="320">
        <f t="shared" si="55"/>
        <v>850</v>
      </c>
      <c r="I347" s="320">
        <f>G347*5</f>
        <v>850</v>
      </c>
      <c r="J347" s="320">
        <f t="shared" si="56"/>
        <v>4250</v>
      </c>
      <c r="K347" s="320">
        <f t="shared" si="57"/>
        <v>425</v>
      </c>
      <c r="L347" s="320">
        <f t="shared" si="58"/>
        <v>2125</v>
      </c>
      <c r="M347" s="254"/>
    </row>
    <row r="348" spans="1:13" ht="22.5" customHeight="1">
      <c r="A348" s="254">
        <v>320</v>
      </c>
      <c r="B348" s="254" t="s">
        <v>831</v>
      </c>
      <c r="C348" s="319" t="s">
        <v>832</v>
      </c>
      <c r="D348" s="258" t="s">
        <v>112</v>
      </c>
      <c r="E348" s="288">
        <v>5</v>
      </c>
      <c r="F348" s="289">
        <v>23</v>
      </c>
      <c r="G348" s="320">
        <f t="shared" si="54"/>
        <v>115</v>
      </c>
      <c r="H348" s="320">
        <f t="shared" si="55"/>
        <v>575</v>
      </c>
      <c r="I348" s="320">
        <v>720</v>
      </c>
      <c r="J348" s="320">
        <f t="shared" si="56"/>
        <v>3600</v>
      </c>
      <c r="K348" s="320">
        <f t="shared" si="57"/>
        <v>360</v>
      </c>
      <c r="L348" s="320">
        <f t="shared" si="58"/>
        <v>1800</v>
      </c>
      <c r="M348" s="254"/>
    </row>
    <row r="349" spans="1:13" ht="22.5" customHeight="1">
      <c r="A349" s="254">
        <v>321</v>
      </c>
      <c r="B349" s="254" t="s">
        <v>833</v>
      </c>
      <c r="C349" s="319" t="s">
        <v>834</v>
      </c>
      <c r="D349" s="258" t="s">
        <v>112</v>
      </c>
      <c r="E349" s="288">
        <v>5</v>
      </c>
      <c r="F349" s="289">
        <v>23</v>
      </c>
      <c r="G349" s="320">
        <f t="shared" si="54"/>
        <v>115</v>
      </c>
      <c r="H349" s="320">
        <f t="shared" si="55"/>
        <v>575</v>
      </c>
      <c r="I349" s="320">
        <v>720</v>
      </c>
      <c r="J349" s="320">
        <f t="shared" si="56"/>
        <v>3600</v>
      </c>
      <c r="K349" s="320">
        <f t="shared" si="57"/>
        <v>360</v>
      </c>
      <c r="L349" s="320">
        <f t="shared" si="58"/>
        <v>1800</v>
      </c>
      <c r="M349" s="254"/>
    </row>
    <row r="350" spans="1:13" ht="22.5" customHeight="1">
      <c r="A350" s="254">
        <v>322</v>
      </c>
      <c r="B350" s="254" t="s">
        <v>835</v>
      </c>
      <c r="C350" s="319" t="s">
        <v>836</v>
      </c>
      <c r="D350" s="258" t="s">
        <v>117</v>
      </c>
      <c r="E350" s="288">
        <v>5</v>
      </c>
      <c r="F350" s="289">
        <v>34</v>
      </c>
      <c r="G350" s="320">
        <f t="shared" si="54"/>
        <v>170</v>
      </c>
      <c r="H350" s="320">
        <f t="shared" si="55"/>
        <v>850</v>
      </c>
      <c r="I350" s="320">
        <f t="shared" ref="I350:I351" si="60">G350*5</f>
        <v>850</v>
      </c>
      <c r="J350" s="320">
        <f t="shared" si="56"/>
        <v>4250</v>
      </c>
      <c r="K350" s="320">
        <f t="shared" si="57"/>
        <v>425</v>
      </c>
      <c r="L350" s="320">
        <f t="shared" si="58"/>
        <v>2125</v>
      </c>
      <c r="M350" s="254"/>
    </row>
    <row r="351" spans="1:13" ht="22.5" customHeight="1">
      <c r="A351" s="254">
        <v>323</v>
      </c>
      <c r="B351" s="254" t="s">
        <v>837</v>
      </c>
      <c r="C351" s="319" t="s">
        <v>838</v>
      </c>
      <c r="D351" s="258" t="s">
        <v>117</v>
      </c>
      <c r="E351" s="288">
        <v>5</v>
      </c>
      <c r="F351" s="289">
        <v>34</v>
      </c>
      <c r="G351" s="320">
        <f t="shared" si="54"/>
        <v>170</v>
      </c>
      <c r="H351" s="320">
        <f t="shared" si="55"/>
        <v>850</v>
      </c>
      <c r="I351" s="320">
        <f t="shared" si="60"/>
        <v>850</v>
      </c>
      <c r="J351" s="320">
        <f t="shared" si="56"/>
        <v>4250</v>
      </c>
      <c r="K351" s="320">
        <f t="shared" si="57"/>
        <v>425</v>
      </c>
      <c r="L351" s="320">
        <f t="shared" si="58"/>
        <v>2125</v>
      </c>
      <c r="M351" s="254"/>
    </row>
    <row r="352" spans="1:13" ht="22.5" customHeight="1">
      <c r="A352" s="254">
        <v>324</v>
      </c>
      <c r="B352" s="254" t="s">
        <v>839</v>
      </c>
      <c r="C352" s="319" t="s">
        <v>840</v>
      </c>
      <c r="D352" s="258" t="s">
        <v>112</v>
      </c>
      <c r="E352" s="288">
        <v>5</v>
      </c>
      <c r="F352" s="289">
        <v>23</v>
      </c>
      <c r="G352" s="320">
        <f t="shared" si="54"/>
        <v>115</v>
      </c>
      <c r="H352" s="320">
        <f t="shared" si="55"/>
        <v>575</v>
      </c>
      <c r="I352" s="320">
        <v>720</v>
      </c>
      <c r="J352" s="320">
        <f t="shared" si="56"/>
        <v>3600</v>
      </c>
      <c r="K352" s="320">
        <f t="shared" si="57"/>
        <v>360</v>
      </c>
      <c r="L352" s="320">
        <f t="shared" si="58"/>
        <v>1800</v>
      </c>
      <c r="M352" s="254"/>
    </row>
    <row r="353" spans="1:13" ht="22.5" customHeight="1">
      <c r="A353" s="254">
        <v>325</v>
      </c>
      <c r="B353" s="254" t="s">
        <v>841</v>
      </c>
      <c r="C353" s="319" t="s">
        <v>842</v>
      </c>
      <c r="D353" s="258" t="s">
        <v>117</v>
      </c>
      <c r="E353" s="288">
        <v>5</v>
      </c>
      <c r="F353" s="289">
        <v>34</v>
      </c>
      <c r="G353" s="320">
        <f t="shared" si="54"/>
        <v>170</v>
      </c>
      <c r="H353" s="320">
        <f t="shared" si="55"/>
        <v>850</v>
      </c>
      <c r="I353" s="320">
        <v>850</v>
      </c>
      <c r="J353" s="320">
        <f t="shared" si="56"/>
        <v>4250</v>
      </c>
      <c r="K353" s="320">
        <f t="shared" si="57"/>
        <v>425</v>
      </c>
      <c r="L353" s="320">
        <f t="shared" si="58"/>
        <v>2125</v>
      </c>
      <c r="M353" s="254"/>
    </row>
    <row r="354" spans="1:13" ht="22.5" customHeight="1">
      <c r="A354" s="254">
        <v>326</v>
      </c>
      <c r="B354" s="254" t="s">
        <v>843</v>
      </c>
      <c r="C354" s="319" t="s">
        <v>844</v>
      </c>
      <c r="D354" s="258" t="s">
        <v>117</v>
      </c>
      <c r="E354" s="288">
        <v>5</v>
      </c>
      <c r="F354" s="289">
        <v>34</v>
      </c>
      <c r="G354" s="320">
        <f t="shared" si="54"/>
        <v>170</v>
      </c>
      <c r="H354" s="320">
        <f t="shared" si="55"/>
        <v>850</v>
      </c>
      <c r="I354" s="321">
        <v>850</v>
      </c>
      <c r="J354" s="320">
        <f t="shared" si="56"/>
        <v>4250</v>
      </c>
      <c r="K354" s="320">
        <f t="shared" si="57"/>
        <v>425</v>
      </c>
      <c r="L354" s="320">
        <f t="shared" si="58"/>
        <v>2125</v>
      </c>
      <c r="M354" s="254"/>
    </row>
    <row r="355" spans="1:13" ht="22.5" customHeight="1">
      <c r="A355" s="254">
        <v>327</v>
      </c>
      <c r="B355" s="254" t="s">
        <v>845</v>
      </c>
      <c r="C355" s="319" t="s">
        <v>846</v>
      </c>
      <c r="D355" s="258" t="s">
        <v>112</v>
      </c>
      <c r="E355" s="288">
        <v>5</v>
      </c>
      <c r="F355" s="289">
        <v>23</v>
      </c>
      <c r="G355" s="320">
        <f t="shared" si="54"/>
        <v>115</v>
      </c>
      <c r="H355" s="320">
        <f t="shared" si="55"/>
        <v>575</v>
      </c>
      <c r="I355" s="320">
        <v>720</v>
      </c>
      <c r="J355" s="320">
        <f t="shared" si="56"/>
        <v>3600</v>
      </c>
      <c r="K355" s="320">
        <f t="shared" si="57"/>
        <v>360</v>
      </c>
      <c r="L355" s="320">
        <f t="shared" si="58"/>
        <v>1800</v>
      </c>
      <c r="M355" s="254"/>
    </row>
    <row r="356" spans="1:13" ht="22.5" customHeight="1">
      <c r="A356" s="254">
        <v>328</v>
      </c>
      <c r="B356" s="254" t="s">
        <v>847</v>
      </c>
      <c r="C356" s="319" t="s">
        <v>848</v>
      </c>
      <c r="D356" s="258" t="s">
        <v>117</v>
      </c>
      <c r="E356" s="288">
        <v>5</v>
      </c>
      <c r="F356" s="289">
        <v>34</v>
      </c>
      <c r="G356" s="320">
        <f t="shared" si="54"/>
        <v>170</v>
      </c>
      <c r="H356" s="320">
        <f t="shared" si="55"/>
        <v>850</v>
      </c>
      <c r="I356" s="321">
        <v>850</v>
      </c>
      <c r="J356" s="320">
        <f t="shared" si="56"/>
        <v>4250</v>
      </c>
      <c r="K356" s="320">
        <f t="shared" si="57"/>
        <v>425</v>
      </c>
      <c r="L356" s="320">
        <f t="shared" si="58"/>
        <v>2125</v>
      </c>
      <c r="M356" s="254"/>
    </row>
    <row r="357" spans="1:13" ht="22.5" customHeight="1">
      <c r="A357" s="254">
        <v>329</v>
      </c>
      <c r="B357" s="254" t="s">
        <v>849</v>
      </c>
      <c r="C357" s="319" t="s">
        <v>850</v>
      </c>
      <c r="D357" s="258" t="s">
        <v>112</v>
      </c>
      <c r="E357" s="288">
        <v>5</v>
      </c>
      <c r="F357" s="289">
        <v>23</v>
      </c>
      <c r="G357" s="320">
        <f t="shared" si="54"/>
        <v>115</v>
      </c>
      <c r="H357" s="320">
        <f t="shared" si="55"/>
        <v>575</v>
      </c>
      <c r="I357" s="320">
        <v>720</v>
      </c>
      <c r="J357" s="320">
        <f t="shared" si="56"/>
        <v>3600</v>
      </c>
      <c r="K357" s="320">
        <f t="shared" si="57"/>
        <v>360</v>
      </c>
      <c r="L357" s="320">
        <f t="shared" si="58"/>
        <v>1800</v>
      </c>
      <c r="M357" s="254"/>
    </row>
    <row r="358" spans="1:13" ht="22.5" customHeight="1">
      <c r="A358" s="254">
        <v>330</v>
      </c>
      <c r="B358" s="254" t="s">
        <v>851</v>
      </c>
      <c r="C358" s="319" t="s">
        <v>852</v>
      </c>
      <c r="D358" s="258" t="s">
        <v>117</v>
      </c>
      <c r="E358" s="288">
        <v>5</v>
      </c>
      <c r="F358" s="289">
        <v>34</v>
      </c>
      <c r="G358" s="320">
        <f t="shared" si="54"/>
        <v>170</v>
      </c>
      <c r="H358" s="320">
        <f t="shared" si="55"/>
        <v>850</v>
      </c>
      <c r="I358" s="321">
        <v>850</v>
      </c>
      <c r="J358" s="320">
        <f t="shared" si="56"/>
        <v>4250</v>
      </c>
      <c r="K358" s="320">
        <f t="shared" si="57"/>
        <v>425</v>
      </c>
      <c r="L358" s="320">
        <f t="shared" si="58"/>
        <v>2125</v>
      </c>
      <c r="M358" s="254"/>
    </row>
    <row r="359" spans="1:13" ht="22.5" customHeight="1">
      <c r="A359" s="254">
        <v>331</v>
      </c>
      <c r="B359" s="254" t="s">
        <v>853</v>
      </c>
      <c r="C359" s="319" t="s">
        <v>854</v>
      </c>
      <c r="D359" s="258" t="s">
        <v>112</v>
      </c>
      <c r="E359" s="288">
        <v>5</v>
      </c>
      <c r="F359" s="289">
        <v>23</v>
      </c>
      <c r="G359" s="320">
        <f t="shared" si="54"/>
        <v>115</v>
      </c>
      <c r="H359" s="320">
        <f t="shared" si="55"/>
        <v>575</v>
      </c>
      <c r="I359" s="320">
        <v>720</v>
      </c>
      <c r="J359" s="320">
        <f t="shared" si="56"/>
        <v>3600</v>
      </c>
      <c r="K359" s="320">
        <f t="shared" si="57"/>
        <v>360</v>
      </c>
      <c r="L359" s="320">
        <f t="shared" si="58"/>
        <v>1800</v>
      </c>
      <c r="M359" s="254"/>
    </row>
    <row r="360" spans="1:13" ht="22.5" customHeight="1">
      <c r="A360" s="254">
        <v>332</v>
      </c>
      <c r="B360" s="254" t="s">
        <v>855</v>
      </c>
      <c r="C360" s="319" t="s">
        <v>856</v>
      </c>
      <c r="D360" s="258" t="s">
        <v>112</v>
      </c>
      <c r="E360" s="288">
        <v>5.2</v>
      </c>
      <c r="F360" s="289">
        <v>23</v>
      </c>
      <c r="G360" s="320">
        <f t="shared" si="54"/>
        <v>115</v>
      </c>
      <c r="H360" s="320">
        <f t="shared" si="55"/>
        <v>598</v>
      </c>
      <c r="I360" s="320">
        <v>720</v>
      </c>
      <c r="J360" s="320">
        <f t="shared" si="56"/>
        <v>3744</v>
      </c>
      <c r="K360" s="320">
        <f t="shared" si="57"/>
        <v>360</v>
      </c>
      <c r="L360" s="320">
        <f t="shared" si="58"/>
        <v>1872</v>
      </c>
      <c r="M360" s="254"/>
    </row>
    <row r="361" spans="1:13" ht="22.5" customHeight="1">
      <c r="A361" s="254">
        <v>333</v>
      </c>
      <c r="B361" s="254" t="s">
        <v>857</v>
      </c>
      <c r="C361" s="319" t="s">
        <v>858</v>
      </c>
      <c r="D361" s="258" t="s">
        <v>113</v>
      </c>
      <c r="E361" s="288">
        <v>5.2</v>
      </c>
      <c r="F361" s="289">
        <v>17.5</v>
      </c>
      <c r="G361" s="320">
        <f t="shared" si="54"/>
        <v>87.5</v>
      </c>
      <c r="H361" s="320">
        <f t="shared" si="55"/>
        <v>455</v>
      </c>
      <c r="I361" s="320">
        <v>720</v>
      </c>
      <c r="J361" s="320">
        <f t="shared" si="56"/>
        <v>3744</v>
      </c>
      <c r="K361" s="320">
        <f t="shared" si="57"/>
        <v>360</v>
      </c>
      <c r="L361" s="320">
        <f t="shared" si="58"/>
        <v>1872</v>
      </c>
      <c r="M361" s="254"/>
    </row>
    <row r="362" spans="1:13" ht="22.5" customHeight="1">
      <c r="A362" s="254">
        <v>334</v>
      </c>
      <c r="B362" s="254" t="s">
        <v>859</v>
      </c>
      <c r="C362" s="319" t="s">
        <v>860</v>
      </c>
      <c r="D362" s="258" t="s">
        <v>112</v>
      </c>
      <c r="E362" s="288">
        <v>5</v>
      </c>
      <c r="F362" s="289">
        <v>23</v>
      </c>
      <c r="G362" s="320">
        <f t="shared" si="54"/>
        <v>115</v>
      </c>
      <c r="H362" s="320">
        <f t="shared" si="55"/>
        <v>575</v>
      </c>
      <c r="I362" s="320">
        <v>720</v>
      </c>
      <c r="J362" s="320">
        <f t="shared" si="56"/>
        <v>3600</v>
      </c>
      <c r="K362" s="320">
        <f t="shared" si="57"/>
        <v>360</v>
      </c>
      <c r="L362" s="320">
        <f t="shared" si="58"/>
        <v>1800</v>
      </c>
      <c r="M362" s="254"/>
    </row>
    <row r="363" spans="1:13" ht="22.5" customHeight="1">
      <c r="A363" s="254">
        <v>335</v>
      </c>
      <c r="B363" s="254" t="s">
        <v>861</v>
      </c>
      <c r="C363" s="319" t="s">
        <v>862</v>
      </c>
      <c r="D363" s="258" t="s">
        <v>113</v>
      </c>
      <c r="E363" s="288">
        <v>2.7</v>
      </c>
      <c r="F363" s="289">
        <v>17.5</v>
      </c>
      <c r="G363" s="320">
        <f t="shared" si="54"/>
        <v>87.5</v>
      </c>
      <c r="H363" s="320">
        <f t="shared" si="55"/>
        <v>236.25000000000003</v>
      </c>
      <c r="I363" s="320">
        <v>720</v>
      </c>
      <c r="J363" s="320">
        <f t="shared" si="56"/>
        <v>1944.0000000000002</v>
      </c>
      <c r="K363" s="320">
        <f t="shared" si="57"/>
        <v>360</v>
      </c>
      <c r="L363" s="320">
        <f t="shared" si="58"/>
        <v>972.00000000000011</v>
      </c>
      <c r="M363" s="254"/>
    </row>
    <row r="364" spans="1:13" ht="22.5" customHeight="1">
      <c r="A364" s="254">
        <v>336</v>
      </c>
      <c r="B364" s="254" t="s">
        <v>863</v>
      </c>
      <c r="C364" s="319" t="s">
        <v>864</v>
      </c>
      <c r="D364" s="258" t="s">
        <v>117</v>
      </c>
      <c r="E364" s="288">
        <v>5</v>
      </c>
      <c r="F364" s="289">
        <v>34</v>
      </c>
      <c r="G364" s="320">
        <f t="shared" si="54"/>
        <v>170</v>
      </c>
      <c r="H364" s="320">
        <f t="shared" si="55"/>
        <v>850</v>
      </c>
      <c r="I364" s="320">
        <v>850</v>
      </c>
      <c r="J364" s="320">
        <f t="shared" si="56"/>
        <v>4250</v>
      </c>
      <c r="K364" s="320">
        <f t="shared" si="57"/>
        <v>425</v>
      </c>
      <c r="L364" s="320">
        <f t="shared" si="58"/>
        <v>2125</v>
      </c>
      <c r="M364" s="254"/>
    </row>
    <row r="365" spans="1:13" ht="22.5" customHeight="1">
      <c r="A365" s="254">
        <v>337</v>
      </c>
      <c r="B365" s="254" t="s">
        <v>865</v>
      </c>
      <c r="C365" s="319" t="s">
        <v>866</v>
      </c>
      <c r="D365" s="258" t="s">
        <v>112</v>
      </c>
      <c r="E365" s="288">
        <v>5</v>
      </c>
      <c r="F365" s="289">
        <v>23</v>
      </c>
      <c r="G365" s="320">
        <f t="shared" si="54"/>
        <v>115</v>
      </c>
      <c r="H365" s="320">
        <f t="shared" si="55"/>
        <v>575</v>
      </c>
      <c r="I365" s="320">
        <v>720</v>
      </c>
      <c r="J365" s="320">
        <f t="shared" si="56"/>
        <v>3600</v>
      </c>
      <c r="K365" s="320">
        <f t="shared" si="57"/>
        <v>360</v>
      </c>
      <c r="L365" s="320">
        <f t="shared" si="58"/>
        <v>1800</v>
      </c>
      <c r="M365" s="254"/>
    </row>
    <row r="366" spans="1:13" ht="22.5" customHeight="1">
      <c r="A366" s="254">
        <v>338</v>
      </c>
      <c r="B366" s="254" t="s">
        <v>867</v>
      </c>
      <c r="C366" s="319" t="s">
        <v>868</v>
      </c>
      <c r="D366" s="258" t="s">
        <v>117</v>
      </c>
      <c r="E366" s="288">
        <v>5</v>
      </c>
      <c r="F366" s="289">
        <v>34</v>
      </c>
      <c r="G366" s="320">
        <f t="shared" si="54"/>
        <v>170</v>
      </c>
      <c r="H366" s="320">
        <f t="shared" si="55"/>
        <v>850</v>
      </c>
      <c r="I366" s="321">
        <v>850</v>
      </c>
      <c r="J366" s="320">
        <f t="shared" si="56"/>
        <v>4250</v>
      </c>
      <c r="K366" s="320">
        <f t="shared" si="57"/>
        <v>425</v>
      </c>
      <c r="L366" s="320">
        <f t="shared" si="58"/>
        <v>2125</v>
      </c>
      <c r="M366" s="254"/>
    </row>
    <row r="367" spans="1:13" ht="22.5" customHeight="1">
      <c r="A367" s="254">
        <v>339</v>
      </c>
      <c r="B367" s="254" t="s">
        <v>869</v>
      </c>
      <c r="C367" s="319" t="s">
        <v>870</v>
      </c>
      <c r="D367" s="258" t="s">
        <v>112</v>
      </c>
      <c r="E367" s="288">
        <v>5</v>
      </c>
      <c r="F367" s="289">
        <v>23</v>
      </c>
      <c r="G367" s="320">
        <f t="shared" si="54"/>
        <v>115</v>
      </c>
      <c r="H367" s="320">
        <f t="shared" si="55"/>
        <v>575</v>
      </c>
      <c r="I367" s="320">
        <v>720</v>
      </c>
      <c r="J367" s="320">
        <f t="shared" si="56"/>
        <v>3600</v>
      </c>
      <c r="K367" s="320">
        <f t="shared" si="57"/>
        <v>360</v>
      </c>
      <c r="L367" s="320">
        <f t="shared" si="58"/>
        <v>1800</v>
      </c>
      <c r="M367" s="254"/>
    </row>
    <row r="368" spans="1:13" ht="22.5" customHeight="1">
      <c r="A368" s="254">
        <v>340</v>
      </c>
      <c r="B368" s="254" t="s">
        <v>871</v>
      </c>
      <c r="C368" s="319" t="s">
        <v>872</v>
      </c>
      <c r="D368" s="258" t="s">
        <v>117</v>
      </c>
      <c r="E368" s="288">
        <v>5</v>
      </c>
      <c r="F368" s="289">
        <v>34</v>
      </c>
      <c r="G368" s="320">
        <f t="shared" si="54"/>
        <v>170</v>
      </c>
      <c r="H368" s="320">
        <f t="shared" si="55"/>
        <v>850</v>
      </c>
      <c r="I368" s="321">
        <v>850</v>
      </c>
      <c r="J368" s="320">
        <f t="shared" si="56"/>
        <v>4250</v>
      </c>
      <c r="K368" s="320">
        <f t="shared" si="57"/>
        <v>425</v>
      </c>
      <c r="L368" s="320">
        <f t="shared" si="58"/>
        <v>2125</v>
      </c>
      <c r="M368" s="254"/>
    </row>
    <row r="369" spans="1:13" ht="22.5" customHeight="1">
      <c r="A369" s="254">
        <v>341</v>
      </c>
      <c r="B369" s="254" t="s">
        <v>873</v>
      </c>
      <c r="C369" s="319" t="s">
        <v>874</v>
      </c>
      <c r="D369" s="258" t="s">
        <v>112</v>
      </c>
      <c r="E369" s="288">
        <v>5</v>
      </c>
      <c r="F369" s="289">
        <v>23</v>
      </c>
      <c r="G369" s="320">
        <f t="shared" si="54"/>
        <v>115</v>
      </c>
      <c r="H369" s="320">
        <f t="shared" si="55"/>
        <v>575</v>
      </c>
      <c r="I369" s="320">
        <v>720</v>
      </c>
      <c r="J369" s="320">
        <f t="shared" si="56"/>
        <v>3600</v>
      </c>
      <c r="K369" s="320">
        <f t="shared" si="57"/>
        <v>360</v>
      </c>
      <c r="L369" s="320">
        <f t="shared" si="58"/>
        <v>1800</v>
      </c>
      <c r="M369" s="254"/>
    </row>
    <row r="370" spans="1:13" ht="22.5" customHeight="1">
      <c r="A370" s="254">
        <v>342</v>
      </c>
      <c r="B370" s="254" t="s">
        <v>875</v>
      </c>
      <c r="C370" s="319" t="s">
        <v>876</v>
      </c>
      <c r="D370" s="258" t="s">
        <v>117</v>
      </c>
      <c r="E370" s="288">
        <v>5</v>
      </c>
      <c r="F370" s="289">
        <v>34</v>
      </c>
      <c r="G370" s="320">
        <f t="shared" si="54"/>
        <v>170</v>
      </c>
      <c r="H370" s="320">
        <f t="shared" si="55"/>
        <v>850</v>
      </c>
      <c r="I370" s="321">
        <v>850</v>
      </c>
      <c r="J370" s="320">
        <f t="shared" si="56"/>
        <v>4250</v>
      </c>
      <c r="K370" s="320">
        <f t="shared" si="57"/>
        <v>425</v>
      </c>
      <c r="L370" s="320">
        <f t="shared" si="58"/>
        <v>2125</v>
      </c>
      <c r="M370" s="254"/>
    </row>
    <row r="371" spans="1:13" ht="22.5" customHeight="1">
      <c r="A371" s="254">
        <v>343</v>
      </c>
      <c r="B371" s="254" t="s">
        <v>877</v>
      </c>
      <c r="C371" s="319" t="s">
        <v>878</v>
      </c>
      <c r="D371" s="258" t="s">
        <v>117</v>
      </c>
      <c r="E371" s="288">
        <v>5</v>
      </c>
      <c r="F371" s="289">
        <v>34</v>
      </c>
      <c r="G371" s="320">
        <f t="shared" si="54"/>
        <v>170</v>
      </c>
      <c r="H371" s="320">
        <f t="shared" si="55"/>
        <v>850</v>
      </c>
      <c r="I371" s="321">
        <v>850</v>
      </c>
      <c r="J371" s="320">
        <f t="shared" si="56"/>
        <v>4250</v>
      </c>
      <c r="K371" s="320">
        <f t="shared" si="57"/>
        <v>425</v>
      </c>
      <c r="L371" s="320">
        <f t="shared" si="58"/>
        <v>2125</v>
      </c>
      <c r="M371" s="254"/>
    </row>
    <row r="372" spans="1:13" ht="22.5" customHeight="1">
      <c r="A372" s="254">
        <v>344</v>
      </c>
      <c r="B372" s="254" t="s">
        <v>879</v>
      </c>
      <c r="C372" s="319" t="s">
        <v>880</v>
      </c>
      <c r="D372" s="258" t="s">
        <v>117</v>
      </c>
      <c r="E372" s="288">
        <v>5</v>
      </c>
      <c r="F372" s="289">
        <v>34</v>
      </c>
      <c r="G372" s="320">
        <f t="shared" si="54"/>
        <v>170</v>
      </c>
      <c r="H372" s="320">
        <f t="shared" si="55"/>
        <v>850</v>
      </c>
      <c r="I372" s="321">
        <v>850</v>
      </c>
      <c r="J372" s="320">
        <f t="shared" si="56"/>
        <v>4250</v>
      </c>
      <c r="K372" s="320">
        <f t="shared" si="57"/>
        <v>425</v>
      </c>
      <c r="L372" s="320">
        <f t="shared" si="58"/>
        <v>2125</v>
      </c>
      <c r="M372" s="254"/>
    </row>
    <row r="373" spans="1:13" ht="22.5" customHeight="1">
      <c r="A373" s="254">
        <v>345</v>
      </c>
      <c r="B373" s="254" t="s">
        <v>881</v>
      </c>
      <c r="C373" s="319" t="s">
        <v>882</v>
      </c>
      <c r="D373" s="258" t="s">
        <v>112</v>
      </c>
      <c r="E373" s="288">
        <v>5</v>
      </c>
      <c r="F373" s="289">
        <v>23</v>
      </c>
      <c r="G373" s="320">
        <f t="shared" si="54"/>
        <v>115</v>
      </c>
      <c r="H373" s="320">
        <f t="shared" si="55"/>
        <v>575</v>
      </c>
      <c r="I373" s="320">
        <v>720</v>
      </c>
      <c r="J373" s="320">
        <f t="shared" si="56"/>
        <v>3600</v>
      </c>
      <c r="K373" s="320">
        <f t="shared" si="57"/>
        <v>360</v>
      </c>
      <c r="L373" s="320">
        <f t="shared" si="58"/>
        <v>1800</v>
      </c>
      <c r="M373" s="254"/>
    </row>
    <row r="374" spans="1:13" ht="22.5" customHeight="1">
      <c r="A374" s="254">
        <v>346</v>
      </c>
      <c r="B374" s="254" t="s">
        <v>883</v>
      </c>
      <c r="C374" s="319" t="s">
        <v>884</v>
      </c>
      <c r="D374" s="258" t="s">
        <v>112</v>
      </c>
      <c r="E374" s="288">
        <v>5</v>
      </c>
      <c r="F374" s="289">
        <v>23</v>
      </c>
      <c r="G374" s="320">
        <f t="shared" si="54"/>
        <v>115</v>
      </c>
      <c r="H374" s="320">
        <f t="shared" si="55"/>
        <v>575</v>
      </c>
      <c r="I374" s="320">
        <v>720</v>
      </c>
      <c r="J374" s="320">
        <f t="shared" si="56"/>
        <v>3600</v>
      </c>
      <c r="K374" s="320">
        <f t="shared" si="57"/>
        <v>360</v>
      </c>
      <c r="L374" s="320">
        <f t="shared" si="58"/>
        <v>1800</v>
      </c>
      <c r="M374" s="254"/>
    </row>
    <row r="375" spans="1:13" ht="22.5" customHeight="1">
      <c r="A375" s="254">
        <v>347</v>
      </c>
      <c r="B375" s="254" t="s">
        <v>885</v>
      </c>
      <c r="C375" s="319" t="s">
        <v>886</v>
      </c>
      <c r="D375" s="258" t="s">
        <v>112</v>
      </c>
      <c r="E375" s="288">
        <v>5</v>
      </c>
      <c r="F375" s="289">
        <v>23</v>
      </c>
      <c r="G375" s="320">
        <f t="shared" si="54"/>
        <v>115</v>
      </c>
      <c r="H375" s="320">
        <f t="shared" si="55"/>
        <v>575</v>
      </c>
      <c r="I375" s="320">
        <v>720</v>
      </c>
      <c r="J375" s="320">
        <f t="shared" si="56"/>
        <v>3600</v>
      </c>
      <c r="K375" s="320">
        <f t="shared" si="57"/>
        <v>360</v>
      </c>
      <c r="L375" s="320">
        <f t="shared" si="58"/>
        <v>1800</v>
      </c>
      <c r="M375" s="254"/>
    </row>
    <row r="376" spans="1:13" ht="22.5" customHeight="1">
      <c r="A376" s="254">
        <v>348</v>
      </c>
      <c r="B376" s="254" t="s">
        <v>887</v>
      </c>
      <c r="C376" s="319" t="s">
        <v>888</v>
      </c>
      <c r="D376" s="258" t="s">
        <v>117</v>
      </c>
      <c r="E376" s="288">
        <v>5</v>
      </c>
      <c r="F376" s="289">
        <v>34</v>
      </c>
      <c r="G376" s="320">
        <f t="shared" si="54"/>
        <v>170</v>
      </c>
      <c r="H376" s="320">
        <f t="shared" si="55"/>
        <v>850</v>
      </c>
      <c r="I376" s="321">
        <v>850</v>
      </c>
      <c r="J376" s="320">
        <f t="shared" si="56"/>
        <v>4250</v>
      </c>
      <c r="K376" s="320">
        <f t="shared" si="57"/>
        <v>425</v>
      </c>
      <c r="L376" s="320">
        <f t="shared" si="58"/>
        <v>2125</v>
      </c>
      <c r="M376" s="254"/>
    </row>
    <row r="377" spans="1:13" ht="22.5" customHeight="1">
      <c r="A377" s="254">
        <v>349</v>
      </c>
      <c r="B377" s="254" t="s">
        <v>889</v>
      </c>
      <c r="C377" s="319" t="s">
        <v>890</v>
      </c>
      <c r="D377" s="258" t="s">
        <v>112</v>
      </c>
      <c r="E377" s="288">
        <v>5</v>
      </c>
      <c r="F377" s="289">
        <v>23</v>
      </c>
      <c r="G377" s="320">
        <f t="shared" si="54"/>
        <v>115</v>
      </c>
      <c r="H377" s="320">
        <f t="shared" si="55"/>
        <v>575</v>
      </c>
      <c r="I377" s="320">
        <v>720</v>
      </c>
      <c r="J377" s="320">
        <f t="shared" si="56"/>
        <v>3600</v>
      </c>
      <c r="K377" s="320">
        <f t="shared" si="57"/>
        <v>360</v>
      </c>
      <c r="L377" s="320">
        <f t="shared" si="58"/>
        <v>1800</v>
      </c>
      <c r="M377" s="254"/>
    </row>
    <row r="378" spans="1:13" ht="22.5" customHeight="1">
      <c r="A378" s="254">
        <v>350</v>
      </c>
      <c r="B378" s="254" t="s">
        <v>891</v>
      </c>
      <c r="C378" s="319" t="s">
        <v>892</v>
      </c>
      <c r="D378" s="258" t="s">
        <v>112</v>
      </c>
      <c r="E378" s="288">
        <v>5</v>
      </c>
      <c r="F378" s="289">
        <v>23</v>
      </c>
      <c r="G378" s="320">
        <f t="shared" si="54"/>
        <v>115</v>
      </c>
      <c r="H378" s="320">
        <f t="shared" si="55"/>
        <v>575</v>
      </c>
      <c r="I378" s="320">
        <v>720</v>
      </c>
      <c r="J378" s="320">
        <f t="shared" si="56"/>
        <v>3600</v>
      </c>
      <c r="K378" s="320">
        <f t="shared" si="57"/>
        <v>360</v>
      </c>
      <c r="L378" s="320">
        <f t="shared" si="58"/>
        <v>1800</v>
      </c>
      <c r="M378" s="254"/>
    </row>
    <row r="379" spans="1:13" ht="22.5" customHeight="1">
      <c r="A379" s="254">
        <v>351</v>
      </c>
      <c r="B379" s="254" t="s">
        <v>893</v>
      </c>
      <c r="C379" s="319" t="s">
        <v>894</v>
      </c>
      <c r="D379" s="258" t="s">
        <v>112</v>
      </c>
      <c r="E379" s="288">
        <v>5</v>
      </c>
      <c r="F379" s="289">
        <v>23</v>
      </c>
      <c r="G379" s="320">
        <f t="shared" si="54"/>
        <v>115</v>
      </c>
      <c r="H379" s="320">
        <f t="shared" si="55"/>
        <v>575</v>
      </c>
      <c r="I379" s="320">
        <v>720</v>
      </c>
      <c r="J379" s="320">
        <f t="shared" si="56"/>
        <v>3600</v>
      </c>
      <c r="K379" s="320">
        <f t="shared" si="57"/>
        <v>360</v>
      </c>
      <c r="L379" s="320">
        <f t="shared" si="58"/>
        <v>1800</v>
      </c>
      <c r="M379" s="254"/>
    </row>
    <row r="380" spans="1:13" ht="22.5" customHeight="1">
      <c r="A380" s="254">
        <v>352</v>
      </c>
      <c r="B380" s="254" t="s">
        <v>895</v>
      </c>
      <c r="C380" s="319" t="s">
        <v>896</v>
      </c>
      <c r="D380" s="258" t="s">
        <v>118</v>
      </c>
      <c r="E380" s="288">
        <v>5</v>
      </c>
      <c r="F380" s="289">
        <v>28</v>
      </c>
      <c r="G380" s="320">
        <f t="shared" si="54"/>
        <v>140</v>
      </c>
      <c r="H380" s="320">
        <f t="shared" si="55"/>
        <v>700</v>
      </c>
      <c r="I380" s="321">
        <v>850</v>
      </c>
      <c r="J380" s="320">
        <f t="shared" si="56"/>
        <v>4250</v>
      </c>
      <c r="K380" s="320">
        <f t="shared" si="57"/>
        <v>425</v>
      </c>
      <c r="L380" s="320">
        <f t="shared" si="58"/>
        <v>2125</v>
      </c>
      <c r="M380" s="254"/>
    </row>
    <row r="381" spans="1:13" ht="22.5" customHeight="1">
      <c r="A381" s="254">
        <v>353</v>
      </c>
      <c r="B381" s="254" t="s">
        <v>897</v>
      </c>
      <c r="C381" s="319" t="s">
        <v>898</v>
      </c>
      <c r="D381" s="258" t="s">
        <v>112</v>
      </c>
      <c r="E381" s="288">
        <v>5</v>
      </c>
      <c r="F381" s="289">
        <v>23</v>
      </c>
      <c r="G381" s="320">
        <f t="shared" si="54"/>
        <v>115</v>
      </c>
      <c r="H381" s="320">
        <f t="shared" si="55"/>
        <v>575</v>
      </c>
      <c r="I381" s="320">
        <v>720</v>
      </c>
      <c r="J381" s="320">
        <f t="shared" si="56"/>
        <v>3600</v>
      </c>
      <c r="K381" s="320">
        <f t="shared" si="57"/>
        <v>360</v>
      </c>
      <c r="L381" s="320">
        <f t="shared" si="58"/>
        <v>1800</v>
      </c>
      <c r="M381" s="254"/>
    </row>
    <row r="382" spans="1:13" ht="22.5" customHeight="1">
      <c r="A382" s="254">
        <v>354</v>
      </c>
      <c r="B382" s="254" t="s">
        <v>899</v>
      </c>
      <c r="C382" s="319" t="s">
        <v>900</v>
      </c>
      <c r="D382" s="258" t="s">
        <v>113</v>
      </c>
      <c r="E382" s="288">
        <v>2.7</v>
      </c>
      <c r="F382" s="289">
        <v>17.5</v>
      </c>
      <c r="G382" s="320">
        <f t="shared" si="54"/>
        <v>87.5</v>
      </c>
      <c r="H382" s="320">
        <f t="shared" si="55"/>
        <v>236.25000000000003</v>
      </c>
      <c r="I382" s="320">
        <v>720</v>
      </c>
      <c r="J382" s="320">
        <f t="shared" si="56"/>
        <v>1944.0000000000002</v>
      </c>
      <c r="K382" s="320">
        <f t="shared" si="57"/>
        <v>360</v>
      </c>
      <c r="L382" s="320">
        <f t="shared" si="58"/>
        <v>972.00000000000011</v>
      </c>
      <c r="M382" s="254"/>
    </row>
    <row r="383" spans="1:13" ht="22.5" customHeight="1">
      <c r="A383" s="254">
        <v>355</v>
      </c>
      <c r="B383" s="254" t="s">
        <v>901</v>
      </c>
      <c r="C383" s="319" t="s">
        <v>902</v>
      </c>
      <c r="D383" s="258" t="s">
        <v>112</v>
      </c>
      <c r="E383" s="288">
        <v>5</v>
      </c>
      <c r="F383" s="289">
        <v>23</v>
      </c>
      <c r="G383" s="320">
        <f t="shared" si="54"/>
        <v>115</v>
      </c>
      <c r="H383" s="320">
        <f t="shared" si="55"/>
        <v>575</v>
      </c>
      <c r="I383" s="320">
        <v>720</v>
      </c>
      <c r="J383" s="320">
        <f t="shared" si="56"/>
        <v>3600</v>
      </c>
      <c r="K383" s="320">
        <f t="shared" si="57"/>
        <v>360</v>
      </c>
      <c r="L383" s="320">
        <f t="shared" si="58"/>
        <v>1800</v>
      </c>
      <c r="M383" s="254"/>
    </row>
    <row r="384" spans="1:13" ht="22.5" customHeight="1">
      <c r="A384" s="254">
        <v>356</v>
      </c>
      <c r="B384" s="254" t="s">
        <v>903</v>
      </c>
      <c r="C384" s="319" t="s">
        <v>904</v>
      </c>
      <c r="D384" s="258" t="s">
        <v>113</v>
      </c>
      <c r="E384" s="288">
        <v>2.7</v>
      </c>
      <c r="F384" s="289">
        <v>17.5</v>
      </c>
      <c r="G384" s="320">
        <f t="shared" si="54"/>
        <v>87.5</v>
      </c>
      <c r="H384" s="320">
        <f t="shared" si="55"/>
        <v>236.25000000000003</v>
      </c>
      <c r="I384" s="320">
        <v>720</v>
      </c>
      <c r="J384" s="320">
        <f t="shared" si="56"/>
        <v>1944.0000000000002</v>
      </c>
      <c r="K384" s="320">
        <f t="shared" si="57"/>
        <v>360</v>
      </c>
      <c r="L384" s="320">
        <f t="shared" si="58"/>
        <v>972.00000000000011</v>
      </c>
      <c r="M384" s="254"/>
    </row>
    <row r="385" spans="1:13" ht="22.5" customHeight="1">
      <c r="A385" s="254">
        <v>357</v>
      </c>
      <c r="B385" s="254" t="s">
        <v>905</v>
      </c>
      <c r="C385" s="319" t="s">
        <v>906</v>
      </c>
      <c r="D385" s="258" t="s">
        <v>112</v>
      </c>
      <c r="E385" s="288">
        <v>5</v>
      </c>
      <c r="F385" s="289">
        <v>23</v>
      </c>
      <c r="G385" s="320">
        <f t="shared" si="54"/>
        <v>115</v>
      </c>
      <c r="H385" s="320">
        <f t="shared" si="55"/>
        <v>575</v>
      </c>
      <c r="I385" s="320">
        <v>720</v>
      </c>
      <c r="J385" s="320">
        <f t="shared" si="56"/>
        <v>3600</v>
      </c>
      <c r="K385" s="320">
        <f t="shared" si="57"/>
        <v>360</v>
      </c>
      <c r="L385" s="320">
        <f t="shared" si="58"/>
        <v>1800</v>
      </c>
      <c r="M385" s="254"/>
    </row>
    <row r="386" spans="1:13" ht="22.5" customHeight="1">
      <c r="A386" s="254">
        <v>358</v>
      </c>
      <c r="B386" s="254" t="s">
        <v>907</v>
      </c>
      <c r="C386" s="319" t="s">
        <v>908</v>
      </c>
      <c r="D386" s="258" t="s">
        <v>113</v>
      </c>
      <c r="E386" s="288">
        <v>2.7</v>
      </c>
      <c r="F386" s="289">
        <v>17.5</v>
      </c>
      <c r="G386" s="320">
        <f t="shared" si="54"/>
        <v>87.5</v>
      </c>
      <c r="H386" s="320">
        <f t="shared" si="55"/>
        <v>236.25000000000003</v>
      </c>
      <c r="I386" s="320">
        <v>720</v>
      </c>
      <c r="J386" s="320">
        <f t="shared" si="56"/>
        <v>1944.0000000000002</v>
      </c>
      <c r="K386" s="320">
        <f t="shared" si="57"/>
        <v>360</v>
      </c>
      <c r="L386" s="320">
        <f t="shared" si="58"/>
        <v>972.00000000000011</v>
      </c>
      <c r="M386" s="254"/>
    </row>
    <row r="387" spans="1:13" ht="22.5" customHeight="1">
      <c r="A387" s="254">
        <v>359</v>
      </c>
      <c r="B387" s="254" t="s">
        <v>909</v>
      </c>
      <c r="C387" s="319" t="s">
        <v>910</v>
      </c>
      <c r="D387" s="258" t="s">
        <v>112</v>
      </c>
      <c r="E387" s="288">
        <v>5</v>
      </c>
      <c r="F387" s="289">
        <v>23</v>
      </c>
      <c r="G387" s="320">
        <f t="shared" si="54"/>
        <v>115</v>
      </c>
      <c r="H387" s="320">
        <f t="shared" si="55"/>
        <v>575</v>
      </c>
      <c r="I387" s="320">
        <v>720</v>
      </c>
      <c r="J387" s="320">
        <f t="shared" si="56"/>
        <v>3600</v>
      </c>
      <c r="K387" s="320">
        <f t="shared" si="57"/>
        <v>360</v>
      </c>
      <c r="L387" s="320">
        <f t="shared" si="58"/>
        <v>1800</v>
      </c>
      <c r="M387" s="254"/>
    </row>
    <row r="388" spans="1:13" ht="22.5" customHeight="1">
      <c r="A388" s="254">
        <v>360</v>
      </c>
      <c r="B388" s="254" t="s">
        <v>911</v>
      </c>
      <c r="C388" s="319" t="s">
        <v>912</v>
      </c>
      <c r="D388" s="258" t="s">
        <v>113</v>
      </c>
      <c r="E388" s="288">
        <v>2.7</v>
      </c>
      <c r="F388" s="289">
        <v>17.5</v>
      </c>
      <c r="G388" s="320">
        <f t="shared" si="54"/>
        <v>87.5</v>
      </c>
      <c r="H388" s="320">
        <f t="shared" si="55"/>
        <v>236.25000000000003</v>
      </c>
      <c r="I388" s="320">
        <v>720</v>
      </c>
      <c r="J388" s="320">
        <f t="shared" si="56"/>
        <v>1944.0000000000002</v>
      </c>
      <c r="K388" s="320">
        <f t="shared" si="57"/>
        <v>360</v>
      </c>
      <c r="L388" s="320">
        <f t="shared" si="58"/>
        <v>972.00000000000011</v>
      </c>
      <c r="M388" s="254"/>
    </row>
    <row r="389" spans="1:13" ht="22.5" customHeight="1">
      <c r="A389" s="254">
        <v>361</v>
      </c>
      <c r="B389" s="254" t="s">
        <v>913</v>
      </c>
      <c r="C389" s="319" t="s">
        <v>914</v>
      </c>
      <c r="D389" s="258" t="s">
        <v>112</v>
      </c>
      <c r="E389" s="288">
        <v>5</v>
      </c>
      <c r="F389" s="289">
        <v>23</v>
      </c>
      <c r="G389" s="320">
        <f t="shared" si="54"/>
        <v>115</v>
      </c>
      <c r="H389" s="320">
        <f t="shared" si="55"/>
        <v>575</v>
      </c>
      <c r="I389" s="320">
        <v>720</v>
      </c>
      <c r="J389" s="320">
        <f t="shared" si="56"/>
        <v>3600</v>
      </c>
      <c r="K389" s="320">
        <f t="shared" si="57"/>
        <v>360</v>
      </c>
      <c r="L389" s="320">
        <f t="shared" si="58"/>
        <v>1800</v>
      </c>
      <c r="M389" s="254"/>
    </row>
    <row r="390" spans="1:13" ht="22.5" customHeight="1">
      <c r="A390" s="254">
        <v>362</v>
      </c>
      <c r="B390" s="254" t="s">
        <v>915</v>
      </c>
      <c r="C390" s="319" t="s">
        <v>916</v>
      </c>
      <c r="D390" s="258" t="s">
        <v>113</v>
      </c>
      <c r="E390" s="288">
        <v>2.7</v>
      </c>
      <c r="F390" s="289">
        <v>17.5</v>
      </c>
      <c r="G390" s="320">
        <f t="shared" si="54"/>
        <v>87.5</v>
      </c>
      <c r="H390" s="320">
        <f t="shared" si="55"/>
        <v>236.25000000000003</v>
      </c>
      <c r="I390" s="320">
        <v>720</v>
      </c>
      <c r="J390" s="320">
        <f t="shared" si="56"/>
        <v>1944.0000000000002</v>
      </c>
      <c r="K390" s="320">
        <f t="shared" si="57"/>
        <v>360</v>
      </c>
      <c r="L390" s="320">
        <f t="shared" si="58"/>
        <v>972.00000000000011</v>
      </c>
      <c r="M390" s="254"/>
    </row>
    <row r="391" spans="1:13" ht="22.5" customHeight="1">
      <c r="A391" s="254">
        <v>363</v>
      </c>
      <c r="B391" s="254" t="s">
        <v>917</v>
      </c>
      <c r="C391" s="319" t="s">
        <v>918</v>
      </c>
      <c r="D391" s="258" t="s">
        <v>112</v>
      </c>
      <c r="E391" s="288">
        <v>5</v>
      </c>
      <c r="F391" s="289">
        <v>23</v>
      </c>
      <c r="G391" s="320">
        <f t="shared" si="54"/>
        <v>115</v>
      </c>
      <c r="H391" s="320">
        <f t="shared" si="55"/>
        <v>575</v>
      </c>
      <c r="I391" s="320">
        <v>720</v>
      </c>
      <c r="J391" s="320">
        <f t="shared" si="56"/>
        <v>3600</v>
      </c>
      <c r="K391" s="320">
        <f t="shared" si="57"/>
        <v>360</v>
      </c>
      <c r="L391" s="320">
        <f t="shared" si="58"/>
        <v>1800</v>
      </c>
      <c r="M391" s="254"/>
    </row>
    <row r="392" spans="1:13" ht="22.5" customHeight="1">
      <c r="A392" s="254">
        <v>364</v>
      </c>
      <c r="B392" s="254" t="s">
        <v>919</v>
      </c>
      <c r="C392" s="319" t="s">
        <v>920</v>
      </c>
      <c r="D392" s="258" t="s">
        <v>117</v>
      </c>
      <c r="E392" s="288">
        <v>5</v>
      </c>
      <c r="F392" s="289">
        <v>34</v>
      </c>
      <c r="G392" s="320">
        <f t="shared" si="54"/>
        <v>170</v>
      </c>
      <c r="H392" s="320">
        <f t="shared" si="55"/>
        <v>850</v>
      </c>
      <c r="I392" s="321">
        <v>850</v>
      </c>
      <c r="J392" s="320">
        <f t="shared" si="56"/>
        <v>4250</v>
      </c>
      <c r="K392" s="320">
        <f t="shared" si="57"/>
        <v>425</v>
      </c>
      <c r="L392" s="320">
        <f t="shared" si="58"/>
        <v>2125</v>
      </c>
      <c r="M392" s="254"/>
    </row>
    <row r="393" spans="1:13" ht="22.5" customHeight="1">
      <c r="A393" s="254">
        <v>365</v>
      </c>
      <c r="B393" s="254" t="s">
        <v>921</v>
      </c>
      <c r="C393" s="319" t="s">
        <v>922</v>
      </c>
      <c r="D393" s="258" t="s">
        <v>112</v>
      </c>
      <c r="E393" s="288">
        <v>5</v>
      </c>
      <c r="F393" s="289">
        <v>23</v>
      </c>
      <c r="G393" s="320">
        <f t="shared" si="54"/>
        <v>115</v>
      </c>
      <c r="H393" s="320">
        <f t="shared" si="55"/>
        <v>575</v>
      </c>
      <c r="I393" s="320">
        <v>720</v>
      </c>
      <c r="J393" s="320">
        <f t="shared" si="56"/>
        <v>3600</v>
      </c>
      <c r="K393" s="320">
        <f t="shared" si="57"/>
        <v>360</v>
      </c>
      <c r="L393" s="320">
        <f t="shared" si="58"/>
        <v>1800</v>
      </c>
      <c r="M393" s="254"/>
    </row>
    <row r="394" spans="1:13" ht="22.5" customHeight="1">
      <c r="A394" s="254">
        <v>366</v>
      </c>
      <c r="B394" s="254" t="s">
        <v>923</v>
      </c>
      <c r="C394" s="319" t="s">
        <v>924</v>
      </c>
      <c r="D394" s="258" t="s">
        <v>117</v>
      </c>
      <c r="E394" s="288">
        <v>5</v>
      </c>
      <c r="F394" s="289">
        <v>34</v>
      </c>
      <c r="G394" s="320">
        <f t="shared" si="54"/>
        <v>170</v>
      </c>
      <c r="H394" s="320">
        <f t="shared" si="55"/>
        <v>850</v>
      </c>
      <c r="I394" s="321">
        <v>850</v>
      </c>
      <c r="J394" s="320">
        <f t="shared" si="56"/>
        <v>4250</v>
      </c>
      <c r="K394" s="320">
        <f t="shared" si="57"/>
        <v>425</v>
      </c>
      <c r="L394" s="320">
        <f t="shared" si="58"/>
        <v>2125</v>
      </c>
      <c r="M394" s="254"/>
    </row>
    <row r="395" spans="1:13" ht="22.5" customHeight="1">
      <c r="A395" s="254">
        <v>367</v>
      </c>
      <c r="B395" s="254" t="s">
        <v>925</v>
      </c>
      <c r="C395" s="319" t="s">
        <v>926</v>
      </c>
      <c r="D395" s="258" t="s">
        <v>112</v>
      </c>
      <c r="E395" s="288">
        <v>5</v>
      </c>
      <c r="F395" s="289">
        <v>23</v>
      </c>
      <c r="G395" s="320">
        <f t="shared" si="54"/>
        <v>115</v>
      </c>
      <c r="H395" s="320">
        <f t="shared" si="55"/>
        <v>575</v>
      </c>
      <c r="I395" s="320">
        <v>720</v>
      </c>
      <c r="J395" s="320">
        <f t="shared" si="56"/>
        <v>3600</v>
      </c>
      <c r="K395" s="320">
        <f t="shared" si="57"/>
        <v>360</v>
      </c>
      <c r="L395" s="320">
        <f t="shared" si="58"/>
        <v>1800</v>
      </c>
      <c r="M395" s="254"/>
    </row>
    <row r="396" spans="1:13" ht="22.5" customHeight="1">
      <c r="A396" s="254">
        <v>368</v>
      </c>
      <c r="B396" s="254" t="s">
        <v>927</v>
      </c>
      <c r="C396" s="319" t="s">
        <v>928</v>
      </c>
      <c r="D396" s="258" t="s">
        <v>113</v>
      </c>
      <c r="E396" s="288">
        <v>2.7</v>
      </c>
      <c r="F396" s="289">
        <v>17.5</v>
      </c>
      <c r="G396" s="320">
        <f t="shared" si="54"/>
        <v>87.5</v>
      </c>
      <c r="H396" s="320">
        <f t="shared" si="55"/>
        <v>236.25000000000003</v>
      </c>
      <c r="I396" s="320">
        <v>720</v>
      </c>
      <c r="J396" s="320">
        <f t="shared" si="56"/>
        <v>1944.0000000000002</v>
      </c>
      <c r="K396" s="320">
        <f t="shared" si="57"/>
        <v>360</v>
      </c>
      <c r="L396" s="320">
        <f t="shared" si="58"/>
        <v>972.00000000000011</v>
      </c>
      <c r="M396" s="254"/>
    </row>
    <row r="397" spans="1:13" ht="22.5" customHeight="1">
      <c r="A397" s="254">
        <v>369</v>
      </c>
      <c r="B397" s="254" t="s">
        <v>929</v>
      </c>
      <c r="C397" s="319" t="s">
        <v>930</v>
      </c>
      <c r="D397" s="258" t="s">
        <v>117</v>
      </c>
      <c r="E397" s="288">
        <v>5</v>
      </c>
      <c r="F397" s="289">
        <v>34</v>
      </c>
      <c r="G397" s="320">
        <f t="shared" si="54"/>
        <v>170</v>
      </c>
      <c r="H397" s="320">
        <f t="shared" si="55"/>
        <v>850</v>
      </c>
      <c r="I397" s="321">
        <v>850</v>
      </c>
      <c r="J397" s="320">
        <f t="shared" si="56"/>
        <v>4250</v>
      </c>
      <c r="K397" s="320">
        <f t="shared" si="57"/>
        <v>425</v>
      </c>
      <c r="L397" s="320">
        <f t="shared" si="58"/>
        <v>2125</v>
      </c>
      <c r="M397" s="254"/>
    </row>
    <row r="398" spans="1:13" ht="22.5" customHeight="1">
      <c r="A398" s="254">
        <v>370</v>
      </c>
      <c r="B398" s="254" t="s">
        <v>931</v>
      </c>
      <c r="C398" s="319" t="s">
        <v>932</v>
      </c>
      <c r="D398" s="258" t="s">
        <v>117</v>
      </c>
      <c r="E398" s="288">
        <v>5</v>
      </c>
      <c r="F398" s="289">
        <v>34</v>
      </c>
      <c r="G398" s="320">
        <f t="shared" si="54"/>
        <v>170</v>
      </c>
      <c r="H398" s="320">
        <f t="shared" si="55"/>
        <v>850</v>
      </c>
      <c r="I398" s="321">
        <v>850</v>
      </c>
      <c r="J398" s="320">
        <f t="shared" si="56"/>
        <v>4250</v>
      </c>
      <c r="K398" s="320">
        <f t="shared" si="57"/>
        <v>425</v>
      </c>
      <c r="L398" s="320">
        <f t="shared" si="58"/>
        <v>2125</v>
      </c>
      <c r="M398" s="254"/>
    </row>
    <row r="399" spans="1:13" ht="22.5" customHeight="1">
      <c r="A399" s="254">
        <v>371</v>
      </c>
      <c r="B399" s="254" t="s">
        <v>933</v>
      </c>
      <c r="C399" s="319" t="s">
        <v>934</v>
      </c>
      <c r="D399" s="258" t="s">
        <v>117</v>
      </c>
      <c r="E399" s="288">
        <v>5</v>
      </c>
      <c r="F399" s="289">
        <v>34</v>
      </c>
      <c r="G399" s="320">
        <f t="shared" si="54"/>
        <v>170</v>
      </c>
      <c r="H399" s="320">
        <f t="shared" si="55"/>
        <v>850</v>
      </c>
      <c r="I399" s="321">
        <v>850</v>
      </c>
      <c r="J399" s="320">
        <f t="shared" si="56"/>
        <v>4250</v>
      </c>
      <c r="K399" s="320">
        <f t="shared" si="57"/>
        <v>425</v>
      </c>
      <c r="L399" s="320">
        <f t="shared" si="58"/>
        <v>2125</v>
      </c>
      <c r="M399" s="254"/>
    </row>
    <row r="400" spans="1:13" ht="22.5" customHeight="1">
      <c r="A400" s="254">
        <v>372</v>
      </c>
      <c r="B400" s="254" t="s">
        <v>935</v>
      </c>
      <c r="C400" s="319" t="s">
        <v>936</v>
      </c>
      <c r="D400" s="254" t="s">
        <v>117</v>
      </c>
      <c r="E400" s="288">
        <v>3</v>
      </c>
      <c r="F400" s="289">
        <v>34</v>
      </c>
      <c r="G400" s="320">
        <v>170</v>
      </c>
      <c r="H400" s="320">
        <v>510</v>
      </c>
      <c r="I400" s="321">
        <v>850</v>
      </c>
      <c r="J400" s="320">
        <v>2550</v>
      </c>
      <c r="K400" s="320">
        <v>425</v>
      </c>
      <c r="L400" s="320">
        <v>1275</v>
      </c>
      <c r="M400" s="254"/>
    </row>
    <row r="401" spans="1:13" ht="22.5" customHeight="1">
      <c r="A401" s="254">
        <v>373</v>
      </c>
      <c r="B401" s="254" t="s">
        <v>937</v>
      </c>
      <c r="C401" s="319" t="s">
        <v>938</v>
      </c>
      <c r="D401" s="258" t="s">
        <v>112</v>
      </c>
      <c r="E401" s="288">
        <v>5</v>
      </c>
      <c r="F401" s="289">
        <v>23</v>
      </c>
      <c r="G401" s="320">
        <f>F401*5</f>
        <v>115</v>
      </c>
      <c r="H401" s="320">
        <f>E401*G401</f>
        <v>575</v>
      </c>
      <c r="I401" s="320">
        <v>720</v>
      </c>
      <c r="J401" s="320">
        <f>I401*E401</f>
        <v>3600</v>
      </c>
      <c r="K401" s="320">
        <f>I401/2</f>
        <v>360</v>
      </c>
      <c r="L401" s="320">
        <f>K401*E401</f>
        <v>1800</v>
      </c>
      <c r="M401" s="254"/>
    </row>
    <row r="402" spans="1:13" ht="22.5" customHeight="1">
      <c r="A402" s="936" t="s">
        <v>318</v>
      </c>
      <c r="B402" s="931"/>
      <c r="C402" s="932"/>
      <c r="D402" s="322">
        <f>COUNTA(D326:D401)</f>
        <v>76</v>
      </c>
      <c r="E402" s="312">
        <f>SUM(E326:E401)</f>
        <v>362.2999999999999</v>
      </c>
      <c r="F402" s="311"/>
      <c r="G402" s="311"/>
      <c r="H402" s="323">
        <f>SUM(H326:H401)</f>
        <v>48816.75</v>
      </c>
      <c r="I402" s="311"/>
      <c r="J402" s="311"/>
      <c r="K402" s="311"/>
      <c r="L402" s="311"/>
      <c r="M402" s="311"/>
    </row>
    <row r="403" spans="1:13" ht="16.8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</row>
    <row r="404" spans="1:13" ht="16.8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</row>
    <row r="405" spans="1:13" ht="13.2">
      <c r="A405" s="930" t="s">
        <v>35</v>
      </c>
      <c r="B405" s="931"/>
      <c r="C405" s="931"/>
      <c r="D405" s="931"/>
      <c r="E405" s="931"/>
      <c r="F405" s="931"/>
      <c r="G405" s="931"/>
      <c r="H405" s="931"/>
      <c r="I405" s="931"/>
      <c r="J405" s="931"/>
      <c r="K405" s="931"/>
      <c r="L405" s="931"/>
      <c r="M405" s="932"/>
    </row>
    <row r="406" spans="1:13" ht="22.5" customHeight="1">
      <c r="A406" s="253" t="s">
        <v>165</v>
      </c>
      <c r="B406" s="282" t="s">
        <v>166</v>
      </c>
      <c r="C406" s="282" t="s">
        <v>167</v>
      </c>
      <c r="D406" s="255" t="s">
        <v>168</v>
      </c>
      <c r="E406" s="283" t="s">
        <v>169</v>
      </c>
      <c r="F406" s="284" t="s">
        <v>939</v>
      </c>
      <c r="G406" s="285" t="s">
        <v>940</v>
      </c>
      <c r="H406" s="255" t="s">
        <v>172</v>
      </c>
      <c r="I406" s="286" t="s">
        <v>941</v>
      </c>
      <c r="J406" s="286" t="s">
        <v>942</v>
      </c>
      <c r="K406" s="282" t="s">
        <v>175</v>
      </c>
      <c r="L406" s="282" t="s">
        <v>943</v>
      </c>
      <c r="M406" s="287" t="s">
        <v>177</v>
      </c>
    </row>
    <row r="407" spans="1:13" ht="22.5" customHeight="1">
      <c r="A407" s="254">
        <v>374</v>
      </c>
      <c r="B407" s="254" t="s">
        <v>944</v>
      </c>
      <c r="C407" s="254" t="s">
        <v>945</v>
      </c>
      <c r="D407" s="254" t="s">
        <v>126</v>
      </c>
      <c r="E407" s="288">
        <v>5</v>
      </c>
      <c r="F407" s="289">
        <v>28</v>
      </c>
      <c r="G407" s="290">
        <f t="shared" ref="G407:G432" si="61">F407*5</f>
        <v>140</v>
      </c>
      <c r="H407" s="290">
        <f t="shared" ref="H407:H432" si="62">E407*G407</f>
        <v>700</v>
      </c>
      <c r="I407" s="290">
        <v>800</v>
      </c>
      <c r="J407" s="320">
        <f t="shared" ref="J407:J432" si="63">I407*E407</f>
        <v>4000</v>
      </c>
      <c r="K407" s="320">
        <f t="shared" ref="K407:K432" si="64">I407/2</f>
        <v>400</v>
      </c>
      <c r="L407" s="320">
        <f t="shared" ref="L407:L432" si="65">K407*E407</f>
        <v>2000</v>
      </c>
      <c r="M407" s="254"/>
    </row>
    <row r="408" spans="1:13" ht="22.5" customHeight="1">
      <c r="A408" s="254">
        <v>375</v>
      </c>
      <c r="B408" s="254" t="s">
        <v>946</v>
      </c>
      <c r="C408" s="254" t="s">
        <v>947</v>
      </c>
      <c r="D408" s="254" t="s">
        <v>113</v>
      </c>
      <c r="E408" s="288">
        <v>5</v>
      </c>
      <c r="F408" s="289">
        <v>20</v>
      </c>
      <c r="G408" s="290">
        <f t="shared" si="61"/>
        <v>100</v>
      </c>
      <c r="H408" s="290">
        <f t="shared" si="62"/>
        <v>500</v>
      </c>
      <c r="I408" s="290">
        <v>720</v>
      </c>
      <c r="J408" s="320">
        <f t="shared" si="63"/>
        <v>3600</v>
      </c>
      <c r="K408" s="320">
        <f t="shared" si="64"/>
        <v>360</v>
      </c>
      <c r="L408" s="320">
        <f t="shared" si="65"/>
        <v>1800</v>
      </c>
      <c r="M408" s="254"/>
    </row>
    <row r="409" spans="1:13" ht="22.5" customHeight="1">
      <c r="A409" s="254">
        <v>376</v>
      </c>
      <c r="B409" s="254" t="s">
        <v>948</v>
      </c>
      <c r="C409" s="254" t="s">
        <v>949</v>
      </c>
      <c r="D409" s="254" t="s">
        <v>950</v>
      </c>
      <c r="E409" s="288">
        <v>5</v>
      </c>
      <c r="F409" s="289">
        <v>32</v>
      </c>
      <c r="G409" s="290">
        <f t="shared" si="61"/>
        <v>160</v>
      </c>
      <c r="H409" s="290">
        <f t="shared" si="62"/>
        <v>800</v>
      </c>
      <c r="I409" s="290">
        <f>G409*5</f>
        <v>800</v>
      </c>
      <c r="J409" s="320">
        <f t="shared" si="63"/>
        <v>4000</v>
      </c>
      <c r="K409" s="320">
        <f t="shared" si="64"/>
        <v>400</v>
      </c>
      <c r="L409" s="320">
        <f t="shared" si="65"/>
        <v>2000</v>
      </c>
      <c r="M409" s="254"/>
    </row>
    <row r="410" spans="1:13" ht="22.5" customHeight="1">
      <c r="A410" s="254">
        <v>377</v>
      </c>
      <c r="B410" s="254" t="s">
        <v>951</v>
      </c>
      <c r="C410" s="254" t="s">
        <v>952</v>
      </c>
      <c r="D410" s="254" t="s">
        <v>115</v>
      </c>
      <c r="E410" s="288">
        <v>5</v>
      </c>
      <c r="F410" s="289">
        <v>28</v>
      </c>
      <c r="G410" s="290">
        <f t="shared" si="61"/>
        <v>140</v>
      </c>
      <c r="H410" s="290">
        <f t="shared" si="62"/>
        <v>700</v>
      </c>
      <c r="I410" s="290">
        <v>800</v>
      </c>
      <c r="J410" s="320">
        <f t="shared" si="63"/>
        <v>4000</v>
      </c>
      <c r="K410" s="320">
        <f t="shared" si="64"/>
        <v>400</v>
      </c>
      <c r="L410" s="320">
        <f t="shared" si="65"/>
        <v>2000</v>
      </c>
      <c r="M410" s="254"/>
    </row>
    <row r="411" spans="1:13" ht="22.5" customHeight="1">
      <c r="A411" s="254">
        <v>378</v>
      </c>
      <c r="B411" s="254" t="s">
        <v>953</v>
      </c>
      <c r="C411" s="254" t="s">
        <v>954</v>
      </c>
      <c r="D411" s="254" t="s">
        <v>115</v>
      </c>
      <c r="E411" s="288">
        <v>5</v>
      </c>
      <c r="F411" s="289">
        <v>28</v>
      </c>
      <c r="G411" s="290">
        <f t="shared" si="61"/>
        <v>140</v>
      </c>
      <c r="H411" s="290">
        <f t="shared" si="62"/>
        <v>700</v>
      </c>
      <c r="I411" s="290">
        <v>800</v>
      </c>
      <c r="J411" s="320">
        <f t="shared" si="63"/>
        <v>4000</v>
      </c>
      <c r="K411" s="320">
        <f t="shared" si="64"/>
        <v>400</v>
      </c>
      <c r="L411" s="320">
        <f t="shared" si="65"/>
        <v>2000</v>
      </c>
      <c r="M411" s="254"/>
    </row>
    <row r="412" spans="1:13" ht="22.5" customHeight="1">
      <c r="A412" s="254">
        <v>379</v>
      </c>
      <c r="B412" s="254" t="s">
        <v>955</v>
      </c>
      <c r="C412" s="254" t="s">
        <v>956</v>
      </c>
      <c r="D412" s="254" t="s">
        <v>115</v>
      </c>
      <c r="E412" s="288">
        <v>5</v>
      </c>
      <c r="F412" s="289">
        <v>28</v>
      </c>
      <c r="G412" s="290">
        <f t="shared" si="61"/>
        <v>140</v>
      </c>
      <c r="H412" s="290">
        <f t="shared" si="62"/>
        <v>700</v>
      </c>
      <c r="I412" s="290">
        <v>800</v>
      </c>
      <c r="J412" s="320">
        <f t="shared" si="63"/>
        <v>4000</v>
      </c>
      <c r="K412" s="320">
        <f t="shared" si="64"/>
        <v>400</v>
      </c>
      <c r="L412" s="320">
        <f t="shared" si="65"/>
        <v>2000</v>
      </c>
      <c r="M412" s="254"/>
    </row>
    <row r="413" spans="1:13" ht="22.5" customHeight="1">
      <c r="A413" s="254">
        <v>380</v>
      </c>
      <c r="B413" s="254" t="s">
        <v>957</v>
      </c>
      <c r="C413" s="254" t="s">
        <v>958</v>
      </c>
      <c r="D413" s="254" t="s">
        <v>115</v>
      </c>
      <c r="E413" s="288">
        <v>5</v>
      </c>
      <c r="F413" s="289">
        <v>28</v>
      </c>
      <c r="G413" s="290">
        <f t="shared" si="61"/>
        <v>140</v>
      </c>
      <c r="H413" s="290">
        <f t="shared" si="62"/>
        <v>700</v>
      </c>
      <c r="I413" s="290">
        <v>800</v>
      </c>
      <c r="J413" s="320">
        <f t="shared" si="63"/>
        <v>4000</v>
      </c>
      <c r="K413" s="320">
        <f t="shared" si="64"/>
        <v>400</v>
      </c>
      <c r="L413" s="320">
        <f t="shared" si="65"/>
        <v>2000</v>
      </c>
      <c r="M413" s="254"/>
    </row>
    <row r="414" spans="1:13" ht="22.5" customHeight="1">
      <c r="A414" s="254">
        <v>381</v>
      </c>
      <c r="B414" s="254" t="s">
        <v>959</v>
      </c>
      <c r="C414" s="254" t="s">
        <v>960</v>
      </c>
      <c r="D414" s="254" t="s">
        <v>115</v>
      </c>
      <c r="E414" s="288">
        <v>5</v>
      </c>
      <c r="F414" s="289">
        <v>28</v>
      </c>
      <c r="G414" s="290">
        <f t="shared" si="61"/>
        <v>140</v>
      </c>
      <c r="H414" s="290">
        <f t="shared" si="62"/>
        <v>700</v>
      </c>
      <c r="I414" s="290">
        <v>800</v>
      </c>
      <c r="J414" s="320">
        <f t="shared" si="63"/>
        <v>4000</v>
      </c>
      <c r="K414" s="320">
        <f t="shared" si="64"/>
        <v>400</v>
      </c>
      <c r="L414" s="320">
        <f t="shared" si="65"/>
        <v>2000</v>
      </c>
      <c r="M414" s="254"/>
    </row>
    <row r="415" spans="1:13" ht="22.5" customHeight="1">
      <c r="A415" s="254">
        <v>382</v>
      </c>
      <c r="B415" s="254" t="s">
        <v>961</v>
      </c>
      <c r="C415" s="254" t="s">
        <v>962</v>
      </c>
      <c r="D415" s="254" t="s">
        <v>115</v>
      </c>
      <c r="E415" s="288">
        <v>5</v>
      </c>
      <c r="F415" s="289">
        <v>28</v>
      </c>
      <c r="G415" s="290">
        <f t="shared" si="61"/>
        <v>140</v>
      </c>
      <c r="H415" s="290">
        <f t="shared" si="62"/>
        <v>700</v>
      </c>
      <c r="I415" s="290">
        <v>800</v>
      </c>
      <c r="J415" s="320">
        <f t="shared" si="63"/>
        <v>4000</v>
      </c>
      <c r="K415" s="320">
        <f t="shared" si="64"/>
        <v>400</v>
      </c>
      <c r="L415" s="320">
        <f t="shared" si="65"/>
        <v>2000</v>
      </c>
      <c r="M415" s="254"/>
    </row>
    <row r="416" spans="1:13" ht="22.5" customHeight="1">
      <c r="A416" s="254">
        <v>383</v>
      </c>
      <c r="B416" s="254" t="s">
        <v>963</v>
      </c>
      <c r="C416" s="254" t="s">
        <v>964</v>
      </c>
      <c r="D416" s="254" t="s">
        <v>115</v>
      </c>
      <c r="E416" s="288">
        <v>5</v>
      </c>
      <c r="F416" s="289">
        <v>28</v>
      </c>
      <c r="G416" s="290">
        <f t="shared" si="61"/>
        <v>140</v>
      </c>
      <c r="H416" s="290">
        <f t="shared" si="62"/>
        <v>700</v>
      </c>
      <c r="I416" s="290">
        <v>800</v>
      </c>
      <c r="J416" s="320">
        <f t="shared" si="63"/>
        <v>4000</v>
      </c>
      <c r="K416" s="320">
        <f t="shared" si="64"/>
        <v>400</v>
      </c>
      <c r="L416" s="320">
        <f t="shared" si="65"/>
        <v>2000</v>
      </c>
      <c r="M416" s="254"/>
    </row>
    <row r="417" spans="1:13" ht="22.5" customHeight="1">
      <c r="A417" s="254">
        <v>384</v>
      </c>
      <c r="B417" s="254" t="s">
        <v>965</v>
      </c>
      <c r="C417" s="254" t="s">
        <v>966</v>
      </c>
      <c r="D417" s="254" t="s">
        <v>115</v>
      </c>
      <c r="E417" s="288">
        <v>5</v>
      </c>
      <c r="F417" s="289">
        <v>28</v>
      </c>
      <c r="G417" s="290">
        <f t="shared" si="61"/>
        <v>140</v>
      </c>
      <c r="H417" s="290">
        <f t="shared" si="62"/>
        <v>700</v>
      </c>
      <c r="I417" s="290">
        <v>800</v>
      </c>
      <c r="J417" s="320">
        <f t="shared" si="63"/>
        <v>4000</v>
      </c>
      <c r="K417" s="320">
        <f t="shared" si="64"/>
        <v>400</v>
      </c>
      <c r="L417" s="320">
        <f t="shared" si="65"/>
        <v>2000</v>
      </c>
      <c r="M417" s="254"/>
    </row>
    <row r="418" spans="1:13" ht="22.5" customHeight="1">
      <c r="A418" s="254">
        <v>385</v>
      </c>
      <c r="B418" s="254" t="s">
        <v>967</v>
      </c>
      <c r="C418" s="254" t="s">
        <v>968</v>
      </c>
      <c r="D418" s="254" t="s">
        <v>115</v>
      </c>
      <c r="E418" s="288">
        <v>5</v>
      </c>
      <c r="F418" s="289">
        <v>28</v>
      </c>
      <c r="G418" s="290">
        <f t="shared" si="61"/>
        <v>140</v>
      </c>
      <c r="H418" s="290">
        <f t="shared" si="62"/>
        <v>700</v>
      </c>
      <c r="I418" s="290">
        <v>800</v>
      </c>
      <c r="J418" s="320">
        <f t="shared" si="63"/>
        <v>4000</v>
      </c>
      <c r="K418" s="320">
        <f t="shared" si="64"/>
        <v>400</v>
      </c>
      <c r="L418" s="320">
        <f t="shared" si="65"/>
        <v>2000</v>
      </c>
      <c r="M418" s="254"/>
    </row>
    <row r="419" spans="1:13" ht="22.5" customHeight="1">
      <c r="A419" s="254">
        <v>386</v>
      </c>
      <c r="B419" s="254" t="s">
        <v>969</v>
      </c>
      <c r="C419" s="254" t="s">
        <v>970</v>
      </c>
      <c r="D419" s="254" t="s">
        <v>115</v>
      </c>
      <c r="E419" s="288">
        <v>5</v>
      </c>
      <c r="F419" s="289">
        <v>28</v>
      </c>
      <c r="G419" s="290">
        <f t="shared" si="61"/>
        <v>140</v>
      </c>
      <c r="H419" s="290">
        <f t="shared" si="62"/>
        <v>700</v>
      </c>
      <c r="I419" s="290">
        <v>800</v>
      </c>
      <c r="J419" s="320">
        <f t="shared" si="63"/>
        <v>4000</v>
      </c>
      <c r="K419" s="320">
        <f t="shared" si="64"/>
        <v>400</v>
      </c>
      <c r="L419" s="320">
        <f t="shared" si="65"/>
        <v>2000</v>
      </c>
      <c r="M419" s="254"/>
    </row>
    <row r="420" spans="1:13" ht="22.5" customHeight="1">
      <c r="A420" s="254">
        <v>387</v>
      </c>
      <c r="B420" s="254" t="s">
        <v>971</v>
      </c>
      <c r="C420" s="254" t="s">
        <v>972</v>
      </c>
      <c r="D420" s="254" t="s">
        <v>115</v>
      </c>
      <c r="E420" s="288">
        <v>5</v>
      </c>
      <c r="F420" s="289">
        <v>28</v>
      </c>
      <c r="G420" s="290">
        <f t="shared" si="61"/>
        <v>140</v>
      </c>
      <c r="H420" s="290">
        <f t="shared" si="62"/>
        <v>700</v>
      </c>
      <c r="I420" s="290">
        <v>800</v>
      </c>
      <c r="J420" s="320">
        <f t="shared" si="63"/>
        <v>4000</v>
      </c>
      <c r="K420" s="320">
        <f t="shared" si="64"/>
        <v>400</v>
      </c>
      <c r="L420" s="320">
        <f t="shared" si="65"/>
        <v>2000</v>
      </c>
      <c r="M420" s="254"/>
    </row>
    <row r="421" spans="1:13" ht="22.5" customHeight="1">
      <c r="A421" s="254">
        <v>388</v>
      </c>
      <c r="B421" s="254" t="s">
        <v>973</v>
      </c>
      <c r="C421" s="254" t="s">
        <v>974</v>
      </c>
      <c r="D421" s="254" t="s">
        <v>112</v>
      </c>
      <c r="E421" s="288">
        <v>5</v>
      </c>
      <c r="F421" s="289">
        <v>28</v>
      </c>
      <c r="G421" s="290">
        <f t="shared" si="61"/>
        <v>140</v>
      </c>
      <c r="H421" s="290">
        <f t="shared" si="62"/>
        <v>700</v>
      </c>
      <c r="I421" s="290">
        <v>720</v>
      </c>
      <c r="J421" s="320">
        <f t="shared" si="63"/>
        <v>3600</v>
      </c>
      <c r="K421" s="320">
        <f t="shared" si="64"/>
        <v>360</v>
      </c>
      <c r="L421" s="320">
        <f t="shared" si="65"/>
        <v>1800</v>
      </c>
      <c r="M421" s="254"/>
    </row>
    <row r="422" spans="1:13" ht="22.5" customHeight="1">
      <c r="A422" s="254">
        <v>389</v>
      </c>
      <c r="B422" s="254" t="s">
        <v>975</v>
      </c>
      <c r="C422" s="254" t="s">
        <v>976</v>
      </c>
      <c r="D422" s="254" t="s">
        <v>112</v>
      </c>
      <c r="E422" s="288">
        <v>5</v>
      </c>
      <c r="F422" s="289">
        <v>28</v>
      </c>
      <c r="G422" s="290">
        <f t="shared" si="61"/>
        <v>140</v>
      </c>
      <c r="H422" s="290">
        <f t="shared" si="62"/>
        <v>700</v>
      </c>
      <c r="I422" s="290">
        <v>720</v>
      </c>
      <c r="J422" s="320">
        <f t="shared" si="63"/>
        <v>3600</v>
      </c>
      <c r="K422" s="320">
        <f t="shared" si="64"/>
        <v>360</v>
      </c>
      <c r="L422" s="320">
        <f t="shared" si="65"/>
        <v>1800</v>
      </c>
      <c r="M422" s="254"/>
    </row>
    <row r="423" spans="1:13" ht="22.5" customHeight="1">
      <c r="A423" s="254">
        <v>390</v>
      </c>
      <c r="B423" s="254" t="s">
        <v>977</v>
      </c>
      <c r="C423" s="254" t="s">
        <v>978</v>
      </c>
      <c r="D423" s="254" t="s">
        <v>112</v>
      </c>
      <c r="E423" s="288">
        <v>3.4</v>
      </c>
      <c r="F423" s="289">
        <v>28</v>
      </c>
      <c r="G423" s="290">
        <f t="shared" si="61"/>
        <v>140</v>
      </c>
      <c r="H423" s="290">
        <f t="shared" si="62"/>
        <v>476</v>
      </c>
      <c r="I423" s="290">
        <v>720</v>
      </c>
      <c r="J423" s="320">
        <f t="shared" si="63"/>
        <v>2448</v>
      </c>
      <c r="K423" s="320">
        <f t="shared" si="64"/>
        <v>360</v>
      </c>
      <c r="L423" s="320">
        <f t="shared" si="65"/>
        <v>1224</v>
      </c>
      <c r="M423" s="254"/>
    </row>
    <row r="424" spans="1:13" ht="22.5" customHeight="1">
      <c r="A424" s="254">
        <v>391</v>
      </c>
      <c r="B424" s="254" t="s">
        <v>979</v>
      </c>
      <c r="C424" s="254" t="s">
        <v>980</v>
      </c>
      <c r="D424" s="254" t="s">
        <v>112</v>
      </c>
      <c r="E424" s="288">
        <v>5</v>
      </c>
      <c r="F424" s="289">
        <v>28</v>
      </c>
      <c r="G424" s="290">
        <f t="shared" si="61"/>
        <v>140</v>
      </c>
      <c r="H424" s="290">
        <f t="shared" si="62"/>
        <v>700</v>
      </c>
      <c r="I424" s="290">
        <v>720</v>
      </c>
      <c r="J424" s="320">
        <f t="shared" si="63"/>
        <v>3600</v>
      </c>
      <c r="K424" s="320">
        <f t="shared" si="64"/>
        <v>360</v>
      </c>
      <c r="L424" s="320">
        <f t="shared" si="65"/>
        <v>1800</v>
      </c>
      <c r="M424" s="254"/>
    </row>
    <row r="425" spans="1:13" ht="22.5" customHeight="1">
      <c r="A425" s="254">
        <v>392</v>
      </c>
      <c r="B425" s="254" t="s">
        <v>981</v>
      </c>
      <c r="C425" s="254" t="s">
        <v>982</v>
      </c>
      <c r="D425" s="254" t="s">
        <v>115</v>
      </c>
      <c r="E425" s="288">
        <v>5</v>
      </c>
      <c r="F425" s="289">
        <v>28</v>
      </c>
      <c r="G425" s="290">
        <f t="shared" si="61"/>
        <v>140</v>
      </c>
      <c r="H425" s="290">
        <f t="shared" si="62"/>
        <v>700</v>
      </c>
      <c r="I425" s="290">
        <v>800</v>
      </c>
      <c r="J425" s="320">
        <f t="shared" si="63"/>
        <v>4000</v>
      </c>
      <c r="K425" s="320">
        <f t="shared" si="64"/>
        <v>400</v>
      </c>
      <c r="L425" s="320">
        <f t="shared" si="65"/>
        <v>2000</v>
      </c>
      <c r="M425" s="254"/>
    </row>
    <row r="426" spans="1:13" ht="22.5" customHeight="1">
      <c r="A426" s="254">
        <v>393</v>
      </c>
      <c r="B426" s="254" t="s">
        <v>983</v>
      </c>
      <c r="C426" s="254" t="s">
        <v>984</v>
      </c>
      <c r="D426" s="254" t="s">
        <v>112</v>
      </c>
      <c r="E426" s="288">
        <v>5</v>
      </c>
      <c r="F426" s="289">
        <v>28</v>
      </c>
      <c r="G426" s="290">
        <f t="shared" si="61"/>
        <v>140</v>
      </c>
      <c r="H426" s="290">
        <f t="shared" si="62"/>
        <v>700</v>
      </c>
      <c r="I426" s="290">
        <v>720</v>
      </c>
      <c r="J426" s="320">
        <f t="shared" si="63"/>
        <v>3600</v>
      </c>
      <c r="K426" s="320">
        <f t="shared" si="64"/>
        <v>360</v>
      </c>
      <c r="L426" s="320">
        <f t="shared" si="65"/>
        <v>1800</v>
      </c>
      <c r="M426" s="254"/>
    </row>
    <row r="427" spans="1:13" ht="22.5" customHeight="1">
      <c r="A427" s="254">
        <v>394</v>
      </c>
      <c r="B427" s="254" t="s">
        <v>985</v>
      </c>
      <c r="C427" s="254" t="s">
        <v>986</v>
      </c>
      <c r="D427" s="254" t="s">
        <v>112</v>
      </c>
      <c r="E427" s="288">
        <v>5</v>
      </c>
      <c r="F427" s="289">
        <v>28</v>
      </c>
      <c r="G427" s="290">
        <f t="shared" si="61"/>
        <v>140</v>
      </c>
      <c r="H427" s="290">
        <f t="shared" si="62"/>
        <v>700</v>
      </c>
      <c r="I427" s="290">
        <v>720</v>
      </c>
      <c r="J427" s="320">
        <f t="shared" si="63"/>
        <v>3600</v>
      </c>
      <c r="K427" s="320">
        <f t="shared" si="64"/>
        <v>360</v>
      </c>
      <c r="L427" s="320">
        <f t="shared" si="65"/>
        <v>1800</v>
      </c>
      <c r="M427" s="254"/>
    </row>
    <row r="428" spans="1:13" ht="22.5" customHeight="1">
      <c r="A428" s="254">
        <v>395</v>
      </c>
      <c r="B428" s="254" t="s">
        <v>987</v>
      </c>
      <c r="C428" s="254" t="s">
        <v>988</v>
      </c>
      <c r="D428" s="254" t="s">
        <v>112</v>
      </c>
      <c r="E428" s="288">
        <v>5</v>
      </c>
      <c r="F428" s="289">
        <v>28</v>
      </c>
      <c r="G428" s="290">
        <f t="shared" si="61"/>
        <v>140</v>
      </c>
      <c r="H428" s="290">
        <f t="shared" si="62"/>
        <v>700</v>
      </c>
      <c r="I428" s="290">
        <v>720</v>
      </c>
      <c r="J428" s="320">
        <f t="shared" si="63"/>
        <v>3600</v>
      </c>
      <c r="K428" s="320">
        <f t="shared" si="64"/>
        <v>360</v>
      </c>
      <c r="L428" s="320">
        <f t="shared" si="65"/>
        <v>1800</v>
      </c>
      <c r="M428" s="254"/>
    </row>
    <row r="429" spans="1:13" ht="22.5" customHeight="1">
      <c r="A429" s="254">
        <v>396</v>
      </c>
      <c r="B429" s="254" t="s">
        <v>989</v>
      </c>
      <c r="C429" s="254" t="s">
        <v>990</v>
      </c>
      <c r="D429" s="254" t="s">
        <v>112</v>
      </c>
      <c r="E429" s="288">
        <v>5</v>
      </c>
      <c r="F429" s="289">
        <v>28</v>
      </c>
      <c r="G429" s="290">
        <f t="shared" si="61"/>
        <v>140</v>
      </c>
      <c r="H429" s="290">
        <f t="shared" si="62"/>
        <v>700</v>
      </c>
      <c r="I429" s="290">
        <v>720</v>
      </c>
      <c r="J429" s="320">
        <f t="shared" si="63"/>
        <v>3600</v>
      </c>
      <c r="K429" s="320">
        <f t="shared" si="64"/>
        <v>360</v>
      </c>
      <c r="L429" s="320">
        <f t="shared" si="65"/>
        <v>1800</v>
      </c>
      <c r="M429" s="254"/>
    </row>
    <row r="430" spans="1:13" ht="22.5" customHeight="1">
      <c r="A430" s="254">
        <v>397</v>
      </c>
      <c r="B430" s="254" t="s">
        <v>991</v>
      </c>
      <c r="C430" s="254" t="s">
        <v>992</v>
      </c>
      <c r="D430" s="254" t="s">
        <v>112</v>
      </c>
      <c r="E430" s="288">
        <v>5</v>
      </c>
      <c r="F430" s="289">
        <v>28</v>
      </c>
      <c r="G430" s="290">
        <f t="shared" si="61"/>
        <v>140</v>
      </c>
      <c r="H430" s="290">
        <f t="shared" si="62"/>
        <v>700</v>
      </c>
      <c r="I430" s="290">
        <v>720</v>
      </c>
      <c r="J430" s="320">
        <f t="shared" si="63"/>
        <v>3600</v>
      </c>
      <c r="K430" s="320">
        <f t="shared" si="64"/>
        <v>360</v>
      </c>
      <c r="L430" s="320">
        <f t="shared" si="65"/>
        <v>1800</v>
      </c>
      <c r="M430" s="254"/>
    </row>
    <row r="431" spans="1:13" ht="22.5" customHeight="1">
      <c r="A431" s="254">
        <v>398</v>
      </c>
      <c r="B431" s="254" t="s">
        <v>993</v>
      </c>
      <c r="C431" s="254" t="s">
        <v>994</v>
      </c>
      <c r="D431" s="254" t="s">
        <v>126</v>
      </c>
      <c r="E431" s="288">
        <v>5</v>
      </c>
      <c r="F431" s="289">
        <v>28</v>
      </c>
      <c r="G431" s="290">
        <f t="shared" si="61"/>
        <v>140</v>
      </c>
      <c r="H431" s="290">
        <f t="shared" si="62"/>
        <v>700</v>
      </c>
      <c r="I431" s="290">
        <v>800</v>
      </c>
      <c r="J431" s="320">
        <f t="shared" si="63"/>
        <v>4000</v>
      </c>
      <c r="K431" s="320">
        <f t="shared" si="64"/>
        <v>400</v>
      </c>
      <c r="L431" s="320">
        <f t="shared" si="65"/>
        <v>2000</v>
      </c>
      <c r="M431" s="254"/>
    </row>
    <row r="432" spans="1:13" ht="22.5" customHeight="1">
      <c r="A432" s="254">
        <v>399</v>
      </c>
      <c r="B432" s="254" t="s">
        <v>995</v>
      </c>
      <c r="C432" s="254" t="s">
        <v>996</v>
      </c>
      <c r="D432" s="254" t="s">
        <v>114</v>
      </c>
      <c r="E432" s="288">
        <v>5</v>
      </c>
      <c r="F432" s="289">
        <v>20</v>
      </c>
      <c r="G432" s="290">
        <f t="shared" si="61"/>
        <v>100</v>
      </c>
      <c r="H432" s="290">
        <f t="shared" si="62"/>
        <v>500</v>
      </c>
      <c r="I432" s="290">
        <v>720</v>
      </c>
      <c r="J432" s="320">
        <f t="shared" si="63"/>
        <v>3600</v>
      </c>
      <c r="K432" s="320">
        <f t="shared" si="64"/>
        <v>360</v>
      </c>
      <c r="L432" s="320">
        <f t="shared" si="65"/>
        <v>1800</v>
      </c>
      <c r="M432" s="254"/>
    </row>
    <row r="433" spans="1:13" ht="22.5" customHeight="1">
      <c r="A433" s="254">
        <v>400</v>
      </c>
      <c r="B433" s="254" t="s">
        <v>997</v>
      </c>
      <c r="C433" s="254" t="s">
        <v>998</v>
      </c>
      <c r="D433" s="254" t="s">
        <v>114</v>
      </c>
      <c r="E433" s="288">
        <v>5</v>
      </c>
      <c r="F433" s="289">
        <v>20</v>
      </c>
      <c r="G433" s="290">
        <v>100</v>
      </c>
      <c r="H433" s="290">
        <v>500</v>
      </c>
      <c r="I433" s="290">
        <v>720</v>
      </c>
      <c r="J433" s="320">
        <v>3600</v>
      </c>
      <c r="K433" s="320">
        <v>360</v>
      </c>
      <c r="L433" s="320">
        <v>1800</v>
      </c>
      <c r="M433" s="254"/>
    </row>
    <row r="434" spans="1:13" ht="22.5" customHeight="1">
      <c r="A434" s="254">
        <v>401</v>
      </c>
      <c r="B434" s="254" t="s">
        <v>999</v>
      </c>
      <c r="C434" s="254" t="s">
        <v>1000</v>
      </c>
      <c r="D434" s="254" t="s">
        <v>114</v>
      </c>
      <c r="E434" s="288">
        <v>5</v>
      </c>
      <c r="F434" s="289">
        <v>28</v>
      </c>
      <c r="G434" s="290">
        <f>F434*5</f>
        <v>140</v>
      </c>
      <c r="H434" s="290">
        <f>E434*G434</f>
        <v>700</v>
      </c>
      <c r="I434" s="290">
        <v>720</v>
      </c>
      <c r="J434" s="320">
        <f>I434*E434</f>
        <v>3600</v>
      </c>
      <c r="K434" s="320">
        <f>I434/2</f>
        <v>360</v>
      </c>
      <c r="L434" s="320">
        <f>K434*E434</f>
        <v>1800</v>
      </c>
      <c r="M434" s="254"/>
    </row>
    <row r="435" spans="1:13" ht="22.5" customHeight="1">
      <c r="A435" s="254">
        <v>402</v>
      </c>
      <c r="B435" s="254" t="s">
        <v>1001</v>
      </c>
      <c r="C435" s="254" t="s">
        <v>1002</v>
      </c>
      <c r="D435" s="254" t="s">
        <v>118</v>
      </c>
      <c r="E435" s="288">
        <v>5</v>
      </c>
      <c r="F435" s="289">
        <v>28</v>
      </c>
      <c r="G435" s="290">
        <v>140</v>
      </c>
      <c r="H435" s="290">
        <v>700</v>
      </c>
      <c r="I435" s="290">
        <v>800</v>
      </c>
      <c r="J435" s="320">
        <v>4000</v>
      </c>
      <c r="K435" s="320">
        <v>400</v>
      </c>
      <c r="L435" s="320">
        <v>2000</v>
      </c>
      <c r="M435" s="254"/>
    </row>
    <row r="436" spans="1:13" ht="22.5" customHeight="1">
      <c r="A436" s="254">
        <v>403</v>
      </c>
      <c r="B436" s="254" t="s">
        <v>1003</v>
      </c>
      <c r="C436" s="254" t="s">
        <v>1004</v>
      </c>
      <c r="D436" s="254" t="s">
        <v>114</v>
      </c>
      <c r="E436" s="288">
        <v>5</v>
      </c>
      <c r="F436" s="289">
        <v>20</v>
      </c>
      <c r="G436" s="290">
        <f t="shared" ref="G436:G440" si="66">F436*5</f>
        <v>100</v>
      </c>
      <c r="H436" s="290">
        <f t="shared" ref="H436:H440" si="67">E436*G436</f>
        <v>500</v>
      </c>
      <c r="I436" s="290">
        <v>720</v>
      </c>
      <c r="J436" s="320">
        <f t="shared" ref="J436:J440" si="68">I436*E436</f>
        <v>3600</v>
      </c>
      <c r="K436" s="320">
        <f t="shared" ref="K436:K440" si="69">I436/2</f>
        <v>360</v>
      </c>
      <c r="L436" s="320">
        <f t="shared" ref="L436:L440" si="70">K436*E436</f>
        <v>1800</v>
      </c>
      <c r="M436" s="254"/>
    </row>
    <row r="437" spans="1:13" ht="22.5" customHeight="1">
      <c r="A437" s="254">
        <v>404</v>
      </c>
      <c r="B437" s="254" t="s">
        <v>1005</v>
      </c>
      <c r="C437" s="254" t="s">
        <v>1006</v>
      </c>
      <c r="D437" s="254" t="s">
        <v>114</v>
      </c>
      <c r="E437" s="288">
        <v>5</v>
      </c>
      <c r="F437" s="289">
        <v>20</v>
      </c>
      <c r="G437" s="290">
        <f t="shared" si="66"/>
        <v>100</v>
      </c>
      <c r="H437" s="290">
        <f t="shared" si="67"/>
        <v>500</v>
      </c>
      <c r="I437" s="290">
        <v>720</v>
      </c>
      <c r="J437" s="320">
        <f t="shared" si="68"/>
        <v>3600</v>
      </c>
      <c r="K437" s="320">
        <f t="shared" si="69"/>
        <v>360</v>
      </c>
      <c r="L437" s="320">
        <f t="shared" si="70"/>
        <v>1800</v>
      </c>
      <c r="M437" s="254"/>
    </row>
    <row r="438" spans="1:13" ht="22.5" customHeight="1">
      <c r="A438" s="254">
        <v>405</v>
      </c>
      <c r="B438" s="254" t="s">
        <v>1007</v>
      </c>
      <c r="C438" s="254" t="s">
        <v>1008</v>
      </c>
      <c r="D438" s="254" t="s">
        <v>127</v>
      </c>
      <c r="E438" s="288">
        <v>5.2</v>
      </c>
      <c r="F438" s="289">
        <v>28</v>
      </c>
      <c r="G438" s="290">
        <f t="shared" si="66"/>
        <v>140</v>
      </c>
      <c r="H438" s="290">
        <f t="shared" si="67"/>
        <v>728</v>
      </c>
      <c r="I438" s="290">
        <v>720</v>
      </c>
      <c r="J438" s="320">
        <f t="shared" si="68"/>
        <v>3744</v>
      </c>
      <c r="K438" s="320">
        <f t="shared" si="69"/>
        <v>360</v>
      </c>
      <c r="L438" s="320">
        <f t="shared" si="70"/>
        <v>1872</v>
      </c>
      <c r="M438" s="254"/>
    </row>
    <row r="439" spans="1:13" ht="22.5" customHeight="1">
      <c r="A439" s="254">
        <v>406</v>
      </c>
      <c r="B439" s="254" t="s">
        <v>1009</v>
      </c>
      <c r="C439" s="254" t="s">
        <v>1010</v>
      </c>
      <c r="D439" s="254" t="s">
        <v>114</v>
      </c>
      <c r="E439" s="288">
        <v>5</v>
      </c>
      <c r="F439" s="289">
        <v>20</v>
      </c>
      <c r="G439" s="290">
        <f t="shared" si="66"/>
        <v>100</v>
      </c>
      <c r="H439" s="290">
        <f t="shared" si="67"/>
        <v>500</v>
      </c>
      <c r="I439" s="290">
        <v>720</v>
      </c>
      <c r="J439" s="320">
        <f t="shared" si="68"/>
        <v>3600</v>
      </c>
      <c r="K439" s="320">
        <f t="shared" si="69"/>
        <v>360</v>
      </c>
      <c r="L439" s="320">
        <f t="shared" si="70"/>
        <v>1800</v>
      </c>
      <c r="M439" s="254"/>
    </row>
    <row r="440" spans="1:13" ht="22.5" customHeight="1">
      <c r="A440" s="254">
        <v>407</v>
      </c>
      <c r="B440" s="254" t="s">
        <v>1011</v>
      </c>
      <c r="C440" s="254" t="s">
        <v>1012</v>
      </c>
      <c r="D440" s="254" t="s">
        <v>114</v>
      </c>
      <c r="E440" s="288">
        <v>5</v>
      </c>
      <c r="F440" s="289">
        <v>20</v>
      </c>
      <c r="G440" s="290">
        <f t="shared" si="66"/>
        <v>100</v>
      </c>
      <c r="H440" s="290">
        <f t="shared" si="67"/>
        <v>500</v>
      </c>
      <c r="I440" s="290">
        <v>720</v>
      </c>
      <c r="J440" s="320">
        <f t="shared" si="68"/>
        <v>3600</v>
      </c>
      <c r="K440" s="320">
        <f t="shared" si="69"/>
        <v>360</v>
      </c>
      <c r="L440" s="320">
        <f t="shared" si="70"/>
        <v>1800</v>
      </c>
      <c r="M440" s="254"/>
    </row>
    <row r="441" spans="1:13" ht="22.5" customHeight="1">
      <c r="A441" s="254">
        <v>408</v>
      </c>
      <c r="B441" s="254" t="s">
        <v>1013</v>
      </c>
      <c r="C441" s="254" t="s">
        <v>1014</v>
      </c>
      <c r="D441" s="254" t="s">
        <v>114</v>
      </c>
      <c r="E441" s="288">
        <v>4.5</v>
      </c>
      <c r="F441" s="289">
        <v>20</v>
      </c>
      <c r="G441" s="290">
        <v>100</v>
      </c>
      <c r="H441" s="290">
        <v>450</v>
      </c>
      <c r="I441" s="290">
        <v>720</v>
      </c>
      <c r="J441" s="320">
        <v>3240</v>
      </c>
      <c r="K441" s="320">
        <v>360</v>
      </c>
      <c r="L441" s="320">
        <v>1620</v>
      </c>
      <c r="M441" s="254"/>
    </row>
    <row r="442" spans="1:13" ht="22.5" customHeight="1">
      <c r="A442" s="254">
        <v>409</v>
      </c>
      <c r="B442" s="254" t="s">
        <v>1015</v>
      </c>
      <c r="C442" s="254" t="s">
        <v>1016</v>
      </c>
      <c r="D442" s="254" t="s">
        <v>112</v>
      </c>
      <c r="E442" s="288">
        <v>5</v>
      </c>
      <c r="F442" s="289">
        <v>28</v>
      </c>
      <c r="G442" s="290">
        <f t="shared" ref="G442:G447" si="71">F442*5</f>
        <v>140</v>
      </c>
      <c r="H442" s="290">
        <f t="shared" ref="H442:H447" si="72">E442*G442</f>
        <v>700</v>
      </c>
      <c r="I442" s="290">
        <v>800</v>
      </c>
      <c r="J442" s="320">
        <f t="shared" ref="J442:J447" si="73">I442*E442</f>
        <v>4000</v>
      </c>
      <c r="K442" s="320">
        <f t="shared" ref="K442:K447" si="74">I442/2</f>
        <v>400</v>
      </c>
      <c r="L442" s="320">
        <f t="shared" ref="L442:L447" si="75">K442*E442</f>
        <v>2000</v>
      </c>
      <c r="M442" s="254"/>
    </row>
    <row r="443" spans="1:13" ht="22.5" customHeight="1">
      <c r="A443" s="254">
        <v>410</v>
      </c>
      <c r="B443" s="254" t="s">
        <v>1017</v>
      </c>
      <c r="C443" s="254" t="s">
        <v>1018</v>
      </c>
      <c r="D443" s="254" t="s">
        <v>118</v>
      </c>
      <c r="E443" s="288">
        <v>5</v>
      </c>
      <c r="F443" s="289">
        <v>34</v>
      </c>
      <c r="G443" s="290">
        <f t="shared" si="71"/>
        <v>170</v>
      </c>
      <c r="H443" s="290">
        <f t="shared" si="72"/>
        <v>850</v>
      </c>
      <c r="I443" s="290">
        <v>800</v>
      </c>
      <c r="J443" s="320">
        <f t="shared" si="73"/>
        <v>4000</v>
      </c>
      <c r="K443" s="320">
        <f t="shared" si="74"/>
        <v>400</v>
      </c>
      <c r="L443" s="320">
        <f t="shared" si="75"/>
        <v>2000</v>
      </c>
      <c r="M443" s="254"/>
    </row>
    <row r="444" spans="1:13" ht="22.5" customHeight="1">
      <c r="A444" s="254">
        <v>411</v>
      </c>
      <c r="B444" s="254" t="s">
        <v>1019</v>
      </c>
      <c r="C444" s="254" t="s">
        <v>1020</v>
      </c>
      <c r="D444" s="254" t="s">
        <v>118</v>
      </c>
      <c r="E444" s="288">
        <v>5</v>
      </c>
      <c r="F444" s="289">
        <v>34</v>
      </c>
      <c r="G444" s="290">
        <f t="shared" si="71"/>
        <v>170</v>
      </c>
      <c r="H444" s="290">
        <f t="shared" si="72"/>
        <v>850</v>
      </c>
      <c r="I444" s="290">
        <v>800</v>
      </c>
      <c r="J444" s="320">
        <f t="shared" si="73"/>
        <v>4000</v>
      </c>
      <c r="K444" s="320">
        <f t="shared" si="74"/>
        <v>400</v>
      </c>
      <c r="L444" s="320">
        <f t="shared" si="75"/>
        <v>2000</v>
      </c>
      <c r="M444" s="254"/>
    </row>
    <row r="445" spans="1:13" ht="22.5" customHeight="1">
      <c r="A445" s="254">
        <v>412</v>
      </c>
      <c r="B445" s="254" t="s">
        <v>1021</v>
      </c>
      <c r="C445" s="254" t="s">
        <v>1022</v>
      </c>
      <c r="D445" s="254" t="s">
        <v>118</v>
      </c>
      <c r="E445" s="288">
        <v>5</v>
      </c>
      <c r="F445" s="289">
        <v>34</v>
      </c>
      <c r="G445" s="290">
        <f t="shared" si="71"/>
        <v>170</v>
      </c>
      <c r="H445" s="290">
        <f t="shared" si="72"/>
        <v>850</v>
      </c>
      <c r="I445" s="290">
        <v>800</v>
      </c>
      <c r="J445" s="320">
        <f t="shared" si="73"/>
        <v>4000</v>
      </c>
      <c r="K445" s="320">
        <f t="shared" si="74"/>
        <v>400</v>
      </c>
      <c r="L445" s="320">
        <f t="shared" si="75"/>
        <v>2000</v>
      </c>
      <c r="M445" s="254"/>
    </row>
    <row r="446" spans="1:13" ht="22.5" customHeight="1">
      <c r="A446" s="254">
        <v>413</v>
      </c>
      <c r="B446" s="254" t="s">
        <v>1023</v>
      </c>
      <c r="C446" s="254" t="s">
        <v>1024</v>
      </c>
      <c r="D446" s="254" t="s">
        <v>118</v>
      </c>
      <c r="E446" s="288">
        <v>6.2</v>
      </c>
      <c r="F446" s="289">
        <v>34</v>
      </c>
      <c r="G446" s="290">
        <f t="shared" si="71"/>
        <v>170</v>
      </c>
      <c r="H446" s="290">
        <f t="shared" si="72"/>
        <v>1054</v>
      </c>
      <c r="I446" s="290">
        <v>800</v>
      </c>
      <c r="J446" s="320">
        <f t="shared" si="73"/>
        <v>4960</v>
      </c>
      <c r="K446" s="320">
        <f t="shared" si="74"/>
        <v>400</v>
      </c>
      <c r="L446" s="320">
        <f t="shared" si="75"/>
        <v>2480</v>
      </c>
      <c r="M446" s="254"/>
    </row>
    <row r="447" spans="1:13" ht="22.5" customHeight="1">
      <c r="A447" s="254">
        <v>414</v>
      </c>
      <c r="B447" s="254" t="s">
        <v>1025</v>
      </c>
      <c r="C447" s="254" t="s">
        <v>1026</v>
      </c>
      <c r="D447" s="254" t="s">
        <v>118</v>
      </c>
      <c r="E447" s="288">
        <v>6</v>
      </c>
      <c r="F447" s="289">
        <v>34</v>
      </c>
      <c r="G447" s="290">
        <f t="shared" si="71"/>
        <v>170</v>
      </c>
      <c r="H447" s="290">
        <f t="shared" si="72"/>
        <v>1020</v>
      </c>
      <c r="I447" s="290">
        <v>800</v>
      </c>
      <c r="J447" s="320">
        <f t="shared" si="73"/>
        <v>4800</v>
      </c>
      <c r="K447" s="320">
        <f t="shared" si="74"/>
        <v>400</v>
      </c>
      <c r="L447" s="320">
        <f t="shared" si="75"/>
        <v>2400</v>
      </c>
      <c r="M447" s="254"/>
    </row>
    <row r="448" spans="1:13" ht="22.5" customHeight="1">
      <c r="A448" s="936" t="s">
        <v>318</v>
      </c>
      <c r="B448" s="931"/>
      <c r="C448" s="932"/>
      <c r="D448" s="311">
        <f>COUNTA(NELL_A[QUALITY])</f>
        <v>41</v>
      </c>
      <c r="E448" s="312">
        <f>SUM(E407:E447)</f>
        <v>205.29999999999998</v>
      </c>
      <c r="F448" s="311"/>
      <c r="G448" s="311"/>
      <c r="H448" s="315">
        <f>SUM(H407:H447)</f>
        <v>28078</v>
      </c>
      <c r="I448" s="311"/>
      <c r="J448" s="311"/>
      <c r="K448" s="311"/>
      <c r="L448" s="311"/>
      <c r="M448" s="311"/>
    </row>
    <row r="449" spans="1:13" ht="16.8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</row>
    <row r="450" spans="1:13" ht="16.8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</row>
    <row r="451" spans="1:13" ht="13.2">
      <c r="A451" s="930" t="s">
        <v>36</v>
      </c>
      <c r="B451" s="931"/>
      <c r="C451" s="931"/>
      <c r="D451" s="931"/>
      <c r="E451" s="931"/>
      <c r="F451" s="931"/>
      <c r="G451" s="931"/>
      <c r="H451" s="931"/>
      <c r="I451" s="931"/>
      <c r="J451" s="931"/>
      <c r="K451" s="931"/>
      <c r="L451" s="931"/>
      <c r="M451" s="932"/>
    </row>
    <row r="452" spans="1:13" ht="22.5" customHeight="1">
      <c r="A452" s="253" t="s">
        <v>165</v>
      </c>
      <c r="B452" s="282" t="s">
        <v>166</v>
      </c>
      <c r="C452" s="282" t="s">
        <v>167</v>
      </c>
      <c r="D452" s="255" t="s">
        <v>168</v>
      </c>
      <c r="E452" s="283" t="s">
        <v>169</v>
      </c>
      <c r="F452" s="284" t="s">
        <v>1027</v>
      </c>
      <c r="G452" s="285" t="s">
        <v>1028</v>
      </c>
      <c r="H452" s="255" t="s">
        <v>172</v>
      </c>
      <c r="I452" s="286" t="s">
        <v>1029</v>
      </c>
      <c r="J452" s="286" t="s">
        <v>1030</v>
      </c>
      <c r="K452" s="282" t="s">
        <v>175</v>
      </c>
      <c r="L452" s="282" t="s">
        <v>1031</v>
      </c>
      <c r="M452" s="287" t="s">
        <v>177</v>
      </c>
    </row>
    <row r="453" spans="1:13" ht="22.5" customHeight="1">
      <c r="A453" s="254">
        <v>415</v>
      </c>
      <c r="B453" s="254" t="s">
        <v>1032</v>
      </c>
      <c r="C453" s="254" t="s">
        <v>1033</v>
      </c>
      <c r="D453" s="254" t="s">
        <v>112</v>
      </c>
      <c r="E453" s="288">
        <v>5</v>
      </c>
      <c r="F453" s="289">
        <v>23</v>
      </c>
      <c r="G453" s="320">
        <f t="shared" ref="G453:G474" si="76">F453*5</f>
        <v>115</v>
      </c>
      <c r="H453" s="320">
        <f t="shared" ref="H453:H474" si="77">E453*G453</f>
        <v>575</v>
      </c>
      <c r="I453" s="320">
        <v>720</v>
      </c>
      <c r="J453" s="320">
        <f t="shared" ref="J453:J474" si="78">I453*E453</f>
        <v>3600</v>
      </c>
      <c r="K453" s="320">
        <f t="shared" ref="K453:K474" si="79">I453/2</f>
        <v>360</v>
      </c>
      <c r="L453" s="320">
        <f t="shared" ref="L453:L474" si="80">K453*E453</f>
        <v>1800</v>
      </c>
      <c r="M453" s="254"/>
    </row>
    <row r="454" spans="1:13" ht="22.5" customHeight="1">
      <c r="A454" s="254">
        <v>416</v>
      </c>
      <c r="B454" s="254" t="s">
        <v>1034</v>
      </c>
      <c r="C454" s="254" t="s">
        <v>1035</v>
      </c>
      <c r="D454" s="254" t="s">
        <v>113</v>
      </c>
      <c r="E454" s="288">
        <v>5</v>
      </c>
      <c r="F454" s="289">
        <v>19</v>
      </c>
      <c r="G454" s="320">
        <f t="shared" si="76"/>
        <v>95</v>
      </c>
      <c r="H454" s="320">
        <f t="shared" si="77"/>
        <v>475</v>
      </c>
      <c r="I454" s="320">
        <v>720</v>
      </c>
      <c r="J454" s="320">
        <f t="shared" si="78"/>
        <v>3600</v>
      </c>
      <c r="K454" s="320">
        <f t="shared" si="79"/>
        <v>360</v>
      </c>
      <c r="L454" s="320">
        <f t="shared" si="80"/>
        <v>1800</v>
      </c>
      <c r="M454" s="254"/>
    </row>
    <row r="455" spans="1:13" ht="22.5" customHeight="1">
      <c r="A455" s="254">
        <v>417</v>
      </c>
      <c r="B455" s="254" t="s">
        <v>1036</v>
      </c>
      <c r="C455" s="254" t="s">
        <v>1037</v>
      </c>
      <c r="D455" s="254" t="s">
        <v>112</v>
      </c>
      <c r="E455" s="288">
        <v>5</v>
      </c>
      <c r="F455" s="289">
        <v>23</v>
      </c>
      <c r="G455" s="320">
        <f t="shared" si="76"/>
        <v>115</v>
      </c>
      <c r="H455" s="320">
        <f t="shared" si="77"/>
        <v>575</v>
      </c>
      <c r="I455" s="320">
        <v>720</v>
      </c>
      <c r="J455" s="320">
        <f t="shared" si="78"/>
        <v>3600</v>
      </c>
      <c r="K455" s="320">
        <f t="shared" si="79"/>
        <v>360</v>
      </c>
      <c r="L455" s="320">
        <f t="shared" si="80"/>
        <v>1800</v>
      </c>
      <c r="M455" s="254"/>
    </row>
    <row r="456" spans="1:13" ht="22.5" customHeight="1">
      <c r="A456" s="254">
        <v>418</v>
      </c>
      <c r="B456" s="254" t="s">
        <v>1038</v>
      </c>
      <c r="C456" s="254" t="s">
        <v>1039</v>
      </c>
      <c r="D456" s="254" t="s">
        <v>113</v>
      </c>
      <c r="E456" s="288">
        <v>5</v>
      </c>
      <c r="F456" s="289">
        <v>19</v>
      </c>
      <c r="G456" s="320">
        <f t="shared" si="76"/>
        <v>95</v>
      </c>
      <c r="H456" s="320">
        <f t="shared" si="77"/>
        <v>475</v>
      </c>
      <c r="I456" s="320">
        <v>720</v>
      </c>
      <c r="J456" s="320">
        <f t="shared" si="78"/>
        <v>3600</v>
      </c>
      <c r="K456" s="320">
        <f t="shared" si="79"/>
        <v>360</v>
      </c>
      <c r="L456" s="320">
        <f t="shared" si="80"/>
        <v>1800</v>
      </c>
      <c r="M456" s="254"/>
    </row>
    <row r="457" spans="1:13" ht="22.5" customHeight="1">
      <c r="A457" s="254">
        <v>419</v>
      </c>
      <c r="B457" s="254" t="s">
        <v>1040</v>
      </c>
      <c r="C457" s="254" t="s">
        <v>1041</v>
      </c>
      <c r="D457" s="254" t="s">
        <v>112</v>
      </c>
      <c r="E457" s="288">
        <v>5</v>
      </c>
      <c r="F457" s="289">
        <v>23</v>
      </c>
      <c r="G457" s="320">
        <f t="shared" si="76"/>
        <v>115</v>
      </c>
      <c r="H457" s="320">
        <f t="shared" si="77"/>
        <v>575</v>
      </c>
      <c r="I457" s="320">
        <v>720</v>
      </c>
      <c r="J457" s="320">
        <f t="shared" si="78"/>
        <v>3600</v>
      </c>
      <c r="K457" s="320">
        <f t="shared" si="79"/>
        <v>360</v>
      </c>
      <c r="L457" s="320">
        <f t="shared" si="80"/>
        <v>1800</v>
      </c>
      <c r="M457" s="254"/>
    </row>
    <row r="458" spans="1:13" ht="22.5" customHeight="1">
      <c r="A458" s="254">
        <v>420</v>
      </c>
      <c r="B458" s="254" t="s">
        <v>1042</v>
      </c>
      <c r="C458" s="254" t="s">
        <v>1043</v>
      </c>
      <c r="D458" s="254" t="s">
        <v>113</v>
      </c>
      <c r="E458" s="288">
        <v>5</v>
      </c>
      <c r="F458" s="289">
        <v>19</v>
      </c>
      <c r="G458" s="320">
        <f t="shared" si="76"/>
        <v>95</v>
      </c>
      <c r="H458" s="320">
        <f t="shared" si="77"/>
        <v>475</v>
      </c>
      <c r="I458" s="320">
        <v>720</v>
      </c>
      <c r="J458" s="320">
        <f t="shared" si="78"/>
        <v>3600</v>
      </c>
      <c r="K458" s="320">
        <f t="shared" si="79"/>
        <v>360</v>
      </c>
      <c r="L458" s="320">
        <f t="shared" si="80"/>
        <v>1800</v>
      </c>
      <c r="M458" s="254"/>
    </row>
    <row r="459" spans="1:13" ht="22.5" customHeight="1">
      <c r="A459" s="254">
        <v>421</v>
      </c>
      <c r="B459" s="254" t="s">
        <v>1044</v>
      </c>
      <c r="C459" s="254" t="s">
        <v>1045</v>
      </c>
      <c r="D459" s="254" t="s">
        <v>112</v>
      </c>
      <c r="E459" s="288">
        <v>5</v>
      </c>
      <c r="F459" s="289">
        <v>23</v>
      </c>
      <c r="G459" s="320">
        <f t="shared" si="76"/>
        <v>115</v>
      </c>
      <c r="H459" s="320">
        <f t="shared" si="77"/>
        <v>575</v>
      </c>
      <c r="I459" s="320">
        <v>720</v>
      </c>
      <c r="J459" s="320">
        <f t="shared" si="78"/>
        <v>3600</v>
      </c>
      <c r="K459" s="320">
        <f t="shared" si="79"/>
        <v>360</v>
      </c>
      <c r="L459" s="320">
        <f t="shared" si="80"/>
        <v>1800</v>
      </c>
      <c r="M459" s="254"/>
    </row>
    <row r="460" spans="1:13" ht="22.5" customHeight="1">
      <c r="A460" s="254">
        <v>422</v>
      </c>
      <c r="B460" s="254" t="s">
        <v>1046</v>
      </c>
      <c r="C460" s="254" t="s">
        <v>1047</v>
      </c>
      <c r="D460" s="254" t="s">
        <v>113</v>
      </c>
      <c r="E460" s="288">
        <v>5</v>
      </c>
      <c r="F460" s="289">
        <v>19</v>
      </c>
      <c r="G460" s="320">
        <f t="shared" si="76"/>
        <v>95</v>
      </c>
      <c r="H460" s="320">
        <f t="shared" si="77"/>
        <v>475</v>
      </c>
      <c r="I460" s="320">
        <v>720</v>
      </c>
      <c r="J460" s="320">
        <f t="shared" si="78"/>
        <v>3600</v>
      </c>
      <c r="K460" s="320">
        <f t="shared" si="79"/>
        <v>360</v>
      </c>
      <c r="L460" s="320">
        <f t="shared" si="80"/>
        <v>1800</v>
      </c>
      <c r="M460" s="254"/>
    </row>
    <row r="461" spans="1:13" ht="22.5" customHeight="1">
      <c r="A461" s="254">
        <v>423</v>
      </c>
      <c r="B461" s="254" t="s">
        <v>1048</v>
      </c>
      <c r="C461" s="254" t="s">
        <v>1049</v>
      </c>
      <c r="D461" s="254" t="s">
        <v>112</v>
      </c>
      <c r="E461" s="288">
        <v>5</v>
      </c>
      <c r="F461" s="289">
        <v>23</v>
      </c>
      <c r="G461" s="320">
        <f t="shared" si="76"/>
        <v>115</v>
      </c>
      <c r="H461" s="320">
        <f t="shared" si="77"/>
        <v>575</v>
      </c>
      <c r="I461" s="320">
        <v>720</v>
      </c>
      <c r="J461" s="320">
        <f t="shared" si="78"/>
        <v>3600</v>
      </c>
      <c r="K461" s="320">
        <f t="shared" si="79"/>
        <v>360</v>
      </c>
      <c r="L461" s="320">
        <f t="shared" si="80"/>
        <v>1800</v>
      </c>
      <c r="M461" s="254"/>
    </row>
    <row r="462" spans="1:13" ht="22.5" customHeight="1">
      <c r="A462" s="254">
        <v>424</v>
      </c>
      <c r="B462" s="254" t="s">
        <v>1050</v>
      </c>
      <c r="C462" s="254" t="s">
        <v>1051</v>
      </c>
      <c r="D462" s="254" t="s">
        <v>113</v>
      </c>
      <c r="E462" s="288">
        <v>5</v>
      </c>
      <c r="F462" s="289">
        <v>19</v>
      </c>
      <c r="G462" s="320">
        <f t="shared" si="76"/>
        <v>95</v>
      </c>
      <c r="H462" s="320">
        <f t="shared" si="77"/>
        <v>475</v>
      </c>
      <c r="I462" s="320">
        <v>720</v>
      </c>
      <c r="J462" s="320">
        <f t="shared" si="78"/>
        <v>3600</v>
      </c>
      <c r="K462" s="320">
        <f t="shared" si="79"/>
        <v>360</v>
      </c>
      <c r="L462" s="320">
        <f t="shared" si="80"/>
        <v>1800</v>
      </c>
      <c r="M462" s="254"/>
    </row>
    <row r="463" spans="1:13" ht="22.5" customHeight="1">
      <c r="A463" s="254">
        <v>425</v>
      </c>
      <c r="B463" s="254" t="s">
        <v>1052</v>
      </c>
      <c r="C463" s="254" t="s">
        <v>1053</v>
      </c>
      <c r="D463" s="254" t="s">
        <v>112</v>
      </c>
      <c r="E463" s="288">
        <v>5</v>
      </c>
      <c r="F463" s="289">
        <v>23</v>
      </c>
      <c r="G463" s="320">
        <f t="shared" si="76"/>
        <v>115</v>
      </c>
      <c r="H463" s="320">
        <f t="shared" si="77"/>
        <v>575</v>
      </c>
      <c r="I463" s="320">
        <v>720</v>
      </c>
      <c r="J463" s="320">
        <f t="shared" si="78"/>
        <v>3600</v>
      </c>
      <c r="K463" s="320">
        <f t="shared" si="79"/>
        <v>360</v>
      </c>
      <c r="L463" s="320">
        <f t="shared" si="80"/>
        <v>1800</v>
      </c>
      <c r="M463" s="254"/>
    </row>
    <row r="464" spans="1:13" ht="22.5" customHeight="1">
      <c r="A464" s="254">
        <v>426</v>
      </c>
      <c r="B464" s="254" t="s">
        <v>1054</v>
      </c>
      <c r="C464" s="254" t="s">
        <v>1055</v>
      </c>
      <c r="D464" s="254" t="s">
        <v>113</v>
      </c>
      <c r="E464" s="288">
        <v>5</v>
      </c>
      <c r="F464" s="289">
        <v>19</v>
      </c>
      <c r="G464" s="320">
        <f t="shared" si="76"/>
        <v>95</v>
      </c>
      <c r="H464" s="320">
        <f t="shared" si="77"/>
        <v>475</v>
      </c>
      <c r="I464" s="320">
        <v>720</v>
      </c>
      <c r="J464" s="320">
        <f t="shared" si="78"/>
        <v>3600</v>
      </c>
      <c r="K464" s="320">
        <f t="shared" si="79"/>
        <v>360</v>
      </c>
      <c r="L464" s="320">
        <f t="shared" si="80"/>
        <v>1800</v>
      </c>
      <c r="M464" s="254"/>
    </row>
    <row r="465" spans="1:13" ht="22.5" customHeight="1">
      <c r="A465" s="254">
        <v>427</v>
      </c>
      <c r="B465" s="254" t="s">
        <v>1056</v>
      </c>
      <c r="C465" s="254" t="s">
        <v>1057</v>
      </c>
      <c r="D465" s="254" t="s">
        <v>112</v>
      </c>
      <c r="E465" s="288">
        <v>5</v>
      </c>
      <c r="F465" s="289">
        <v>23</v>
      </c>
      <c r="G465" s="320">
        <f t="shared" si="76"/>
        <v>115</v>
      </c>
      <c r="H465" s="320">
        <f t="shared" si="77"/>
        <v>575</v>
      </c>
      <c r="I465" s="320">
        <v>720</v>
      </c>
      <c r="J465" s="320">
        <f t="shared" si="78"/>
        <v>3600</v>
      </c>
      <c r="K465" s="320">
        <f t="shared" si="79"/>
        <v>360</v>
      </c>
      <c r="L465" s="320">
        <f t="shared" si="80"/>
        <v>1800</v>
      </c>
      <c r="M465" s="254"/>
    </row>
    <row r="466" spans="1:13" ht="22.5" customHeight="1">
      <c r="A466" s="254">
        <v>428</v>
      </c>
      <c r="B466" s="254" t="s">
        <v>1058</v>
      </c>
      <c r="C466" s="254" t="s">
        <v>1059</v>
      </c>
      <c r="D466" s="254" t="s">
        <v>112</v>
      </c>
      <c r="E466" s="288">
        <v>5</v>
      </c>
      <c r="F466" s="289">
        <v>23</v>
      </c>
      <c r="G466" s="320">
        <f t="shared" si="76"/>
        <v>115</v>
      </c>
      <c r="H466" s="320">
        <f t="shared" si="77"/>
        <v>575</v>
      </c>
      <c r="I466" s="320">
        <v>720</v>
      </c>
      <c r="J466" s="320">
        <f t="shared" si="78"/>
        <v>3600</v>
      </c>
      <c r="K466" s="320">
        <f t="shared" si="79"/>
        <v>360</v>
      </c>
      <c r="L466" s="320">
        <f t="shared" si="80"/>
        <v>1800</v>
      </c>
      <c r="M466" s="254"/>
    </row>
    <row r="467" spans="1:13" ht="22.5" customHeight="1">
      <c r="A467" s="254">
        <v>429</v>
      </c>
      <c r="B467" s="254" t="s">
        <v>1060</v>
      </c>
      <c r="C467" s="254" t="s">
        <v>1061</v>
      </c>
      <c r="D467" s="254" t="s">
        <v>112</v>
      </c>
      <c r="E467" s="288">
        <v>5</v>
      </c>
      <c r="F467" s="289">
        <v>23</v>
      </c>
      <c r="G467" s="320">
        <f t="shared" si="76"/>
        <v>115</v>
      </c>
      <c r="H467" s="320">
        <f t="shared" si="77"/>
        <v>575</v>
      </c>
      <c r="I467" s="320">
        <v>720</v>
      </c>
      <c r="J467" s="320">
        <f t="shared" si="78"/>
        <v>3600</v>
      </c>
      <c r="K467" s="320">
        <f t="shared" si="79"/>
        <v>360</v>
      </c>
      <c r="L467" s="320">
        <f t="shared" si="80"/>
        <v>1800</v>
      </c>
      <c r="M467" s="254"/>
    </row>
    <row r="468" spans="1:13" ht="22.5" customHeight="1">
      <c r="A468" s="254">
        <v>430</v>
      </c>
      <c r="B468" s="254" t="s">
        <v>1062</v>
      </c>
      <c r="C468" s="254" t="s">
        <v>1063</v>
      </c>
      <c r="D468" s="254" t="s">
        <v>112</v>
      </c>
      <c r="E468" s="288">
        <v>5</v>
      </c>
      <c r="F468" s="289">
        <v>23</v>
      </c>
      <c r="G468" s="320">
        <f t="shared" si="76"/>
        <v>115</v>
      </c>
      <c r="H468" s="320">
        <f t="shared" si="77"/>
        <v>575</v>
      </c>
      <c r="I468" s="320">
        <v>720</v>
      </c>
      <c r="J468" s="320">
        <f t="shared" si="78"/>
        <v>3600</v>
      </c>
      <c r="K468" s="320">
        <f t="shared" si="79"/>
        <v>360</v>
      </c>
      <c r="L468" s="320">
        <f t="shared" si="80"/>
        <v>1800</v>
      </c>
      <c r="M468" s="254"/>
    </row>
    <row r="469" spans="1:13" ht="22.5" customHeight="1">
      <c r="A469" s="254">
        <v>431</v>
      </c>
      <c r="B469" s="254" t="s">
        <v>1064</v>
      </c>
      <c r="C469" s="254" t="s">
        <v>1065</v>
      </c>
      <c r="D469" s="254" t="s">
        <v>112</v>
      </c>
      <c r="E469" s="288">
        <v>5</v>
      </c>
      <c r="F469" s="289">
        <v>23</v>
      </c>
      <c r="G469" s="320">
        <f t="shared" si="76"/>
        <v>115</v>
      </c>
      <c r="H469" s="320">
        <f t="shared" si="77"/>
        <v>575</v>
      </c>
      <c r="I469" s="320">
        <v>720</v>
      </c>
      <c r="J469" s="320">
        <f t="shared" si="78"/>
        <v>3600</v>
      </c>
      <c r="K469" s="320">
        <f t="shared" si="79"/>
        <v>360</v>
      </c>
      <c r="L469" s="320">
        <f t="shared" si="80"/>
        <v>1800</v>
      </c>
      <c r="M469" s="254"/>
    </row>
    <row r="470" spans="1:13" ht="22.5" customHeight="1">
      <c r="A470" s="254">
        <v>432</v>
      </c>
      <c r="B470" s="254" t="s">
        <v>1066</v>
      </c>
      <c r="C470" s="254" t="s">
        <v>1067</v>
      </c>
      <c r="D470" s="254" t="s">
        <v>113</v>
      </c>
      <c r="E470" s="288">
        <v>5</v>
      </c>
      <c r="F470" s="289">
        <v>19</v>
      </c>
      <c r="G470" s="320">
        <f t="shared" si="76"/>
        <v>95</v>
      </c>
      <c r="H470" s="320">
        <f t="shared" si="77"/>
        <v>475</v>
      </c>
      <c r="I470" s="320">
        <v>720</v>
      </c>
      <c r="J470" s="320">
        <f t="shared" si="78"/>
        <v>3600</v>
      </c>
      <c r="K470" s="320">
        <f t="shared" si="79"/>
        <v>360</v>
      </c>
      <c r="L470" s="320">
        <f t="shared" si="80"/>
        <v>1800</v>
      </c>
      <c r="M470" s="254"/>
    </row>
    <row r="471" spans="1:13" ht="22.5" customHeight="1">
      <c r="A471" s="254">
        <v>433</v>
      </c>
      <c r="B471" s="254" t="s">
        <v>1068</v>
      </c>
      <c r="C471" s="254" t="s">
        <v>1069</v>
      </c>
      <c r="D471" s="254" t="s">
        <v>112</v>
      </c>
      <c r="E471" s="288">
        <v>5</v>
      </c>
      <c r="F471" s="289">
        <v>23</v>
      </c>
      <c r="G471" s="320">
        <f t="shared" si="76"/>
        <v>115</v>
      </c>
      <c r="H471" s="320">
        <f t="shared" si="77"/>
        <v>575</v>
      </c>
      <c r="I471" s="320">
        <v>720</v>
      </c>
      <c r="J471" s="320">
        <f t="shared" si="78"/>
        <v>3600</v>
      </c>
      <c r="K471" s="320">
        <f t="shared" si="79"/>
        <v>360</v>
      </c>
      <c r="L471" s="320">
        <f t="shared" si="80"/>
        <v>1800</v>
      </c>
      <c r="M471" s="254"/>
    </row>
    <row r="472" spans="1:13" ht="22.5" customHeight="1">
      <c r="A472" s="254">
        <v>434</v>
      </c>
      <c r="B472" s="254" t="s">
        <v>1070</v>
      </c>
      <c r="C472" s="254" t="s">
        <v>1071</v>
      </c>
      <c r="D472" s="254" t="s">
        <v>113</v>
      </c>
      <c r="E472" s="288">
        <v>5</v>
      </c>
      <c r="F472" s="289">
        <v>19</v>
      </c>
      <c r="G472" s="320">
        <f t="shared" si="76"/>
        <v>95</v>
      </c>
      <c r="H472" s="320">
        <f t="shared" si="77"/>
        <v>475</v>
      </c>
      <c r="I472" s="320">
        <v>720</v>
      </c>
      <c r="J472" s="320">
        <f t="shared" si="78"/>
        <v>3600</v>
      </c>
      <c r="K472" s="320">
        <f t="shared" si="79"/>
        <v>360</v>
      </c>
      <c r="L472" s="320">
        <f t="shared" si="80"/>
        <v>1800</v>
      </c>
      <c r="M472" s="254"/>
    </row>
    <row r="473" spans="1:13" ht="22.5" customHeight="1">
      <c r="A473" s="254">
        <v>435</v>
      </c>
      <c r="B473" s="254" t="s">
        <v>1072</v>
      </c>
      <c r="C473" s="254" t="s">
        <v>1073</v>
      </c>
      <c r="D473" s="254" t="s">
        <v>112</v>
      </c>
      <c r="E473" s="288">
        <v>5</v>
      </c>
      <c r="F473" s="289">
        <v>23</v>
      </c>
      <c r="G473" s="320">
        <f t="shared" si="76"/>
        <v>115</v>
      </c>
      <c r="H473" s="320">
        <f t="shared" si="77"/>
        <v>575</v>
      </c>
      <c r="I473" s="320">
        <v>720</v>
      </c>
      <c r="J473" s="320">
        <f t="shared" si="78"/>
        <v>3600</v>
      </c>
      <c r="K473" s="320">
        <f t="shared" si="79"/>
        <v>360</v>
      </c>
      <c r="L473" s="320">
        <f t="shared" si="80"/>
        <v>1800</v>
      </c>
      <c r="M473" s="254"/>
    </row>
    <row r="474" spans="1:13" ht="22.5" customHeight="1">
      <c r="A474" s="254">
        <v>436</v>
      </c>
      <c r="B474" s="254" t="s">
        <v>1074</v>
      </c>
      <c r="C474" s="254" t="s">
        <v>1075</v>
      </c>
      <c r="D474" s="254" t="s">
        <v>112</v>
      </c>
      <c r="E474" s="288">
        <v>5</v>
      </c>
      <c r="F474" s="289">
        <v>23</v>
      </c>
      <c r="G474" s="320">
        <f t="shared" si="76"/>
        <v>115</v>
      </c>
      <c r="H474" s="320">
        <f t="shared" si="77"/>
        <v>575</v>
      </c>
      <c r="I474" s="320">
        <v>720</v>
      </c>
      <c r="J474" s="320">
        <f t="shared" si="78"/>
        <v>3600</v>
      </c>
      <c r="K474" s="320">
        <f t="shared" si="79"/>
        <v>360</v>
      </c>
      <c r="L474" s="320">
        <f t="shared" si="80"/>
        <v>1800</v>
      </c>
      <c r="M474" s="254"/>
    </row>
    <row r="475" spans="1:13" ht="22.5" customHeight="1">
      <c r="A475" s="254">
        <v>437</v>
      </c>
      <c r="B475" s="254" t="s">
        <v>1076</v>
      </c>
      <c r="C475" s="254" t="s">
        <v>1077</v>
      </c>
      <c r="D475" s="254" t="s">
        <v>113</v>
      </c>
      <c r="E475" s="288">
        <v>5</v>
      </c>
      <c r="F475" s="289">
        <v>19</v>
      </c>
      <c r="G475" s="320">
        <v>95</v>
      </c>
      <c r="H475" s="320">
        <v>475</v>
      </c>
      <c r="I475" s="320">
        <v>720</v>
      </c>
      <c r="J475" s="320">
        <v>3600</v>
      </c>
      <c r="K475" s="320">
        <v>360</v>
      </c>
      <c r="L475" s="320">
        <v>1800</v>
      </c>
      <c r="M475" s="254"/>
    </row>
    <row r="476" spans="1:13" ht="22.5" customHeight="1">
      <c r="A476" s="254">
        <v>438</v>
      </c>
      <c r="B476" s="254" t="s">
        <v>1078</v>
      </c>
      <c r="C476" s="254" t="s">
        <v>1079</v>
      </c>
      <c r="D476" s="254" t="s">
        <v>112</v>
      </c>
      <c r="E476" s="288">
        <v>5</v>
      </c>
      <c r="F476" s="289">
        <v>23</v>
      </c>
      <c r="G476" s="320">
        <f t="shared" ref="G476:G480" si="81">F476*5</f>
        <v>115</v>
      </c>
      <c r="H476" s="320">
        <f t="shared" ref="H476:H480" si="82">E476*G476</f>
        <v>575</v>
      </c>
      <c r="I476" s="320">
        <v>720</v>
      </c>
      <c r="J476" s="320">
        <f t="shared" ref="J476:J480" si="83">I476*E476</f>
        <v>3600</v>
      </c>
      <c r="K476" s="320">
        <f t="shared" ref="K476:K480" si="84">I476/2</f>
        <v>360</v>
      </c>
      <c r="L476" s="320">
        <f t="shared" ref="L476:L480" si="85">K476*E476</f>
        <v>1800</v>
      </c>
      <c r="M476" s="254"/>
    </row>
    <row r="477" spans="1:13" ht="22.5" customHeight="1">
      <c r="A477" s="254">
        <v>439</v>
      </c>
      <c r="B477" s="254" t="s">
        <v>1080</v>
      </c>
      <c r="C477" s="254" t="s">
        <v>1081</v>
      </c>
      <c r="D477" s="254" t="s">
        <v>113</v>
      </c>
      <c r="E477" s="288">
        <v>5</v>
      </c>
      <c r="F477" s="289">
        <v>19</v>
      </c>
      <c r="G477" s="320">
        <f t="shared" si="81"/>
        <v>95</v>
      </c>
      <c r="H477" s="320">
        <f t="shared" si="82"/>
        <v>475</v>
      </c>
      <c r="I477" s="320">
        <v>720</v>
      </c>
      <c r="J477" s="320">
        <f t="shared" si="83"/>
        <v>3600</v>
      </c>
      <c r="K477" s="320">
        <f t="shared" si="84"/>
        <v>360</v>
      </c>
      <c r="L477" s="320">
        <f t="shared" si="85"/>
        <v>1800</v>
      </c>
      <c r="M477" s="254"/>
    </row>
    <row r="478" spans="1:13" ht="22.5" customHeight="1">
      <c r="A478" s="254">
        <v>440</v>
      </c>
      <c r="B478" s="254" t="s">
        <v>1082</v>
      </c>
      <c r="C478" s="254" t="s">
        <v>1083</v>
      </c>
      <c r="D478" s="254" t="s">
        <v>113</v>
      </c>
      <c r="E478" s="288">
        <v>5</v>
      </c>
      <c r="F478" s="289">
        <v>19</v>
      </c>
      <c r="G478" s="320">
        <f t="shared" si="81"/>
        <v>95</v>
      </c>
      <c r="H478" s="320">
        <f t="shared" si="82"/>
        <v>475</v>
      </c>
      <c r="I478" s="320">
        <v>720</v>
      </c>
      <c r="J478" s="320">
        <f t="shared" si="83"/>
        <v>3600</v>
      </c>
      <c r="K478" s="320">
        <f t="shared" si="84"/>
        <v>360</v>
      </c>
      <c r="L478" s="320">
        <f t="shared" si="85"/>
        <v>1800</v>
      </c>
      <c r="M478" s="254"/>
    </row>
    <row r="479" spans="1:13" ht="22.5" customHeight="1">
      <c r="A479" s="254">
        <v>441</v>
      </c>
      <c r="B479" s="254" t="s">
        <v>1084</v>
      </c>
      <c r="C479" s="254" t="s">
        <v>1085</v>
      </c>
      <c r="D479" s="254" t="s">
        <v>113</v>
      </c>
      <c r="E479" s="288">
        <v>5</v>
      </c>
      <c r="F479" s="289">
        <v>19</v>
      </c>
      <c r="G479" s="320">
        <f t="shared" si="81"/>
        <v>95</v>
      </c>
      <c r="H479" s="320">
        <f t="shared" si="82"/>
        <v>475</v>
      </c>
      <c r="I479" s="320">
        <v>720</v>
      </c>
      <c r="J479" s="320">
        <f t="shared" si="83"/>
        <v>3600</v>
      </c>
      <c r="K479" s="320">
        <f t="shared" si="84"/>
        <v>360</v>
      </c>
      <c r="L479" s="320">
        <f t="shared" si="85"/>
        <v>1800</v>
      </c>
      <c r="M479" s="254"/>
    </row>
    <row r="480" spans="1:13" ht="22.5" customHeight="1">
      <c r="A480" s="254">
        <v>442</v>
      </c>
      <c r="B480" s="295" t="s">
        <v>1086</v>
      </c>
      <c r="C480" s="295" t="s">
        <v>1087</v>
      </c>
      <c r="D480" s="295" t="s">
        <v>113</v>
      </c>
      <c r="E480" s="296">
        <v>5</v>
      </c>
      <c r="F480" s="297">
        <v>19</v>
      </c>
      <c r="G480" s="324">
        <f t="shared" si="81"/>
        <v>95</v>
      </c>
      <c r="H480" s="324">
        <f t="shared" si="82"/>
        <v>475</v>
      </c>
      <c r="I480" s="324">
        <v>720</v>
      </c>
      <c r="J480" s="324">
        <f t="shared" si="83"/>
        <v>3600</v>
      </c>
      <c r="K480" s="324">
        <f t="shared" si="84"/>
        <v>360</v>
      </c>
      <c r="L480" s="324">
        <f t="shared" si="85"/>
        <v>1800</v>
      </c>
      <c r="M480" s="295"/>
    </row>
    <row r="481" spans="1:13" ht="22.5" customHeight="1">
      <c r="A481" s="933" t="s">
        <v>318</v>
      </c>
      <c r="B481" s="934"/>
      <c r="C481" s="935"/>
      <c r="D481" s="299">
        <f>COUNTA(AVAN_A[QUALITY])</f>
        <v>28</v>
      </c>
      <c r="E481" s="300">
        <f>SUM(E453:E480)</f>
        <v>140</v>
      </c>
      <c r="F481" s="301"/>
      <c r="G481" s="301"/>
      <c r="H481" s="325">
        <f>SUM(H453:H480)</f>
        <v>14800</v>
      </c>
      <c r="I481" s="301"/>
      <c r="J481" s="301"/>
      <c r="K481" s="301"/>
      <c r="L481" s="301"/>
      <c r="M481" s="301"/>
    </row>
    <row r="482" spans="1:13" ht="16.8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</row>
    <row r="483" spans="1:13" ht="16.8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</row>
    <row r="484" spans="1:13" ht="16.8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</row>
    <row r="485" spans="1:13" ht="13.2">
      <c r="A485" s="930" t="s">
        <v>37</v>
      </c>
      <c r="B485" s="931"/>
      <c r="C485" s="931"/>
      <c r="D485" s="931"/>
      <c r="E485" s="931"/>
      <c r="F485" s="931"/>
      <c r="G485" s="931"/>
      <c r="H485" s="931"/>
      <c r="I485" s="931"/>
      <c r="J485" s="931"/>
      <c r="K485" s="931"/>
      <c r="L485" s="931"/>
      <c r="M485" s="932"/>
    </row>
    <row r="486" spans="1:13" ht="22.5" customHeight="1">
      <c r="A486" s="253" t="s">
        <v>165</v>
      </c>
      <c r="B486" s="282" t="s">
        <v>166</v>
      </c>
      <c r="C486" s="282" t="s">
        <v>167</v>
      </c>
      <c r="D486" s="255" t="s">
        <v>168</v>
      </c>
      <c r="E486" s="283" t="s">
        <v>169</v>
      </c>
      <c r="F486" s="284" t="s">
        <v>1088</v>
      </c>
      <c r="G486" s="285" t="s">
        <v>1089</v>
      </c>
      <c r="H486" s="255" t="s">
        <v>172</v>
      </c>
      <c r="I486" s="286" t="s">
        <v>1090</v>
      </c>
      <c r="J486" s="286" t="s">
        <v>1091</v>
      </c>
      <c r="K486" s="282" t="s">
        <v>175</v>
      </c>
      <c r="L486" s="282" t="s">
        <v>1092</v>
      </c>
      <c r="M486" s="287" t="s">
        <v>177</v>
      </c>
    </row>
    <row r="487" spans="1:13" ht="22.5" customHeight="1">
      <c r="A487" s="254">
        <v>443</v>
      </c>
      <c r="B487" s="254" t="s">
        <v>1093</v>
      </c>
      <c r="C487" s="254" t="s">
        <v>1094</v>
      </c>
      <c r="D487" s="254" t="s">
        <v>115</v>
      </c>
      <c r="E487" s="288">
        <v>4.9000000000000004</v>
      </c>
      <c r="F487" s="289">
        <v>24</v>
      </c>
      <c r="G487" s="320">
        <f t="shared" ref="G487:G496" si="86">F487*5</f>
        <v>120</v>
      </c>
      <c r="H487" s="320">
        <f t="shared" ref="H487:H496" si="87">G487*E487</f>
        <v>588</v>
      </c>
      <c r="I487" s="320">
        <v>800</v>
      </c>
      <c r="J487" s="320">
        <f t="shared" ref="J487:J496" si="88">I487*E487</f>
        <v>3920.0000000000005</v>
      </c>
      <c r="K487" s="320">
        <f t="shared" ref="K487:K496" si="89">I487/2</f>
        <v>400</v>
      </c>
      <c r="L487" s="320">
        <f t="shared" ref="L487:L496" si="90">K487*E487</f>
        <v>1960.0000000000002</v>
      </c>
      <c r="M487" s="254"/>
    </row>
    <row r="488" spans="1:13" ht="22.5" customHeight="1">
      <c r="A488" s="254">
        <v>444</v>
      </c>
      <c r="B488" s="254" t="s">
        <v>1095</v>
      </c>
      <c r="C488" s="254" t="s">
        <v>1096</v>
      </c>
      <c r="D488" s="254" t="s">
        <v>115</v>
      </c>
      <c r="E488" s="288">
        <v>4.2</v>
      </c>
      <c r="F488" s="289">
        <v>24</v>
      </c>
      <c r="G488" s="320">
        <f t="shared" si="86"/>
        <v>120</v>
      </c>
      <c r="H488" s="320">
        <f t="shared" si="87"/>
        <v>504</v>
      </c>
      <c r="I488" s="320">
        <v>800</v>
      </c>
      <c r="J488" s="320">
        <f t="shared" si="88"/>
        <v>3360</v>
      </c>
      <c r="K488" s="320">
        <f t="shared" si="89"/>
        <v>400</v>
      </c>
      <c r="L488" s="320">
        <f t="shared" si="90"/>
        <v>1680</v>
      </c>
      <c r="M488" s="254"/>
    </row>
    <row r="489" spans="1:13" ht="22.5" customHeight="1">
      <c r="A489" s="254">
        <v>445</v>
      </c>
      <c r="B489" s="254" t="s">
        <v>1097</v>
      </c>
      <c r="C489" s="254" t="s">
        <v>1098</v>
      </c>
      <c r="D489" s="254" t="s">
        <v>115</v>
      </c>
      <c r="E489" s="288">
        <v>5</v>
      </c>
      <c r="F489" s="289">
        <v>24</v>
      </c>
      <c r="G489" s="320">
        <f t="shared" si="86"/>
        <v>120</v>
      </c>
      <c r="H489" s="320">
        <f t="shared" si="87"/>
        <v>600</v>
      </c>
      <c r="I489" s="320">
        <v>800</v>
      </c>
      <c r="J489" s="320">
        <f t="shared" si="88"/>
        <v>4000</v>
      </c>
      <c r="K489" s="320">
        <f t="shared" si="89"/>
        <v>400</v>
      </c>
      <c r="L489" s="320">
        <f t="shared" si="90"/>
        <v>2000</v>
      </c>
      <c r="M489" s="254"/>
    </row>
    <row r="490" spans="1:13" ht="22.5" customHeight="1">
      <c r="A490" s="254">
        <v>446</v>
      </c>
      <c r="B490" s="254" t="s">
        <v>1099</v>
      </c>
      <c r="C490" s="254" t="s">
        <v>1100</v>
      </c>
      <c r="D490" s="254" t="s">
        <v>115</v>
      </c>
      <c r="E490" s="288">
        <v>5</v>
      </c>
      <c r="F490" s="289">
        <v>24</v>
      </c>
      <c r="G490" s="320">
        <f t="shared" si="86"/>
        <v>120</v>
      </c>
      <c r="H490" s="320">
        <f t="shared" si="87"/>
        <v>600</v>
      </c>
      <c r="I490" s="320">
        <v>800</v>
      </c>
      <c r="J490" s="320">
        <f t="shared" si="88"/>
        <v>4000</v>
      </c>
      <c r="K490" s="320">
        <f t="shared" si="89"/>
        <v>400</v>
      </c>
      <c r="L490" s="320">
        <f t="shared" si="90"/>
        <v>2000</v>
      </c>
      <c r="M490" s="254"/>
    </row>
    <row r="491" spans="1:13" ht="22.5" customHeight="1">
      <c r="A491" s="254">
        <v>447</v>
      </c>
      <c r="B491" s="254" t="s">
        <v>1101</v>
      </c>
      <c r="C491" s="254" t="s">
        <v>1102</v>
      </c>
      <c r="D491" s="254" t="s">
        <v>115</v>
      </c>
      <c r="E491" s="288">
        <v>5</v>
      </c>
      <c r="F491" s="289">
        <v>24</v>
      </c>
      <c r="G491" s="320">
        <f t="shared" si="86"/>
        <v>120</v>
      </c>
      <c r="H491" s="320">
        <f t="shared" si="87"/>
        <v>600</v>
      </c>
      <c r="I491" s="320">
        <v>800</v>
      </c>
      <c r="J491" s="320">
        <f t="shared" si="88"/>
        <v>4000</v>
      </c>
      <c r="K491" s="320">
        <f t="shared" si="89"/>
        <v>400</v>
      </c>
      <c r="L491" s="320">
        <f t="shared" si="90"/>
        <v>2000</v>
      </c>
      <c r="M491" s="254"/>
    </row>
    <row r="492" spans="1:13" ht="22.5" customHeight="1">
      <c r="A492" s="254">
        <v>448</v>
      </c>
      <c r="B492" s="254" t="s">
        <v>1103</v>
      </c>
      <c r="C492" s="254" t="s">
        <v>1104</v>
      </c>
      <c r="D492" s="254" t="s">
        <v>112</v>
      </c>
      <c r="E492" s="288">
        <v>5</v>
      </c>
      <c r="F492" s="289">
        <v>24</v>
      </c>
      <c r="G492" s="320">
        <f t="shared" si="86"/>
        <v>120</v>
      </c>
      <c r="H492" s="320">
        <f t="shared" si="87"/>
        <v>600</v>
      </c>
      <c r="I492" s="320">
        <v>720</v>
      </c>
      <c r="J492" s="320">
        <f t="shared" si="88"/>
        <v>3600</v>
      </c>
      <c r="K492" s="320">
        <f t="shared" si="89"/>
        <v>360</v>
      </c>
      <c r="L492" s="320">
        <f t="shared" si="90"/>
        <v>1800</v>
      </c>
      <c r="M492" s="254"/>
    </row>
    <row r="493" spans="1:13" ht="22.5" customHeight="1">
      <c r="A493" s="254">
        <v>449</v>
      </c>
      <c r="B493" s="254" t="s">
        <v>1105</v>
      </c>
      <c r="C493" s="254" t="s">
        <v>1106</v>
      </c>
      <c r="D493" s="254" t="s">
        <v>112</v>
      </c>
      <c r="E493" s="288">
        <v>7.2</v>
      </c>
      <c r="F493" s="289">
        <v>24</v>
      </c>
      <c r="G493" s="320">
        <f t="shared" si="86"/>
        <v>120</v>
      </c>
      <c r="H493" s="320">
        <f t="shared" si="87"/>
        <v>864</v>
      </c>
      <c r="I493" s="320">
        <v>720</v>
      </c>
      <c r="J493" s="320">
        <f t="shared" si="88"/>
        <v>5184</v>
      </c>
      <c r="K493" s="320">
        <f t="shared" si="89"/>
        <v>360</v>
      </c>
      <c r="L493" s="320">
        <f t="shared" si="90"/>
        <v>2592</v>
      </c>
      <c r="M493" s="254"/>
    </row>
    <row r="494" spans="1:13" ht="22.5" customHeight="1">
      <c r="A494" s="254">
        <v>450</v>
      </c>
      <c r="B494" s="254" t="s">
        <v>1107</v>
      </c>
      <c r="C494" s="254" t="s">
        <v>1108</v>
      </c>
      <c r="D494" s="254" t="s">
        <v>112</v>
      </c>
      <c r="E494" s="288">
        <v>5</v>
      </c>
      <c r="F494" s="289">
        <v>24</v>
      </c>
      <c r="G494" s="320">
        <f t="shared" si="86"/>
        <v>120</v>
      </c>
      <c r="H494" s="320">
        <f t="shared" si="87"/>
        <v>600</v>
      </c>
      <c r="I494" s="320">
        <v>720</v>
      </c>
      <c r="J494" s="320">
        <f t="shared" si="88"/>
        <v>3600</v>
      </c>
      <c r="K494" s="320">
        <f t="shared" si="89"/>
        <v>360</v>
      </c>
      <c r="L494" s="320">
        <f t="shared" si="90"/>
        <v>1800</v>
      </c>
      <c r="M494" s="254"/>
    </row>
    <row r="495" spans="1:13" ht="22.5" customHeight="1">
      <c r="A495" s="254">
        <v>451</v>
      </c>
      <c r="B495" s="254" t="s">
        <v>1109</v>
      </c>
      <c r="C495" s="254" t="s">
        <v>1110</v>
      </c>
      <c r="D495" s="254" t="s">
        <v>112</v>
      </c>
      <c r="E495" s="288">
        <v>5</v>
      </c>
      <c r="F495" s="289">
        <v>24</v>
      </c>
      <c r="G495" s="320">
        <f t="shared" si="86"/>
        <v>120</v>
      </c>
      <c r="H495" s="320">
        <f t="shared" si="87"/>
        <v>600</v>
      </c>
      <c r="I495" s="320">
        <v>720</v>
      </c>
      <c r="J495" s="320">
        <f t="shared" si="88"/>
        <v>3600</v>
      </c>
      <c r="K495" s="320">
        <f t="shared" si="89"/>
        <v>360</v>
      </c>
      <c r="L495" s="320">
        <f t="shared" si="90"/>
        <v>1800</v>
      </c>
      <c r="M495" s="254"/>
    </row>
    <row r="496" spans="1:13" ht="22.5" customHeight="1">
      <c r="A496" s="254">
        <v>452</v>
      </c>
      <c r="B496" s="254" t="s">
        <v>1111</v>
      </c>
      <c r="C496" s="254" t="s">
        <v>1112</v>
      </c>
      <c r="D496" s="254" t="s">
        <v>115</v>
      </c>
      <c r="E496" s="288">
        <v>2.2999999999999998</v>
      </c>
      <c r="F496" s="289">
        <v>24</v>
      </c>
      <c r="G496" s="320">
        <f t="shared" si="86"/>
        <v>120</v>
      </c>
      <c r="H496" s="320">
        <f t="shared" si="87"/>
        <v>276</v>
      </c>
      <c r="I496" s="320">
        <v>800</v>
      </c>
      <c r="J496" s="320">
        <f t="shared" si="88"/>
        <v>1839.9999999999998</v>
      </c>
      <c r="K496" s="320">
        <f t="shared" si="89"/>
        <v>400</v>
      </c>
      <c r="L496" s="320">
        <f t="shared" si="90"/>
        <v>919.99999999999989</v>
      </c>
      <c r="M496" s="254"/>
    </row>
    <row r="497" spans="1:13" ht="22.5" customHeight="1">
      <c r="A497" s="936" t="s">
        <v>318</v>
      </c>
      <c r="B497" s="931"/>
      <c r="C497" s="932"/>
      <c r="D497" s="311">
        <f>COUNTA(D487:D496)</f>
        <v>10</v>
      </c>
      <c r="E497" s="312">
        <f>SUM(E487:E496)</f>
        <v>48.6</v>
      </c>
      <c r="F497" s="313"/>
      <c r="G497" s="313"/>
      <c r="H497" s="323">
        <f>SUM(H487:H496)</f>
        <v>5832</v>
      </c>
      <c r="I497" s="313"/>
      <c r="J497" s="313"/>
      <c r="K497" s="313"/>
      <c r="L497" s="313"/>
      <c r="M497" s="313"/>
    </row>
    <row r="498" spans="1:13" ht="16.8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</row>
    <row r="499" spans="1:13" ht="16.8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</row>
    <row r="500" spans="1:13" ht="13.2">
      <c r="A500" s="930" t="s">
        <v>38</v>
      </c>
      <c r="B500" s="931"/>
      <c r="C500" s="931"/>
      <c r="D500" s="931"/>
      <c r="E500" s="931"/>
      <c r="F500" s="931"/>
      <c r="G500" s="931"/>
      <c r="H500" s="931"/>
      <c r="I500" s="931"/>
      <c r="J500" s="931"/>
      <c r="K500" s="931"/>
      <c r="L500" s="931"/>
      <c r="M500" s="932"/>
    </row>
    <row r="501" spans="1:13" ht="22.5" customHeight="1">
      <c r="A501" s="253" t="s">
        <v>165</v>
      </c>
      <c r="B501" s="282" t="s">
        <v>166</v>
      </c>
      <c r="C501" s="282" t="s">
        <v>167</v>
      </c>
      <c r="D501" s="255" t="s">
        <v>168</v>
      </c>
      <c r="E501" s="283" t="s">
        <v>169</v>
      </c>
      <c r="F501" s="284" t="s">
        <v>1113</v>
      </c>
      <c r="G501" s="285" t="s">
        <v>1114</v>
      </c>
      <c r="H501" s="255" t="s">
        <v>172</v>
      </c>
      <c r="I501" s="286" t="s">
        <v>1115</v>
      </c>
      <c r="J501" s="286" t="s">
        <v>1116</v>
      </c>
      <c r="K501" s="282" t="s">
        <v>175</v>
      </c>
      <c r="L501" s="282" t="s">
        <v>1117</v>
      </c>
      <c r="M501" s="287" t="s">
        <v>177</v>
      </c>
    </row>
    <row r="502" spans="1:13" ht="22.5" customHeight="1">
      <c r="A502" s="254">
        <v>453</v>
      </c>
      <c r="B502" s="290" t="s">
        <v>1118</v>
      </c>
      <c r="C502" s="254" t="s">
        <v>1119</v>
      </c>
      <c r="D502" s="254" t="s">
        <v>112</v>
      </c>
      <c r="E502" s="288">
        <v>5</v>
      </c>
      <c r="F502" s="289">
        <v>29</v>
      </c>
      <c r="G502" s="320">
        <f t="shared" ref="G502:G517" si="91">F502*5</f>
        <v>145</v>
      </c>
      <c r="H502" s="320">
        <f t="shared" ref="H502:H517" si="92">G502*E502</f>
        <v>725</v>
      </c>
      <c r="I502" s="320">
        <v>720</v>
      </c>
      <c r="J502" s="320">
        <f t="shared" ref="J502:J517" si="93">I502*E502</f>
        <v>3600</v>
      </c>
      <c r="K502" s="320">
        <f t="shared" ref="K502:K517" si="94">I502/2</f>
        <v>360</v>
      </c>
      <c r="L502" s="320">
        <f t="shared" ref="L502:L517" si="95">K502*E502</f>
        <v>1800</v>
      </c>
      <c r="M502" s="254"/>
    </row>
    <row r="503" spans="1:13" ht="22.5" customHeight="1">
      <c r="A503" s="254">
        <v>454</v>
      </c>
      <c r="B503" s="254" t="s">
        <v>1120</v>
      </c>
      <c r="C503" s="254" t="s">
        <v>1121</v>
      </c>
      <c r="D503" s="254" t="s">
        <v>113</v>
      </c>
      <c r="E503" s="288">
        <v>2.7</v>
      </c>
      <c r="F503" s="289">
        <v>25</v>
      </c>
      <c r="G503" s="320">
        <f t="shared" si="91"/>
        <v>125</v>
      </c>
      <c r="H503" s="320">
        <f t="shared" si="92"/>
        <v>337.5</v>
      </c>
      <c r="I503" s="320">
        <v>720</v>
      </c>
      <c r="J503" s="320">
        <f t="shared" si="93"/>
        <v>1944.0000000000002</v>
      </c>
      <c r="K503" s="320">
        <f t="shared" si="94"/>
        <v>360</v>
      </c>
      <c r="L503" s="320">
        <f t="shared" si="95"/>
        <v>972.00000000000011</v>
      </c>
      <c r="M503" s="254"/>
    </row>
    <row r="504" spans="1:13" ht="22.5" customHeight="1">
      <c r="A504" s="254">
        <v>455</v>
      </c>
      <c r="B504" s="254" t="s">
        <v>1122</v>
      </c>
      <c r="C504" s="254" t="s">
        <v>1123</v>
      </c>
      <c r="D504" s="254" t="s">
        <v>112</v>
      </c>
      <c r="E504" s="288">
        <v>5</v>
      </c>
      <c r="F504" s="289">
        <v>29</v>
      </c>
      <c r="G504" s="320">
        <f t="shared" si="91"/>
        <v>145</v>
      </c>
      <c r="H504" s="320">
        <f t="shared" si="92"/>
        <v>725</v>
      </c>
      <c r="I504" s="320">
        <v>720</v>
      </c>
      <c r="J504" s="320">
        <f t="shared" si="93"/>
        <v>3600</v>
      </c>
      <c r="K504" s="320">
        <f t="shared" si="94"/>
        <v>360</v>
      </c>
      <c r="L504" s="320">
        <f t="shared" si="95"/>
        <v>1800</v>
      </c>
      <c r="M504" s="254"/>
    </row>
    <row r="505" spans="1:13" ht="22.5" customHeight="1">
      <c r="A505" s="254">
        <v>456</v>
      </c>
      <c r="B505" s="254" t="s">
        <v>1124</v>
      </c>
      <c r="C505" s="254" t="s">
        <v>1125</v>
      </c>
      <c r="D505" s="254" t="s">
        <v>113</v>
      </c>
      <c r="E505" s="288">
        <v>5</v>
      </c>
      <c r="F505" s="289">
        <v>25</v>
      </c>
      <c r="G505" s="320">
        <f t="shared" si="91"/>
        <v>125</v>
      </c>
      <c r="H505" s="320">
        <f t="shared" si="92"/>
        <v>625</v>
      </c>
      <c r="I505" s="320">
        <v>720</v>
      </c>
      <c r="J505" s="320">
        <f t="shared" si="93"/>
        <v>3600</v>
      </c>
      <c r="K505" s="320">
        <f t="shared" si="94"/>
        <v>360</v>
      </c>
      <c r="L505" s="320">
        <f t="shared" si="95"/>
        <v>1800</v>
      </c>
      <c r="M505" s="254"/>
    </row>
    <row r="506" spans="1:13" ht="22.5" customHeight="1">
      <c r="A506" s="254">
        <v>457</v>
      </c>
      <c r="B506" s="254" t="s">
        <v>1126</v>
      </c>
      <c r="C506" s="254" t="s">
        <v>1127</v>
      </c>
      <c r="D506" s="254" t="s">
        <v>112</v>
      </c>
      <c r="E506" s="288">
        <v>5</v>
      </c>
      <c r="F506" s="289">
        <v>29</v>
      </c>
      <c r="G506" s="320">
        <f t="shared" si="91"/>
        <v>145</v>
      </c>
      <c r="H506" s="320">
        <f t="shared" si="92"/>
        <v>725</v>
      </c>
      <c r="I506" s="320">
        <v>720</v>
      </c>
      <c r="J506" s="320">
        <f t="shared" si="93"/>
        <v>3600</v>
      </c>
      <c r="K506" s="320">
        <f t="shared" si="94"/>
        <v>360</v>
      </c>
      <c r="L506" s="320">
        <f t="shared" si="95"/>
        <v>1800</v>
      </c>
      <c r="M506" s="254"/>
    </row>
    <row r="507" spans="1:13" ht="22.5" customHeight="1">
      <c r="A507" s="254">
        <v>458</v>
      </c>
      <c r="B507" s="254" t="s">
        <v>1128</v>
      </c>
      <c r="C507" s="254" t="s">
        <v>1129</v>
      </c>
      <c r="D507" s="254" t="s">
        <v>113</v>
      </c>
      <c r="E507" s="288">
        <v>5</v>
      </c>
      <c r="F507" s="289">
        <v>25</v>
      </c>
      <c r="G507" s="320">
        <f t="shared" si="91"/>
        <v>125</v>
      </c>
      <c r="H507" s="320">
        <f t="shared" si="92"/>
        <v>625</v>
      </c>
      <c r="I507" s="320">
        <v>720</v>
      </c>
      <c r="J507" s="320">
        <f t="shared" si="93"/>
        <v>3600</v>
      </c>
      <c r="K507" s="320">
        <f t="shared" si="94"/>
        <v>360</v>
      </c>
      <c r="L507" s="320">
        <f t="shared" si="95"/>
        <v>1800</v>
      </c>
      <c r="M507" s="254"/>
    </row>
    <row r="508" spans="1:13" ht="22.5" customHeight="1">
      <c r="A508" s="254">
        <v>459</v>
      </c>
      <c r="B508" s="254" t="s">
        <v>1130</v>
      </c>
      <c r="C508" s="254" t="s">
        <v>1131</v>
      </c>
      <c r="D508" s="254" t="s">
        <v>112</v>
      </c>
      <c r="E508" s="288">
        <v>5</v>
      </c>
      <c r="F508" s="289">
        <v>29</v>
      </c>
      <c r="G508" s="320">
        <f t="shared" si="91"/>
        <v>145</v>
      </c>
      <c r="H508" s="320">
        <f t="shared" si="92"/>
        <v>725</v>
      </c>
      <c r="I508" s="320">
        <v>720</v>
      </c>
      <c r="J508" s="320">
        <f t="shared" si="93"/>
        <v>3600</v>
      </c>
      <c r="K508" s="320">
        <f t="shared" si="94"/>
        <v>360</v>
      </c>
      <c r="L508" s="320">
        <f t="shared" si="95"/>
        <v>1800</v>
      </c>
      <c r="M508" s="254"/>
    </row>
    <row r="509" spans="1:13" ht="22.5" customHeight="1">
      <c r="A509" s="254">
        <v>460</v>
      </c>
      <c r="B509" s="254" t="s">
        <v>1132</v>
      </c>
      <c r="C509" s="254" t="s">
        <v>1133</v>
      </c>
      <c r="D509" s="254" t="s">
        <v>113</v>
      </c>
      <c r="E509" s="288">
        <v>5</v>
      </c>
      <c r="F509" s="289">
        <v>25</v>
      </c>
      <c r="G509" s="320">
        <f t="shared" si="91"/>
        <v>125</v>
      </c>
      <c r="H509" s="320">
        <f t="shared" si="92"/>
        <v>625</v>
      </c>
      <c r="I509" s="320">
        <v>720</v>
      </c>
      <c r="J509" s="320">
        <f t="shared" si="93"/>
        <v>3600</v>
      </c>
      <c r="K509" s="320">
        <f t="shared" si="94"/>
        <v>360</v>
      </c>
      <c r="L509" s="320">
        <f t="shared" si="95"/>
        <v>1800</v>
      </c>
      <c r="M509" s="254"/>
    </row>
    <row r="510" spans="1:13" ht="22.5" customHeight="1">
      <c r="A510" s="254">
        <v>461</v>
      </c>
      <c r="B510" s="254" t="s">
        <v>1134</v>
      </c>
      <c r="C510" s="254" t="s">
        <v>1135</v>
      </c>
      <c r="D510" s="254" t="s">
        <v>112</v>
      </c>
      <c r="E510" s="288">
        <v>5</v>
      </c>
      <c r="F510" s="289">
        <v>29</v>
      </c>
      <c r="G510" s="320">
        <f t="shared" si="91"/>
        <v>145</v>
      </c>
      <c r="H510" s="320">
        <f t="shared" si="92"/>
        <v>725</v>
      </c>
      <c r="I510" s="320">
        <v>720</v>
      </c>
      <c r="J510" s="320">
        <f t="shared" si="93"/>
        <v>3600</v>
      </c>
      <c r="K510" s="320">
        <f t="shared" si="94"/>
        <v>360</v>
      </c>
      <c r="L510" s="320">
        <f t="shared" si="95"/>
        <v>1800</v>
      </c>
      <c r="M510" s="254"/>
    </row>
    <row r="511" spans="1:13" ht="22.5" customHeight="1">
      <c r="A511" s="254">
        <v>462</v>
      </c>
      <c r="B511" s="254" t="s">
        <v>1136</v>
      </c>
      <c r="C511" s="254" t="s">
        <v>1137</v>
      </c>
      <c r="D511" s="254" t="s">
        <v>113</v>
      </c>
      <c r="E511" s="288">
        <v>5</v>
      </c>
      <c r="F511" s="289">
        <v>25</v>
      </c>
      <c r="G511" s="320">
        <f t="shared" si="91"/>
        <v>125</v>
      </c>
      <c r="H511" s="320">
        <f t="shared" si="92"/>
        <v>625</v>
      </c>
      <c r="I511" s="320">
        <v>720</v>
      </c>
      <c r="J511" s="320">
        <f t="shared" si="93"/>
        <v>3600</v>
      </c>
      <c r="K511" s="320">
        <f t="shared" si="94"/>
        <v>360</v>
      </c>
      <c r="L511" s="320">
        <f t="shared" si="95"/>
        <v>1800</v>
      </c>
      <c r="M511" s="254"/>
    </row>
    <row r="512" spans="1:13" ht="22.5" customHeight="1">
      <c r="A512" s="254">
        <v>463</v>
      </c>
      <c r="B512" s="254" t="s">
        <v>1138</v>
      </c>
      <c r="C512" s="254" t="s">
        <v>1139</v>
      </c>
      <c r="D512" s="254" t="s">
        <v>112</v>
      </c>
      <c r="E512" s="288">
        <v>5</v>
      </c>
      <c r="F512" s="289">
        <v>29</v>
      </c>
      <c r="G512" s="320">
        <f t="shared" si="91"/>
        <v>145</v>
      </c>
      <c r="H512" s="320">
        <f t="shared" si="92"/>
        <v>725</v>
      </c>
      <c r="I512" s="320">
        <v>720</v>
      </c>
      <c r="J512" s="320">
        <f t="shared" si="93"/>
        <v>3600</v>
      </c>
      <c r="K512" s="320">
        <f t="shared" si="94"/>
        <v>360</v>
      </c>
      <c r="L512" s="320">
        <f t="shared" si="95"/>
        <v>1800</v>
      </c>
      <c r="M512" s="254"/>
    </row>
    <row r="513" spans="1:13" ht="22.5" customHeight="1">
      <c r="A513" s="254">
        <v>464</v>
      </c>
      <c r="B513" s="254" t="s">
        <v>1140</v>
      </c>
      <c r="C513" s="254" t="s">
        <v>1141</v>
      </c>
      <c r="D513" s="254" t="s">
        <v>112</v>
      </c>
      <c r="E513" s="288">
        <v>5</v>
      </c>
      <c r="F513" s="289">
        <v>29</v>
      </c>
      <c r="G513" s="320">
        <f t="shared" si="91"/>
        <v>145</v>
      </c>
      <c r="H513" s="320">
        <f t="shared" si="92"/>
        <v>725</v>
      </c>
      <c r="I513" s="320">
        <v>720</v>
      </c>
      <c r="J513" s="320">
        <f t="shared" si="93"/>
        <v>3600</v>
      </c>
      <c r="K513" s="320">
        <f t="shared" si="94"/>
        <v>360</v>
      </c>
      <c r="L513" s="320">
        <f t="shared" si="95"/>
        <v>1800</v>
      </c>
      <c r="M513" s="254"/>
    </row>
    <row r="514" spans="1:13" ht="22.5" customHeight="1">
      <c r="A514" s="254">
        <v>465</v>
      </c>
      <c r="B514" s="254" t="s">
        <v>1142</v>
      </c>
      <c r="C514" s="254" t="s">
        <v>1143</v>
      </c>
      <c r="D514" s="254" t="s">
        <v>113</v>
      </c>
      <c r="E514" s="288">
        <v>2.7</v>
      </c>
      <c r="F514" s="289">
        <v>25</v>
      </c>
      <c r="G514" s="320">
        <f t="shared" si="91"/>
        <v>125</v>
      </c>
      <c r="H514" s="320">
        <f t="shared" si="92"/>
        <v>337.5</v>
      </c>
      <c r="I514" s="320">
        <v>720</v>
      </c>
      <c r="J514" s="320">
        <f t="shared" si="93"/>
        <v>1944.0000000000002</v>
      </c>
      <c r="K514" s="320">
        <f t="shared" si="94"/>
        <v>360</v>
      </c>
      <c r="L514" s="320">
        <f t="shared" si="95"/>
        <v>972.00000000000011</v>
      </c>
      <c r="M514" s="254"/>
    </row>
    <row r="515" spans="1:13" ht="22.5" customHeight="1">
      <c r="A515" s="254">
        <v>466</v>
      </c>
      <c r="B515" s="254" t="s">
        <v>1144</v>
      </c>
      <c r="C515" s="254" t="s">
        <v>1145</v>
      </c>
      <c r="D515" s="254" t="s">
        <v>112</v>
      </c>
      <c r="E515" s="288">
        <v>5</v>
      </c>
      <c r="F515" s="289">
        <v>29</v>
      </c>
      <c r="G515" s="320">
        <f t="shared" si="91"/>
        <v>145</v>
      </c>
      <c r="H515" s="320">
        <f t="shared" si="92"/>
        <v>725</v>
      </c>
      <c r="I515" s="320">
        <v>720</v>
      </c>
      <c r="J515" s="320">
        <f t="shared" si="93"/>
        <v>3600</v>
      </c>
      <c r="K515" s="320">
        <f t="shared" si="94"/>
        <v>360</v>
      </c>
      <c r="L515" s="320">
        <f t="shared" si="95"/>
        <v>1800</v>
      </c>
      <c r="M515" s="254"/>
    </row>
    <row r="516" spans="1:13" ht="22.5" customHeight="1">
      <c r="A516" s="254">
        <v>467</v>
      </c>
      <c r="B516" s="254" t="s">
        <v>1146</v>
      </c>
      <c r="C516" s="254" t="s">
        <v>1147</v>
      </c>
      <c r="D516" s="254" t="s">
        <v>113</v>
      </c>
      <c r="E516" s="288">
        <v>5</v>
      </c>
      <c r="F516" s="289">
        <v>25</v>
      </c>
      <c r="G516" s="320">
        <f t="shared" si="91"/>
        <v>125</v>
      </c>
      <c r="H516" s="320">
        <f t="shared" si="92"/>
        <v>625</v>
      </c>
      <c r="I516" s="320">
        <v>720</v>
      </c>
      <c r="J516" s="320">
        <f t="shared" si="93"/>
        <v>3600</v>
      </c>
      <c r="K516" s="320">
        <f t="shared" si="94"/>
        <v>360</v>
      </c>
      <c r="L516" s="320">
        <f t="shared" si="95"/>
        <v>1800</v>
      </c>
      <c r="M516" s="254"/>
    </row>
    <row r="517" spans="1:13" ht="22.5" customHeight="1">
      <c r="A517" s="254">
        <v>468</v>
      </c>
      <c r="B517" s="254" t="s">
        <v>1148</v>
      </c>
      <c r="C517" s="254" t="s">
        <v>1149</v>
      </c>
      <c r="D517" s="254" t="s">
        <v>112</v>
      </c>
      <c r="E517" s="288">
        <v>5</v>
      </c>
      <c r="F517" s="289">
        <v>29</v>
      </c>
      <c r="G517" s="320">
        <f t="shared" si="91"/>
        <v>145</v>
      </c>
      <c r="H517" s="320">
        <f t="shared" si="92"/>
        <v>725</v>
      </c>
      <c r="I517" s="320">
        <v>720</v>
      </c>
      <c r="J517" s="320">
        <f t="shared" si="93"/>
        <v>3600</v>
      </c>
      <c r="K517" s="320">
        <f t="shared" si="94"/>
        <v>360</v>
      </c>
      <c r="L517" s="320">
        <f t="shared" si="95"/>
        <v>1800</v>
      </c>
      <c r="M517" s="254"/>
    </row>
    <row r="518" spans="1:13" ht="22.5" customHeight="1">
      <c r="A518" s="254">
        <v>469</v>
      </c>
      <c r="B518" s="290" t="s">
        <v>1150</v>
      </c>
      <c r="C518" s="254" t="s">
        <v>1151</v>
      </c>
      <c r="D518" s="254" t="s">
        <v>113</v>
      </c>
      <c r="E518" s="288">
        <v>5</v>
      </c>
      <c r="F518" s="289">
        <v>25</v>
      </c>
      <c r="G518" s="320">
        <v>125</v>
      </c>
      <c r="H518" s="320">
        <v>625</v>
      </c>
      <c r="I518" s="320">
        <v>720</v>
      </c>
      <c r="J518" s="320">
        <v>3600</v>
      </c>
      <c r="K518" s="320">
        <v>360</v>
      </c>
      <c r="L518" s="320">
        <v>1800</v>
      </c>
      <c r="M518" s="254"/>
    </row>
    <row r="519" spans="1:13" ht="22.5" customHeight="1">
      <c r="A519" s="254">
        <v>470</v>
      </c>
      <c r="B519" s="254" t="s">
        <v>1152</v>
      </c>
      <c r="C519" s="254" t="s">
        <v>1153</v>
      </c>
      <c r="D519" s="254" t="s">
        <v>112</v>
      </c>
      <c r="E519" s="288">
        <v>5</v>
      </c>
      <c r="F519" s="289">
        <v>29</v>
      </c>
      <c r="G519" s="320">
        <f t="shared" ref="G519:G523" si="96">F519*5</f>
        <v>145</v>
      </c>
      <c r="H519" s="320">
        <f t="shared" ref="H519:H523" si="97">G519*E519</f>
        <v>725</v>
      </c>
      <c r="I519" s="320">
        <v>720</v>
      </c>
      <c r="J519" s="320">
        <f t="shared" ref="J519:J523" si="98">I519*E519</f>
        <v>3600</v>
      </c>
      <c r="K519" s="320">
        <f t="shared" ref="K519:K523" si="99">I519/2</f>
        <v>360</v>
      </c>
      <c r="L519" s="320">
        <f t="shared" ref="L519:L523" si="100">K519*E519</f>
        <v>1800</v>
      </c>
      <c r="M519" s="254"/>
    </row>
    <row r="520" spans="1:13" ht="22.5" customHeight="1">
      <c r="A520" s="254">
        <v>471</v>
      </c>
      <c r="B520" s="254" t="s">
        <v>1154</v>
      </c>
      <c r="C520" s="254" t="s">
        <v>1155</v>
      </c>
      <c r="D520" s="254" t="s">
        <v>112</v>
      </c>
      <c r="E520" s="288">
        <v>5</v>
      </c>
      <c r="F520" s="289">
        <v>29</v>
      </c>
      <c r="G520" s="320">
        <f t="shared" si="96"/>
        <v>145</v>
      </c>
      <c r="H520" s="320">
        <f t="shared" si="97"/>
        <v>725</v>
      </c>
      <c r="I520" s="320">
        <v>720</v>
      </c>
      <c r="J520" s="320">
        <f t="shared" si="98"/>
        <v>3600</v>
      </c>
      <c r="K520" s="320">
        <f t="shared" si="99"/>
        <v>360</v>
      </c>
      <c r="L520" s="320">
        <f t="shared" si="100"/>
        <v>1800</v>
      </c>
      <c r="M520" s="254"/>
    </row>
    <row r="521" spans="1:13" ht="22.5" customHeight="1">
      <c r="A521" s="254">
        <v>472</v>
      </c>
      <c r="B521" s="254" t="s">
        <v>1156</v>
      </c>
      <c r="C521" s="254" t="s">
        <v>1157</v>
      </c>
      <c r="D521" s="254" t="s">
        <v>112</v>
      </c>
      <c r="E521" s="288">
        <v>5</v>
      </c>
      <c r="F521" s="289">
        <v>29</v>
      </c>
      <c r="G521" s="320">
        <f t="shared" si="96"/>
        <v>145</v>
      </c>
      <c r="H521" s="320">
        <f t="shared" si="97"/>
        <v>725</v>
      </c>
      <c r="I521" s="320">
        <v>720</v>
      </c>
      <c r="J521" s="320">
        <f t="shared" si="98"/>
        <v>3600</v>
      </c>
      <c r="K521" s="320">
        <f t="shared" si="99"/>
        <v>360</v>
      </c>
      <c r="L521" s="320">
        <f t="shared" si="100"/>
        <v>1800</v>
      </c>
      <c r="M521" s="254"/>
    </row>
    <row r="522" spans="1:13" ht="22.5" customHeight="1">
      <c r="A522" s="254">
        <v>473</v>
      </c>
      <c r="B522" s="254" t="s">
        <v>1158</v>
      </c>
      <c r="C522" s="254" t="s">
        <v>1159</v>
      </c>
      <c r="D522" s="254" t="s">
        <v>113</v>
      </c>
      <c r="E522" s="288">
        <v>2.7</v>
      </c>
      <c r="F522" s="289">
        <v>25</v>
      </c>
      <c r="G522" s="320">
        <f t="shared" si="96"/>
        <v>125</v>
      </c>
      <c r="H522" s="320">
        <f t="shared" si="97"/>
        <v>337.5</v>
      </c>
      <c r="I522" s="320">
        <v>720</v>
      </c>
      <c r="J522" s="320">
        <f t="shared" si="98"/>
        <v>1944.0000000000002</v>
      </c>
      <c r="K522" s="320">
        <f t="shared" si="99"/>
        <v>360</v>
      </c>
      <c r="L522" s="320">
        <f t="shared" si="100"/>
        <v>972.00000000000011</v>
      </c>
      <c r="M522" s="254"/>
    </row>
    <row r="523" spans="1:13" ht="22.5" customHeight="1">
      <c r="A523" s="254">
        <v>474</v>
      </c>
      <c r="B523" s="254" t="s">
        <v>1160</v>
      </c>
      <c r="C523" s="254" t="s">
        <v>1161</v>
      </c>
      <c r="D523" s="254" t="s">
        <v>112</v>
      </c>
      <c r="E523" s="288">
        <v>5</v>
      </c>
      <c r="F523" s="289">
        <v>29</v>
      </c>
      <c r="G523" s="320">
        <f t="shared" si="96"/>
        <v>145</v>
      </c>
      <c r="H523" s="320">
        <f t="shared" si="97"/>
        <v>725</v>
      </c>
      <c r="I523" s="320">
        <v>720</v>
      </c>
      <c r="J523" s="320">
        <f t="shared" si="98"/>
        <v>3600</v>
      </c>
      <c r="K523" s="320">
        <f t="shared" si="99"/>
        <v>360</v>
      </c>
      <c r="L523" s="320">
        <f t="shared" si="100"/>
        <v>1800</v>
      </c>
      <c r="M523" s="254"/>
    </row>
    <row r="524" spans="1:13" ht="22.5" customHeight="1">
      <c r="A524" s="254">
        <v>475</v>
      </c>
      <c r="B524" s="290" t="s">
        <v>1162</v>
      </c>
      <c r="C524" s="254" t="s">
        <v>1163</v>
      </c>
      <c r="D524" s="254" t="s">
        <v>113</v>
      </c>
      <c r="E524" s="288">
        <v>5</v>
      </c>
      <c r="F524" s="289">
        <v>25</v>
      </c>
      <c r="G524" s="320">
        <v>125</v>
      </c>
      <c r="H524" s="320">
        <v>625</v>
      </c>
      <c r="I524" s="320">
        <v>720</v>
      </c>
      <c r="J524" s="320">
        <v>3600</v>
      </c>
      <c r="K524" s="320">
        <v>360</v>
      </c>
      <c r="L524" s="320">
        <v>1800</v>
      </c>
      <c r="M524" s="254"/>
    </row>
    <row r="525" spans="1:13" ht="22.5" customHeight="1">
      <c r="A525" s="254">
        <v>476</v>
      </c>
      <c r="B525" s="254" t="s">
        <v>1164</v>
      </c>
      <c r="C525" s="254" t="s">
        <v>1165</v>
      </c>
      <c r="D525" s="254" t="s">
        <v>113</v>
      </c>
      <c r="E525" s="288">
        <v>2.7</v>
      </c>
      <c r="F525" s="289">
        <v>25</v>
      </c>
      <c r="G525" s="320">
        <f t="shared" ref="G525:G534" si="101">F525*5</f>
        <v>125</v>
      </c>
      <c r="H525" s="320">
        <f t="shared" ref="H525:H534" si="102">G525*E525</f>
        <v>337.5</v>
      </c>
      <c r="I525" s="320">
        <v>720</v>
      </c>
      <c r="J525" s="320">
        <f t="shared" ref="J525:J534" si="103">I525*E525</f>
        <v>1944.0000000000002</v>
      </c>
      <c r="K525" s="320">
        <f t="shared" ref="K525:K534" si="104">I525/2</f>
        <v>360</v>
      </c>
      <c r="L525" s="320">
        <f t="shared" ref="L525:L534" si="105">K525*E525</f>
        <v>972.00000000000011</v>
      </c>
      <c r="M525" s="254"/>
    </row>
    <row r="526" spans="1:13" ht="22.5" customHeight="1">
      <c r="A526" s="254">
        <v>477</v>
      </c>
      <c r="B526" s="254" t="s">
        <v>1166</v>
      </c>
      <c r="C526" s="254" t="s">
        <v>1167</v>
      </c>
      <c r="D526" s="254" t="s">
        <v>112</v>
      </c>
      <c r="E526" s="288">
        <v>5</v>
      </c>
      <c r="F526" s="289">
        <v>29</v>
      </c>
      <c r="G526" s="320">
        <f t="shared" si="101"/>
        <v>145</v>
      </c>
      <c r="H526" s="320">
        <f t="shared" si="102"/>
        <v>725</v>
      </c>
      <c r="I526" s="320">
        <v>720</v>
      </c>
      <c r="J526" s="320">
        <f t="shared" si="103"/>
        <v>3600</v>
      </c>
      <c r="K526" s="320">
        <f t="shared" si="104"/>
        <v>360</v>
      </c>
      <c r="L526" s="320">
        <f t="shared" si="105"/>
        <v>1800</v>
      </c>
      <c r="M526" s="254"/>
    </row>
    <row r="527" spans="1:13" ht="22.5" customHeight="1">
      <c r="A527" s="254">
        <v>478</v>
      </c>
      <c r="B527" s="254" t="s">
        <v>1168</v>
      </c>
      <c r="C527" s="254" t="s">
        <v>1169</v>
      </c>
      <c r="D527" s="254" t="s">
        <v>113</v>
      </c>
      <c r="E527" s="288">
        <v>2.7</v>
      </c>
      <c r="F527" s="289">
        <v>25</v>
      </c>
      <c r="G527" s="320">
        <f t="shared" si="101"/>
        <v>125</v>
      </c>
      <c r="H527" s="320">
        <f t="shared" si="102"/>
        <v>337.5</v>
      </c>
      <c r="I527" s="320">
        <v>720</v>
      </c>
      <c r="J527" s="320">
        <f t="shared" si="103"/>
        <v>1944.0000000000002</v>
      </c>
      <c r="K527" s="320">
        <f t="shared" si="104"/>
        <v>360</v>
      </c>
      <c r="L527" s="320">
        <f t="shared" si="105"/>
        <v>972.00000000000011</v>
      </c>
      <c r="M527" s="254"/>
    </row>
    <row r="528" spans="1:13" ht="22.5" customHeight="1">
      <c r="A528" s="254">
        <v>479</v>
      </c>
      <c r="B528" s="254" t="s">
        <v>1170</v>
      </c>
      <c r="C528" s="254" t="s">
        <v>1171</v>
      </c>
      <c r="D528" s="254" t="s">
        <v>113</v>
      </c>
      <c r="E528" s="288">
        <v>2.7</v>
      </c>
      <c r="F528" s="289">
        <v>25</v>
      </c>
      <c r="G528" s="320">
        <f t="shared" si="101"/>
        <v>125</v>
      </c>
      <c r="H528" s="320">
        <f t="shared" si="102"/>
        <v>337.5</v>
      </c>
      <c r="I528" s="320">
        <v>720</v>
      </c>
      <c r="J528" s="320">
        <f t="shared" si="103"/>
        <v>1944.0000000000002</v>
      </c>
      <c r="K528" s="320">
        <f t="shared" si="104"/>
        <v>360</v>
      </c>
      <c r="L528" s="320">
        <f t="shared" si="105"/>
        <v>972.00000000000011</v>
      </c>
      <c r="M528" s="254"/>
    </row>
    <row r="529" spans="1:13" ht="22.5" customHeight="1">
      <c r="A529" s="254">
        <v>480</v>
      </c>
      <c r="B529" s="254" t="s">
        <v>1172</v>
      </c>
      <c r="C529" s="254" t="s">
        <v>1173</v>
      </c>
      <c r="D529" s="254" t="s">
        <v>113</v>
      </c>
      <c r="E529" s="288">
        <v>2.7</v>
      </c>
      <c r="F529" s="289">
        <v>25</v>
      </c>
      <c r="G529" s="320">
        <f t="shared" si="101"/>
        <v>125</v>
      </c>
      <c r="H529" s="320">
        <f t="shared" si="102"/>
        <v>337.5</v>
      </c>
      <c r="I529" s="320">
        <v>720</v>
      </c>
      <c r="J529" s="320">
        <f t="shared" si="103"/>
        <v>1944.0000000000002</v>
      </c>
      <c r="K529" s="320">
        <f t="shared" si="104"/>
        <v>360</v>
      </c>
      <c r="L529" s="320">
        <f t="shared" si="105"/>
        <v>972.00000000000011</v>
      </c>
      <c r="M529" s="254"/>
    </row>
    <row r="530" spans="1:13" ht="22.5" customHeight="1">
      <c r="A530" s="254">
        <v>481</v>
      </c>
      <c r="B530" s="254" t="s">
        <v>1174</v>
      </c>
      <c r="C530" s="254" t="s">
        <v>1175</v>
      </c>
      <c r="D530" s="254" t="s">
        <v>113</v>
      </c>
      <c r="E530" s="288">
        <v>2.7</v>
      </c>
      <c r="F530" s="289">
        <v>25</v>
      </c>
      <c r="G530" s="320">
        <f t="shared" si="101"/>
        <v>125</v>
      </c>
      <c r="H530" s="320">
        <f t="shared" si="102"/>
        <v>337.5</v>
      </c>
      <c r="I530" s="320">
        <v>720</v>
      </c>
      <c r="J530" s="320">
        <f t="shared" si="103"/>
        <v>1944.0000000000002</v>
      </c>
      <c r="K530" s="320">
        <f t="shared" si="104"/>
        <v>360</v>
      </c>
      <c r="L530" s="320">
        <f t="shared" si="105"/>
        <v>972.00000000000011</v>
      </c>
      <c r="M530" s="254"/>
    </row>
    <row r="531" spans="1:13" ht="22.5" customHeight="1">
      <c r="A531" s="254">
        <v>482</v>
      </c>
      <c r="B531" s="254" t="s">
        <v>1176</v>
      </c>
      <c r="C531" s="254" t="s">
        <v>1177</v>
      </c>
      <c r="D531" s="254" t="s">
        <v>113</v>
      </c>
      <c r="E531" s="288">
        <v>2.7</v>
      </c>
      <c r="F531" s="289">
        <v>25</v>
      </c>
      <c r="G531" s="320">
        <f t="shared" si="101"/>
        <v>125</v>
      </c>
      <c r="H531" s="320">
        <f t="shared" si="102"/>
        <v>337.5</v>
      </c>
      <c r="I531" s="320">
        <v>720</v>
      </c>
      <c r="J531" s="320">
        <f t="shared" si="103"/>
        <v>1944.0000000000002</v>
      </c>
      <c r="K531" s="320">
        <f t="shared" si="104"/>
        <v>360</v>
      </c>
      <c r="L531" s="320">
        <f t="shared" si="105"/>
        <v>972.00000000000011</v>
      </c>
      <c r="M531" s="254"/>
    </row>
    <row r="532" spans="1:13" ht="22.5" customHeight="1">
      <c r="A532" s="254">
        <v>483</v>
      </c>
      <c r="B532" s="254" t="s">
        <v>1178</v>
      </c>
      <c r="C532" s="254" t="s">
        <v>1179</v>
      </c>
      <c r="D532" s="254" t="s">
        <v>113</v>
      </c>
      <c r="E532" s="288">
        <v>2.7</v>
      </c>
      <c r="F532" s="289">
        <v>25</v>
      </c>
      <c r="G532" s="320">
        <f t="shared" si="101"/>
        <v>125</v>
      </c>
      <c r="H532" s="320">
        <f t="shared" si="102"/>
        <v>337.5</v>
      </c>
      <c r="I532" s="320">
        <v>720</v>
      </c>
      <c r="J532" s="320">
        <f t="shared" si="103"/>
        <v>1944.0000000000002</v>
      </c>
      <c r="K532" s="320">
        <f t="shared" si="104"/>
        <v>360</v>
      </c>
      <c r="L532" s="320">
        <f t="shared" si="105"/>
        <v>972.00000000000011</v>
      </c>
      <c r="M532" s="254"/>
    </row>
    <row r="533" spans="1:13" ht="22.5" customHeight="1">
      <c r="A533" s="254">
        <v>484</v>
      </c>
      <c r="B533" s="254" t="s">
        <v>1180</v>
      </c>
      <c r="C533" s="254" t="s">
        <v>1181</v>
      </c>
      <c r="D533" s="254" t="s">
        <v>112</v>
      </c>
      <c r="E533" s="288">
        <v>5</v>
      </c>
      <c r="F533" s="289">
        <v>25</v>
      </c>
      <c r="G533" s="320">
        <f t="shared" si="101"/>
        <v>125</v>
      </c>
      <c r="H533" s="320">
        <f t="shared" si="102"/>
        <v>625</v>
      </c>
      <c r="I533" s="320">
        <v>720</v>
      </c>
      <c r="J533" s="320">
        <f t="shared" si="103"/>
        <v>3600</v>
      </c>
      <c r="K533" s="320">
        <f t="shared" si="104"/>
        <v>360</v>
      </c>
      <c r="L533" s="320">
        <f t="shared" si="105"/>
        <v>1800</v>
      </c>
      <c r="M533" s="254"/>
    </row>
    <row r="534" spans="1:13" ht="22.5" customHeight="1">
      <c r="A534" s="254">
        <v>485</v>
      </c>
      <c r="B534" s="254" t="s">
        <v>1182</v>
      </c>
      <c r="C534" s="254" t="s">
        <v>1183</v>
      </c>
      <c r="D534" s="254" t="s">
        <v>113</v>
      </c>
      <c r="E534" s="288">
        <v>5</v>
      </c>
      <c r="F534" s="289">
        <v>25</v>
      </c>
      <c r="G534" s="320">
        <f t="shared" si="101"/>
        <v>125</v>
      </c>
      <c r="H534" s="320">
        <f t="shared" si="102"/>
        <v>625</v>
      </c>
      <c r="I534" s="320">
        <v>720</v>
      </c>
      <c r="J534" s="320">
        <f t="shared" si="103"/>
        <v>3600</v>
      </c>
      <c r="K534" s="320">
        <f t="shared" si="104"/>
        <v>360</v>
      </c>
      <c r="L534" s="320">
        <f t="shared" si="105"/>
        <v>1800</v>
      </c>
      <c r="M534" s="254"/>
    </row>
    <row r="535" spans="1:13" ht="22.5" customHeight="1">
      <c r="A535" s="936" t="s">
        <v>318</v>
      </c>
      <c r="B535" s="931"/>
      <c r="C535" s="932"/>
      <c r="D535" s="311">
        <f>COUNTA(STYL_A[QUALITY])</f>
        <v>33</v>
      </c>
      <c r="E535" s="312">
        <f>SUM(E502:E534)</f>
        <v>142</v>
      </c>
      <c r="F535" s="311"/>
      <c r="G535" s="311"/>
      <c r="H535" s="323">
        <f>SUM(H502:H534)</f>
        <v>19150</v>
      </c>
      <c r="I535" s="311"/>
      <c r="J535" s="311"/>
      <c r="K535" s="311"/>
      <c r="L535" s="311"/>
      <c r="M535" s="311"/>
    </row>
    <row r="536" spans="1:13" ht="16.8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</row>
    <row r="537" spans="1:13" ht="16.8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</row>
    <row r="538" spans="1:13" ht="13.2">
      <c r="A538" s="930" t="s">
        <v>39</v>
      </c>
      <c r="B538" s="931"/>
      <c r="C538" s="931"/>
      <c r="D538" s="931"/>
      <c r="E538" s="931"/>
      <c r="F538" s="931"/>
      <c r="G538" s="931"/>
      <c r="H538" s="931"/>
      <c r="I538" s="931"/>
      <c r="J538" s="931"/>
      <c r="K538" s="931"/>
      <c r="L538" s="931"/>
      <c r="M538" s="932"/>
    </row>
    <row r="539" spans="1:13" ht="22.5" customHeight="1">
      <c r="A539" s="253" t="s">
        <v>165</v>
      </c>
      <c r="B539" s="282" t="s">
        <v>166</v>
      </c>
      <c r="C539" s="282" t="s">
        <v>167</v>
      </c>
      <c r="D539" s="255" t="s">
        <v>168</v>
      </c>
      <c r="E539" s="255" t="s">
        <v>169</v>
      </c>
      <c r="F539" s="284" t="s">
        <v>1184</v>
      </c>
      <c r="G539" s="285" t="s">
        <v>1185</v>
      </c>
      <c r="H539" s="255" t="s">
        <v>172</v>
      </c>
      <c r="I539" s="286" t="s">
        <v>1186</v>
      </c>
      <c r="J539" s="286" t="s">
        <v>1187</v>
      </c>
      <c r="K539" s="282" t="s">
        <v>175</v>
      </c>
      <c r="L539" s="282" t="s">
        <v>1188</v>
      </c>
      <c r="M539" s="287" t="s">
        <v>177</v>
      </c>
    </row>
    <row r="540" spans="1:13" ht="22.5" customHeight="1">
      <c r="A540" s="254">
        <v>486</v>
      </c>
      <c r="B540" s="254" t="s">
        <v>1189</v>
      </c>
      <c r="C540" s="254" t="s">
        <v>1190</v>
      </c>
      <c r="D540" s="254" t="s">
        <v>112</v>
      </c>
      <c r="E540" s="288">
        <v>5</v>
      </c>
      <c r="F540" s="289">
        <v>28</v>
      </c>
      <c r="G540" s="290">
        <f t="shared" ref="G540:G546" si="106">F540*5</f>
        <v>140</v>
      </c>
      <c r="H540" s="290">
        <f t="shared" ref="H540:H546" si="107">E540*G540</f>
        <v>700</v>
      </c>
      <c r="I540" s="305">
        <v>720</v>
      </c>
      <c r="J540" s="306">
        <f t="shared" ref="J540:J546" si="108">I540*E540</f>
        <v>3600</v>
      </c>
      <c r="K540" s="306">
        <f t="shared" ref="K540:K546" si="109">I540/2</f>
        <v>360</v>
      </c>
      <c r="L540" s="306">
        <f t="shared" ref="L540:L546" si="110">K540*E540</f>
        <v>1800</v>
      </c>
      <c r="M540" s="254"/>
    </row>
    <row r="541" spans="1:13" ht="22.5" customHeight="1">
      <c r="A541" s="254">
        <v>487</v>
      </c>
      <c r="B541" s="254" t="s">
        <v>1191</v>
      </c>
      <c r="C541" s="254" t="s">
        <v>1192</v>
      </c>
      <c r="D541" s="254" t="s">
        <v>113</v>
      </c>
      <c r="E541" s="288">
        <v>5</v>
      </c>
      <c r="F541" s="289">
        <v>20</v>
      </c>
      <c r="G541" s="290">
        <f t="shared" si="106"/>
        <v>100</v>
      </c>
      <c r="H541" s="290">
        <f t="shared" si="107"/>
        <v>500</v>
      </c>
      <c r="I541" s="305">
        <v>720</v>
      </c>
      <c r="J541" s="306">
        <f t="shared" si="108"/>
        <v>3600</v>
      </c>
      <c r="K541" s="306">
        <f t="shared" si="109"/>
        <v>360</v>
      </c>
      <c r="L541" s="306">
        <f t="shared" si="110"/>
        <v>1800</v>
      </c>
      <c r="M541" s="254"/>
    </row>
    <row r="542" spans="1:13" ht="22.5" customHeight="1">
      <c r="A542" s="254">
        <v>488</v>
      </c>
      <c r="B542" s="254" t="s">
        <v>1193</v>
      </c>
      <c r="C542" s="254" t="s">
        <v>1194</v>
      </c>
      <c r="D542" s="254" t="s">
        <v>112</v>
      </c>
      <c r="E542" s="288">
        <v>5</v>
      </c>
      <c r="F542" s="289">
        <v>28</v>
      </c>
      <c r="G542" s="290">
        <f t="shared" si="106"/>
        <v>140</v>
      </c>
      <c r="H542" s="290">
        <f t="shared" si="107"/>
        <v>700</v>
      </c>
      <c r="I542" s="305">
        <v>720</v>
      </c>
      <c r="J542" s="306">
        <f t="shared" si="108"/>
        <v>3600</v>
      </c>
      <c r="K542" s="306">
        <f t="shared" si="109"/>
        <v>360</v>
      </c>
      <c r="L542" s="306">
        <f t="shared" si="110"/>
        <v>1800</v>
      </c>
      <c r="M542" s="254"/>
    </row>
    <row r="543" spans="1:13" ht="22.5" customHeight="1">
      <c r="A543" s="254">
        <v>489</v>
      </c>
      <c r="B543" s="254" t="s">
        <v>1195</v>
      </c>
      <c r="C543" s="254" t="s">
        <v>1196</v>
      </c>
      <c r="D543" s="254" t="s">
        <v>112</v>
      </c>
      <c r="E543" s="288">
        <v>5</v>
      </c>
      <c r="F543" s="289">
        <v>28</v>
      </c>
      <c r="G543" s="290">
        <f t="shared" si="106"/>
        <v>140</v>
      </c>
      <c r="H543" s="290">
        <f t="shared" si="107"/>
        <v>700</v>
      </c>
      <c r="I543" s="305">
        <v>720</v>
      </c>
      <c r="J543" s="306">
        <f t="shared" si="108"/>
        <v>3600</v>
      </c>
      <c r="K543" s="306">
        <f t="shared" si="109"/>
        <v>360</v>
      </c>
      <c r="L543" s="306">
        <f t="shared" si="110"/>
        <v>1800</v>
      </c>
      <c r="M543" s="254"/>
    </row>
    <row r="544" spans="1:13" ht="22.5" customHeight="1">
      <c r="A544" s="254">
        <v>490</v>
      </c>
      <c r="B544" s="254" t="s">
        <v>1197</v>
      </c>
      <c r="C544" s="254" t="s">
        <v>1198</v>
      </c>
      <c r="D544" s="254" t="s">
        <v>113</v>
      </c>
      <c r="E544" s="288">
        <v>5</v>
      </c>
      <c r="F544" s="289">
        <v>20</v>
      </c>
      <c r="G544" s="290">
        <f t="shared" si="106"/>
        <v>100</v>
      </c>
      <c r="H544" s="290">
        <f t="shared" si="107"/>
        <v>500</v>
      </c>
      <c r="I544" s="305">
        <v>720</v>
      </c>
      <c r="J544" s="306">
        <f t="shared" si="108"/>
        <v>3600</v>
      </c>
      <c r="K544" s="306">
        <f t="shared" si="109"/>
        <v>360</v>
      </c>
      <c r="L544" s="306">
        <f t="shared" si="110"/>
        <v>1800</v>
      </c>
      <c r="M544" s="254"/>
    </row>
    <row r="545" spans="1:13" ht="22.5" customHeight="1">
      <c r="A545" s="254">
        <v>491</v>
      </c>
      <c r="B545" s="254" t="s">
        <v>1199</v>
      </c>
      <c r="C545" s="254" t="s">
        <v>1200</v>
      </c>
      <c r="D545" s="254" t="s">
        <v>112</v>
      </c>
      <c r="E545" s="288">
        <v>5</v>
      </c>
      <c r="F545" s="289">
        <v>28</v>
      </c>
      <c r="G545" s="290">
        <f t="shared" si="106"/>
        <v>140</v>
      </c>
      <c r="H545" s="290">
        <f t="shared" si="107"/>
        <v>700</v>
      </c>
      <c r="I545" s="305">
        <v>720</v>
      </c>
      <c r="J545" s="306">
        <f t="shared" si="108"/>
        <v>3600</v>
      </c>
      <c r="K545" s="306">
        <f t="shared" si="109"/>
        <v>360</v>
      </c>
      <c r="L545" s="306">
        <f t="shared" si="110"/>
        <v>1800</v>
      </c>
      <c r="M545" s="254"/>
    </row>
    <row r="546" spans="1:13" ht="22.5" customHeight="1">
      <c r="A546" s="254">
        <v>492</v>
      </c>
      <c r="B546" s="254" t="s">
        <v>1201</v>
      </c>
      <c r="C546" s="254" t="s">
        <v>1202</v>
      </c>
      <c r="D546" s="254" t="s">
        <v>113</v>
      </c>
      <c r="E546" s="288">
        <v>5</v>
      </c>
      <c r="F546" s="289">
        <v>20</v>
      </c>
      <c r="G546" s="290">
        <f t="shared" si="106"/>
        <v>100</v>
      </c>
      <c r="H546" s="290">
        <f t="shared" si="107"/>
        <v>500</v>
      </c>
      <c r="I546" s="305">
        <v>720</v>
      </c>
      <c r="J546" s="306">
        <f t="shared" si="108"/>
        <v>3600</v>
      </c>
      <c r="K546" s="306">
        <f t="shared" si="109"/>
        <v>360</v>
      </c>
      <c r="L546" s="306">
        <f t="shared" si="110"/>
        <v>1800</v>
      </c>
      <c r="M546" s="254"/>
    </row>
    <row r="547" spans="1:13" ht="22.5" customHeight="1">
      <c r="A547" s="936" t="s">
        <v>318</v>
      </c>
      <c r="B547" s="931"/>
      <c r="C547" s="932"/>
      <c r="D547" s="311">
        <f>COUNTA(D540:D546)</f>
        <v>7</v>
      </c>
      <c r="E547" s="312">
        <f>SUM(E540:E546)</f>
        <v>35</v>
      </c>
      <c r="F547" s="311"/>
      <c r="G547" s="311"/>
      <c r="H547" s="315">
        <f>SUM(H540:H546)</f>
        <v>4300</v>
      </c>
      <c r="I547" s="311"/>
      <c r="J547" s="311"/>
      <c r="K547" s="311"/>
      <c r="L547" s="311"/>
      <c r="M547" s="311"/>
    </row>
    <row r="548" spans="1:13" ht="16.8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</row>
    <row r="549" spans="1:13" ht="16.8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</row>
    <row r="550" spans="1:13" ht="13.2">
      <c r="A550" s="930" t="s">
        <v>40</v>
      </c>
      <c r="B550" s="931"/>
      <c r="C550" s="931"/>
      <c r="D550" s="931"/>
      <c r="E550" s="931"/>
      <c r="F550" s="931"/>
      <c r="G550" s="931"/>
      <c r="H550" s="931"/>
      <c r="I550" s="931"/>
      <c r="J550" s="931"/>
      <c r="K550" s="931"/>
      <c r="L550" s="931"/>
      <c r="M550" s="932"/>
    </row>
    <row r="551" spans="1:13" ht="22.5" customHeight="1">
      <c r="A551" s="253" t="s">
        <v>165</v>
      </c>
      <c r="B551" s="282" t="s">
        <v>166</v>
      </c>
      <c r="C551" s="282" t="s">
        <v>167</v>
      </c>
      <c r="D551" s="255" t="s">
        <v>168</v>
      </c>
      <c r="E551" s="255" t="s">
        <v>169</v>
      </c>
      <c r="F551" s="284" t="s">
        <v>1203</v>
      </c>
      <c r="G551" s="285" t="s">
        <v>1204</v>
      </c>
      <c r="H551" s="255" t="s">
        <v>172</v>
      </c>
      <c r="I551" s="286" t="s">
        <v>1205</v>
      </c>
      <c r="J551" s="286" t="s">
        <v>1206</v>
      </c>
      <c r="K551" s="282" t="s">
        <v>175</v>
      </c>
      <c r="L551" s="282" t="s">
        <v>1207</v>
      </c>
      <c r="M551" s="287" t="s">
        <v>177</v>
      </c>
    </row>
    <row r="552" spans="1:13" ht="22.5" customHeight="1">
      <c r="A552" s="254">
        <v>493</v>
      </c>
      <c r="B552" s="254" t="s">
        <v>1208</v>
      </c>
      <c r="C552" s="254" t="s">
        <v>1209</v>
      </c>
      <c r="D552" s="254" t="s">
        <v>133</v>
      </c>
      <c r="E552" s="288">
        <v>5</v>
      </c>
      <c r="F552" s="289">
        <v>45</v>
      </c>
      <c r="G552" s="320">
        <f t="shared" ref="G552:G574" si="111">F552*5</f>
        <v>225</v>
      </c>
      <c r="H552" s="320">
        <f t="shared" ref="H552:H574" si="112">E552*G552</f>
        <v>1125</v>
      </c>
      <c r="I552" s="326">
        <f t="shared" ref="I552:I574" si="113">G552*5</f>
        <v>1125</v>
      </c>
      <c r="J552" s="327">
        <f t="shared" ref="J552:J574" si="114">I552*E552</f>
        <v>5625</v>
      </c>
      <c r="K552" s="327">
        <f t="shared" ref="K552:K574" si="115">I552/2</f>
        <v>562.5</v>
      </c>
      <c r="L552" s="327">
        <f t="shared" ref="L552:L574" si="116">K552*E552</f>
        <v>2812.5</v>
      </c>
      <c r="M552" s="254"/>
    </row>
    <row r="553" spans="1:13" ht="22.5" customHeight="1">
      <c r="A553" s="254">
        <v>494</v>
      </c>
      <c r="B553" s="254" t="s">
        <v>1210</v>
      </c>
      <c r="C553" s="254" t="s">
        <v>1211</v>
      </c>
      <c r="D553" s="254" t="s">
        <v>113</v>
      </c>
      <c r="E553" s="288">
        <v>5</v>
      </c>
      <c r="F553" s="289">
        <v>35</v>
      </c>
      <c r="G553" s="320">
        <f t="shared" si="111"/>
        <v>175</v>
      </c>
      <c r="H553" s="320">
        <f t="shared" si="112"/>
        <v>875</v>
      </c>
      <c r="I553" s="326">
        <f t="shared" si="113"/>
        <v>875</v>
      </c>
      <c r="J553" s="327">
        <f t="shared" si="114"/>
        <v>4375</v>
      </c>
      <c r="K553" s="327">
        <f t="shared" si="115"/>
        <v>437.5</v>
      </c>
      <c r="L553" s="327">
        <f t="shared" si="116"/>
        <v>2187.5</v>
      </c>
      <c r="M553" s="254"/>
    </row>
    <row r="554" spans="1:13" ht="22.5" customHeight="1">
      <c r="A554" s="254">
        <v>495</v>
      </c>
      <c r="B554" s="254" t="s">
        <v>1212</v>
      </c>
      <c r="C554" s="254" t="s">
        <v>1213</v>
      </c>
      <c r="D554" s="254" t="s">
        <v>133</v>
      </c>
      <c r="E554" s="288">
        <v>5</v>
      </c>
      <c r="F554" s="289">
        <v>45</v>
      </c>
      <c r="G554" s="320">
        <f t="shared" si="111"/>
        <v>225</v>
      </c>
      <c r="H554" s="320">
        <f t="shared" si="112"/>
        <v>1125</v>
      </c>
      <c r="I554" s="326">
        <f t="shared" si="113"/>
        <v>1125</v>
      </c>
      <c r="J554" s="327">
        <f t="shared" si="114"/>
        <v>5625</v>
      </c>
      <c r="K554" s="327">
        <f t="shared" si="115"/>
        <v>562.5</v>
      </c>
      <c r="L554" s="327">
        <f t="shared" si="116"/>
        <v>2812.5</v>
      </c>
      <c r="M554" s="254"/>
    </row>
    <row r="555" spans="1:13" ht="22.5" customHeight="1">
      <c r="A555" s="254">
        <v>496</v>
      </c>
      <c r="B555" s="254" t="s">
        <v>1214</v>
      </c>
      <c r="C555" s="254" t="s">
        <v>1215</v>
      </c>
      <c r="D555" s="254" t="s">
        <v>113</v>
      </c>
      <c r="E555" s="288">
        <v>5</v>
      </c>
      <c r="F555" s="289">
        <v>35</v>
      </c>
      <c r="G555" s="320">
        <f t="shared" si="111"/>
        <v>175</v>
      </c>
      <c r="H555" s="320">
        <f t="shared" si="112"/>
        <v>875</v>
      </c>
      <c r="I555" s="326">
        <f t="shared" si="113"/>
        <v>875</v>
      </c>
      <c r="J555" s="327">
        <f t="shared" si="114"/>
        <v>4375</v>
      </c>
      <c r="K555" s="327">
        <f t="shared" si="115"/>
        <v>437.5</v>
      </c>
      <c r="L555" s="327">
        <f t="shared" si="116"/>
        <v>2187.5</v>
      </c>
      <c r="M555" s="254"/>
    </row>
    <row r="556" spans="1:13" ht="22.5" customHeight="1">
      <c r="A556" s="254">
        <v>497</v>
      </c>
      <c r="B556" s="254" t="s">
        <v>1216</v>
      </c>
      <c r="C556" s="254" t="s">
        <v>1217</v>
      </c>
      <c r="D556" s="254" t="s">
        <v>133</v>
      </c>
      <c r="E556" s="288">
        <v>5</v>
      </c>
      <c r="F556" s="289">
        <v>45</v>
      </c>
      <c r="G556" s="320">
        <f t="shared" si="111"/>
        <v>225</v>
      </c>
      <c r="H556" s="320">
        <f t="shared" si="112"/>
        <v>1125</v>
      </c>
      <c r="I556" s="326">
        <f t="shared" si="113"/>
        <v>1125</v>
      </c>
      <c r="J556" s="327">
        <f t="shared" si="114"/>
        <v>5625</v>
      </c>
      <c r="K556" s="327">
        <f t="shared" si="115"/>
        <v>562.5</v>
      </c>
      <c r="L556" s="327">
        <f t="shared" si="116"/>
        <v>2812.5</v>
      </c>
      <c r="M556" s="254"/>
    </row>
    <row r="557" spans="1:13" ht="22.5" customHeight="1">
      <c r="A557" s="254">
        <v>498</v>
      </c>
      <c r="B557" s="254" t="s">
        <v>1218</v>
      </c>
      <c r="C557" s="254" t="s">
        <v>1219</v>
      </c>
      <c r="D557" s="254" t="s">
        <v>133</v>
      </c>
      <c r="E557" s="288">
        <v>5</v>
      </c>
      <c r="F557" s="289">
        <v>45</v>
      </c>
      <c r="G557" s="320">
        <f t="shared" si="111"/>
        <v>225</v>
      </c>
      <c r="H557" s="320">
        <f t="shared" si="112"/>
        <v>1125</v>
      </c>
      <c r="I557" s="326">
        <f t="shared" si="113"/>
        <v>1125</v>
      </c>
      <c r="J557" s="327">
        <f t="shared" si="114"/>
        <v>5625</v>
      </c>
      <c r="K557" s="327">
        <f t="shared" si="115"/>
        <v>562.5</v>
      </c>
      <c r="L557" s="327">
        <f t="shared" si="116"/>
        <v>2812.5</v>
      </c>
      <c r="M557" s="254"/>
    </row>
    <row r="558" spans="1:13" ht="22.5" customHeight="1">
      <c r="A558" s="254">
        <v>499</v>
      </c>
      <c r="B558" s="254" t="s">
        <v>1220</v>
      </c>
      <c r="C558" s="254" t="s">
        <v>1221</v>
      </c>
      <c r="D558" s="254" t="s">
        <v>133</v>
      </c>
      <c r="E558" s="288">
        <v>5</v>
      </c>
      <c r="F558" s="289">
        <v>45</v>
      </c>
      <c r="G558" s="320">
        <f t="shared" si="111"/>
        <v>225</v>
      </c>
      <c r="H558" s="320">
        <f t="shared" si="112"/>
        <v>1125</v>
      </c>
      <c r="I558" s="326">
        <f t="shared" si="113"/>
        <v>1125</v>
      </c>
      <c r="J558" s="327">
        <f t="shared" si="114"/>
        <v>5625</v>
      </c>
      <c r="K558" s="327">
        <f t="shared" si="115"/>
        <v>562.5</v>
      </c>
      <c r="L558" s="327">
        <f t="shared" si="116"/>
        <v>2812.5</v>
      </c>
      <c r="M558" s="254"/>
    </row>
    <row r="559" spans="1:13" ht="22.5" customHeight="1">
      <c r="A559" s="254">
        <v>500</v>
      </c>
      <c r="B559" s="254" t="s">
        <v>1222</v>
      </c>
      <c r="C559" s="254" t="s">
        <v>1223</v>
      </c>
      <c r="D559" s="254" t="s">
        <v>133</v>
      </c>
      <c r="E559" s="288">
        <v>5</v>
      </c>
      <c r="F559" s="289">
        <v>45</v>
      </c>
      <c r="G559" s="320">
        <f t="shared" si="111"/>
        <v>225</v>
      </c>
      <c r="H559" s="320">
        <f t="shared" si="112"/>
        <v>1125</v>
      </c>
      <c r="I559" s="326">
        <f t="shared" si="113"/>
        <v>1125</v>
      </c>
      <c r="J559" s="327">
        <f t="shared" si="114"/>
        <v>5625</v>
      </c>
      <c r="K559" s="327">
        <f t="shared" si="115"/>
        <v>562.5</v>
      </c>
      <c r="L559" s="327">
        <f t="shared" si="116"/>
        <v>2812.5</v>
      </c>
      <c r="M559" s="254"/>
    </row>
    <row r="560" spans="1:13" ht="22.5" customHeight="1">
      <c r="A560" s="254">
        <v>501</v>
      </c>
      <c r="B560" s="254" t="s">
        <v>1224</v>
      </c>
      <c r="C560" s="254" t="s">
        <v>1225</v>
      </c>
      <c r="D560" s="254" t="s">
        <v>113</v>
      </c>
      <c r="E560" s="288">
        <v>5</v>
      </c>
      <c r="F560" s="289">
        <v>35</v>
      </c>
      <c r="G560" s="320">
        <f t="shared" si="111"/>
        <v>175</v>
      </c>
      <c r="H560" s="320">
        <f t="shared" si="112"/>
        <v>875</v>
      </c>
      <c r="I560" s="326">
        <f t="shared" si="113"/>
        <v>875</v>
      </c>
      <c r="J560" s="327">
        <f t="shared" si="114"/>
        <v>4375</v>
      </c>
      <c r="K560" s="327">
        <f t="shared" si="115"/>
        <v>437.5</v>
      </c>
      <c r="L560" s="327">
        <f t="shared" si="116"/>
        <v>2187.5</v>
      </c>
      <c r="M560" s="254"/>
    </row>
    <row r="561" spans="1:13" ht="22.5" customHeight="1">
      <c r="A561" s="254">
        <v>502</v>
      </c>
      <c r="B561" s="254" t="s">
        <v>1226</v>
      </c>
      <c r="C561" s="254" t="s">
        <v>1227</v>
      </c>
      <c r="D561" s="254" t="s">
        <v>113</v>
      </c>
      <c r="E561" s="288">
        <v>2.5</v>
      </c>
      <c r="F561" s="289">
        <v>35</v>
      </c>
      <c r="G561" s="320">
        <f t="shared" si="111"/>
        <v>175</v>
      </c>
      <c r="H561" s="320">
        <f t="shared" si="112"/>
        <v>437.5</v>
      </c>
      <c r="I561" s="326">
        <f t="shared" si="113"/>
        <v>875</v>
      </c>
      <c r="J561" s="327">
        <f t="shared" si="114"/>
        <v>2187.5</v>
      </c>
      <c r="K561" s="327">
        <f t="shared" si="115"/>
        <v>437.5</v>
      </c>
      <c r="L561" s="327">
        <f t="shared" si="116"/>
        <v>1093.75</v>
      </c>
      <c r="M561" s="254"/>
    </row>
    <row r="562" spans="1:13" ht="22.5" customHeight="1">
      <c r="A562" s="254">
        <v>503</v>
      </c>
      <c r="B562" s="254" t="s">
        <v>1228</v>
      </c>
      <c r="C562" s="254" t="s">
        <v>1229</v>
      </c>
      <c r="D562" s="254" t="s">
        <v>113</v>
      </c>
      <c r="E562" s="288">
        <v>2.5</v>
      </c>
      <c r="F562" s="289">
        <v>35</v>
      </c>
      <c r="G562" s="320">
        <f t="shared" si="111"/>
        <v>175</v>
      </c>
      <c r="H562" s="320">
        <f t="shared" si="112"/>
        <v>437.5</v>
      </c>
      <c r="I562" s="326">
        <f t="shared" si="113"/>
        <v>875</v>
      </c>
      <c r="J562" s="327">
        <f t="shared" si="114"/>
        <v>2187.5</v>
      </c>
      <c r="K562" s="327">
        <f t="shared" si="115"/>
        <v>437.5</v>
      </c>
      <c r="L562" s="327">
        <f t="shared" si="116"/>
        <v>1093.75</v>
      </c>
      <c r="M562" s="254"/>
    </row>
    <row r="563" spans="1:13" ht="22.5" customHeight="1">
      <c r="A563" s="254">
        <v>504</v>
      </c>
      <c r="B563" s="254" t="s">
        <v>1230</v>
      </c>
      <c r="C563" s="254" t="s">
        <v>1231</v>
      </c>
      <c r="D563" s="254" t="s">
        <v>113</v>
      </c>
      <c r="E563" s="288">
        <v>2.5</v>
      </c>
      <c r="F563" s="289">
        <v>35</v>
      </c>
      <c r="G563" s="320">
        <f t="shared" si="111"/>
        <v>175</v>
      </c>
      <c r="H563" s="320">
        <f t="shared" si="112"/>
        <v>437.5</v>
      </c>
      <c r="I563" s="326">
        <f t="shared" si="113"/>
        <v>875</v>
      </c>
      <c r="J563" s="327">
        <f t="shared" si="114"/>
        <v>2187.5</v>
      </c>
      <c r="K563" s="327">
        <f t="shared" si="115"/>
        <v>437.5</v>
      </c>
      <c r="L563" s="327">
        <f t="shared" si="116"/>
        <v>1093.75</v>
      </c>
      <c r="M563" s="254"/>
    </row>
    <row r="564" spans="1:13" ht="22.5" customHeight="1">
      <c r="A564" s="254">
        <v>505</v>
      </c>
      <c r="B564" s="254" t="s">
        <v>1232</v>
      </c>
      <c r="C564" s="254" t="s">
        <v>1233</v>
      </c>
      <c r="D564" s="254" t="s">
        <v>113</v>
      </c>
      <c r="E564" s="288">
        <v>2.5</v>
      </c>
      <c r="F564" s="289">
        <v>35</v>
      </c>
      <c r="G564" s="320">
        <f t="shared" si="111"/>
        <v>175</v>
      </c>
      <c r="H564" s="320">
        <f t="shared" si="112"/>
        <v>437.5</v>
      </c>
      <c r="I564" s="326">
        <f t="shared" si="113"/>
        <v>875</v>
      </c>
      <c r="J564" s="327">
        <f t="shared" si="114"/>
        <v>2187.5</v>
      </c>
      <c r="K564" s="327">
        <f t="shared" si="115"/>
        <v>437.5</v>
      </c>
      <c r="L564" s="327">
        <f t="shared" si="116"/>
        <v>1093.75</v>
      </c>
      <c r="M564" s="254"/>
    </row>
    <row r="565" spans="1:13" ht="22.5" customHeight="1">
      <c r="A565" s="254">
        <v>506</v>
      </c>
      <c r="B565" s="254" t="s">
        <v>1234</v>
      </c>
      <c r="C565" s="254" t="s">
        <v>1235</v>
      </c>
      <c r="D565" s="254" t="s">
        <v>113</v>
      </c>
      <c r="E565" s="288">
        <v>2.5</v>
      </c>
      <c r="F565" s="289">
        <v>35</v>
      </c>
      <c r="G565" s="320">
        <f t="shared" si="111"/>
        <v>175</v>
      </c>
      <c r="H565" s="320">
        <f t="shared" si="112"/>
        <v>437.5</v>
      </c>
      <c r="I565" s="326">
        <f t="shared" si="113"/>
        <v>875</v>
      </c>
      <c r="J565" s="327">
        <f t="shared" si="114"/>
        <v>2187.5</v>
      </c>
      <c r="K565" s="327">
        <f t="shared" si="115"/>
        <v>437.5</v>
      </c>
      <c r="L565" s="327">
        <f t="shared" si="116"/>
        <v>1093.75</v>
      </c>
      <c r="M565" s="254"/>
    </row>
    <row r="566" spans="1:13" ht="22.5" customHeight="1">
      <c r="A566" s="254">
        <v>507</v>
      </c>
      <c r="B566" s="254" t="s">
        <v>1236</v>
      </c>
      <c r="C566" s="254" t="s">
        <v>1237</v>
      </c>
      <c r="D566" s="254" t="s">
        <v>113</v>
      </c>
      <c r="E566" s="288">
        <v>2.5</v>
      </c>
      <c r="F566" s="289">
        <v>35</v>
      </c>
      <c r="G566" s="320">
        <f t="shared" si="111"/>
        <v>175</v>
      </c>
      <c r="H566" s="320">
        <f t="shared" si="112"/>
        <v>437.5</v>
      </c>
      <c r="I566" s="326">
        <f t="shared" si="113"/>
        <v>875</v>
      </c>
      <c r="J566" s="327">
        <f t="shared" si="114"/>
        <v>2187.5</v>
      </c>
      <c r="K566" s="327">
        <f t="shared" si="115"/>
        <v>437.5</v>
      </c>
      <c r="L566" s="327">
        <f t="shared" si="116"/>
        <v>1093.75</v>
      </c>
      <c r="M566" s="254"/>
    </row>
    <row r="567" spans="1:13" ht="22.5" customHeight="1">
      <c r="A567" s="254">
        <v>508</v>
      </c>
      <c r="B567" s="254" t="s">
        <v>1238</v>
      </c>
      <c r="C567" s="254" t="s">
        <v>1239</v>
      </c>
      <c r="D567" s="254" t="s">
        <v>113</v>
      </c>
      <c r="E567" s="288">
        <v>5</v>
      </c>
      <c r="F567" s="289">
        <v>35</v>
      </c>
      <c r="G567" s="320">
        <f t="shared" si="111"/>
        <v>175</v>
      </c>
      <c r="H567" s="320">
        <f t="shared" si="112"/>
        <v>875</v>
      </c>
      <c r="I567" s="326">
        <f t="shared" si="113"/>
        <v>875</v>
      </c>
      <c r="J567" s="327">
        <f t="shared" si="114"/>
        <v>4375</v>
      </c>
      <c r="K567" s="327">
        <f t="shared" si="115"/>
        <v>437.5</v>
      </c>
      <c r="L567" s="327">
        <f t="shared" si="116"/>
        <v>2187.5</v>
      </c>
      <c r="M567" s="254"/>
    </row>
    <row r="568" spans="1:13" ht="22.5" customHeight="1">
      <c r="A568" s="254">
        <v>509</v>
      </c>
      <c r="B568" s="254" t="s">
        <v>1240</v>
      </c>
      <c r="C568" s="254" t="s">
        <v>1241</v>
      </c>
      <c r="D568" s="254" t="s">
        <v>113</v>
      </c>
      <c r="E568" s="288">
        <v>5</v>
      </c>
      <c r="F568" s="289">
        <v>35</v>
      </c>
      <c r="G568" s="320">
        <f t="shared" si="111"/>
        <v>175</v>
      </c>
      <c r="H568" s="320">
        <f t="shared" si="112"/>
        <v>875</v>
      </c>
      <c r="I568" s="326">
        <f t="shared" si="113"/>
        <v>875</v>
      </c>
      <c r="J568" s="327">
        <f t="shared" si="114"/>
        <v>4375</v>
      </c>
      <c r="K568" s="327">
        <f t="shared" si="115"/>
        <v>437.5</v>
      </c>
      <c r="L568" s="327">
        <f t="shared" si="116"/>
        <v>2187.5</v>
      </c>
      <c r="M568" s="254"/>
    </row>
    <row r="569" spans="1:13" ht="22.5" customHeight="1">
      <c r="A569" s="254">
        <v>510</v>
      </c>
      <c r="B569" s="254" t="s">
        <v>1242</v>
      </c>
      <c r="C569" s="254" t="s">
        <v>1243</v>
      </c>
      <c r="D569" s="254" t="s">
        <v>133</v>
      </c>
      <c r="E569" s="288">
        <v>5</v>
      </c>
      <c r="F569" s="289">
        <v>30</v>
      </c>
      <c r="G569" s="320">
        <f t="shared" si="111"/>
        <v>150</v>
      </c>
      <c r="H569" s="320">
        <f t="shared" si="112"/>
        <v>750</v>
      </c>
      <c r="I569" s="326">
        <f t="shared" si="113"/>
        <v>750</v>
      </c>
      <c r="J569" s="327">
        <f t="shared" si="114"/>
        <v>3750</v>
      </c>
      <c r="K569" s="327">
        <f t="shared" si="115"/>
        <v>375</v>
      </c>
      <c r="L569" s="327">
        <f t="shared" si="116"/>
        <v>1875</v>
      </c>
      <c r="M569" s="254"/>
    </row>
    <row r="570" spans="1:13" ht="22.5" customHeight="1">
      <c r="A570" s="254">
        <v>511</v>
      </c>
      <c r="B570" s="254" t="s">
        <v>1244</v>
      </c>
      <c r="C570" s="254" t="s">
        <v>1245</v>
      </c>
      <c r="D570" s="254" t="s">
        <v>133</v>
      </c>
      <c r="E570" s="288">
        <v>5</v>
      </c>
      <c r="F570" s="289">
        <v>30</v>
      </c>
      <c r="G570" s="320">
        <f t="shared" si="111"/>
        <v>150</v>
      </c>
      <c r="H570" s="320">
        <f t="shared" si="112"/>
        <v>750</v>
      </c>
      <c r="I570" s="326">
        <f t="shared" si="113"/>
        <v>750</v>
      </c>
      <c r="J570" s="327">
        <f t="shared" si="114"/>
        <v>3750</v>
      </c>
      <c r="K570" s="327">
        <f t="shared" si="115"/>
        <v>375</v>
      </c>
      <c r="L570" s="327">
        <f t="shared" si="116"/>
        <v>1875</v>
      </c>
      <c r="M570" s="254"/>
    </row>
    <row r="571" spans="1:13" ht="22.5" customHeight="1">
      <c r="A571" s="254">
        <v>512</v>
      </c>
      <c r="B571" s="254" t="s">
        <v>1246</v>
      </c>
      <c r="C571" s="254" t="s">
        <v>1247</v>
      </c>
      <c r="D571" s="254" t="s">
        <v>133</v>
      </c>
      <c r="E571" s="288">
        <v>5</v>
      </c>
      <c r="F571" s="289">
        <v>30</v>
      </c>
      <c r="G571" s="320">
        <f t="shared" si="111"/>
        <v>150</v>
      </c>
      <c r="H571" s="320">
        <f t="shared" si="112"/>
        <v>750</v>
      </c>
      <c r="I571" s="326">
        <f t="shared" si="113"/>
        <v>750</v>
      </c>
      <c r="J571" s="327">
        <f t="shared" si="114"/>
        <v>3750</v>
      </c>
      <c r="K571" s="327">
        <f t="shared" si="115"/>
        <v>375</v>
      </c>
      <c r="L571" s="327">
        <f t="shared" si="116"/>
        <v>1875</v>
      </c>
      <c r="M571" s="254"/>
    </row>
    <row r="572" spans="1:13" ht="22.5" customHeight="1">
      <c r="A572" s="254">
        <v>513</v>
      </c>
      <c r="B572" s="254" t="s">
        <v>1248</v>
      </c>
      <c r="C572" s="254" t="s">
        <v>1249</v>
      </c>
      <c r="D572" s="254" t="s">
        <v>133</v>
      </c>
      <c r="E572" s="288">
        <v>5</v>
      </c>
      <c r="F572" s="289">
        <v>30</v>
      </c>
      <c r="G572" s="320">
        <f t="shared" si="111"/>
        <v>150</v>
      </c>
      <c r="H572" s="320">
        <f t="shared" si="112"/>
        <v>750</v>
      </c>
      <c r="I572" s="326">
        <f t="shared" si="113"/>
        <v>750</v>
      </c>
      <c r="J572" s="327">
        <f t="shared" si="114"/>
        <v>3750</v>
      </c>
      <c r="K572" s="327">
        <f t="shared" si="115"/>
        <v>375</v>
      </c>
      <c r="L572" s="327">
        <f t="shared" si="116"/>
        <v>1875</v>
      </c>
      <c r="M572" s="254"/>
    </row>
    <row r="573" spans="1:13" ht="22.5" customHeight="1">
      <c r="A573" s="254">
        <v>514</v>
      </c>
      <c r="B573" s="254" t="s">
        <v>1250</v>
      </c>
      <c r="C573" s="254" t="s">
        <v>1251</v>
      </c>
      <c r="D573" s="254" t="s">
        <v>133</v>
      </c>
      <c r="E573" s="288">
        <v>5</v>
      </c>
      <c r="F573" s="289">
        <v>30</v>
      </c>
      <c r="G573" s="320">
        <f t="shared" si="111"/>
        <v>150</v>
      </c>
      <c r="H573" s="320">
        <f t="shared" si="112"/>
        <v>750</v>
      </c>
      <c r="I573" s="326">
        <f t="shared" si="113"/>
        <v>750</v>
      </c>
      <c r="J573" s="327">
        <f t="shared" si="114"/>
        <v>3750</v>
      </c>
      <c r="K573" s="327">
        <f t="shared" si="115"/>
        <v>375</v>
      </c>
      <c r="L573" s="327">
        <f t="shared" si="116"/>
        <v>1875</v>
      </c>
      <c r="M573" s="254"/>
    </row>
    <row r="574" spans="1:13" ht="22.5" customHeight="1">
      <c r="A574" s="254">
        <v>515</v>
      </c>
      <c r="B574" s="254" t="s">
        <v>1252</v>
      </c>
      <c r="C574" s="254" t="s">
        <v>1253</v>
      </c>
      <c r="D574" s="254" t="s">
        <v>113</v>
      </c>
      <c r="E574" s="288">
        <v>5</v>
      </c>
      <c r="F574" s="289">
        <v>35</v>
      </c>
      <c r="G574" s="320">
        <f t="shared" si="111"/>
        <v>175</v>
      </c>
      <c r="H574" s="320">
        <f t="shared" si="112"/>
        <v>875</v>
      </c>
      <c r="I574" s="326">
        <f t="shared" si="113"/>
        <v>875</v>
      </c>
      <c r="J574" s="327">
        <f t="shared" si="114"/>
        <v>4375</v>
      </c>
      <c r="K574" s="327">
        <f t="shared" si="115"/>
        <v>437.5</v>
      </c>
      <c r="L574" s="327">
        <f t="shared" si="116"/>
        <v>2187.5</v>
      </c>
      <c r="M574" s="254"/>
    </row>
    <row r="575" spans="1:13" ht="22.5" customHeight="1">
      <c r="A575" s="936" t="s">
        <v>318</v>
      </c>
      <c r="B575" s="931"/>
      <c r="C575" s="932"/>
      <c r="D575" s="311">
        <f>COUNTA(UG_A[QUALITY])</f>
        <v>23</v>
      </c>
      <c r="E575" s="312">
        <f>SUM(E552:E574)</f>
        <v>100</v>
      </c>
      <c r="F575" s="328"/>
      <c r="G575" s="311"/>
      <c r="H575" s="323">
        <f>SUM(H552:H574)</f>
        <v>18375</v>
      </c>
      <c r="I575" s="311"/>
      <c r="J575" s="311"/>
      <c r="K575" s="311"/>
      <c r="L575" s="311"/>
      <c r="M575" s="311"/>
    </row>
    <row r="576" spans="1:13" ht="16.8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</row>
    <row r="577" spans="1:13" ht="16.8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</row>
    <row r="578" spans="1:13" ht="16.8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</row>
    <row r="579" spans="1:13" ht="13.2">
      <c r="A579" s="930" t="s">
        <v>41</v>
      </c>
      <c r="B579" s="931"/>
      <c r="C579" s="931"/>
      <c r="D579" s="931"/>
      <c r="E579" s="931"/>
      <c r="F579" s="931"/>
      <c r="G579" s="931"/>
      <c r="H579" s="931"/>
      <c r="I579" s="931"/>
      <c r="J579" s="931"/>
      <c r="K579" s="931"/>
      <c r="L579" s="931"/>
      <c r="M579" s="932"/>
    </row>
    <row r="580" spans="1:13" ht="22.5" customHeight="1">
      <c r="A580" s="253" t="s">
        <v>165</v>
      </c>
      <c r="B580" s="282" t="s">
        <v>166</v>
      </c>
      <c r="C580" s="255" t="s">
        <v>167</v>
      </c>
      <c r="D580" s="255" t="s">
        <v>168</v>
      </c>
      <c r="E580" s="255" t="s">
        <v>169</v>
      </c>
      <c r="F580" s="284" t="s">
        <v>1254</v>
      </c>
      <c r="G580" s="285" t="s">
        <v>1255</v>
      </c>
      <c r="H580" s="255" t="s">
        <v>172</v>
      </c>
      <c r="I580" s="286" t="s">
        <v>1256</v>
      </c>
      <c r="J580" s="286" t="s">
        <v>1257</v>
      </c>
      <c r="K580" s="282" t="s">
        <v>175</v>
      </c>
      <c r="L580" s="282" t="s">
        <v>1258</v>
      </c>
      <c r="M580" s="287" t="s">
        <v>177</v>
      </c>
    </row>
    <row r="581" spans="1:13" ht="22.5" customHeight="1">
      <c r="A581" s="254">
        <v>516</v>
      </c>
      <c r="B581" s="254" t="s">
        <v>1259</v>
      </c>
      <c r="C581" s="254" t="s">
        <v>1260</v>
      </c>
      <c r="D581" s="254" t="s">
        <v>115</v>
      </c>
      <c r="E581" s="288">
        <v>5</v>
      </c>
      <c r="F581" s="289">
        <v>40</v>
      </c>
      <c r="G581" s="320">
        <f t="shared" ref="G581:G585" si="117">F581*5</f>
        <v>200</v>
      </c>
      <c r="H581" s="320">
        <f t="shared" ref="H581:H585" si="118">E581*G581</f>
        <v>1000</v>
      </c>
      <c r="I581" s="320">
        <f t="shared" ref="I581:I582" si="119">G581*5</f>
        <v>1000</v>
      </c>
      <c r="J581" s="320">
        <f t="shared" ref="J581:J585" si="120">I581*E581</f>
        <v>5000</v>
      </c>
      <c r="K581" s="320">
        <f t="shared" ref="K581:K585" si="121">I581/2</f>
        <v>500</v>
      </c>
      <c r="L581" s="320">
        <f t="shared" ref="L581:L585" si="122">K581*E581</f>
        <v>2500</v>
      </c>
      <c r="M581" s="254"/>
    </row>
    <row r="582" spans="1:13" ht="22.5" customHeight="1">
      <c r="A582" s="254">
        <v>517</v>
      </c>
      <c r="B582" s="274" t="s">
        <v>1261</v>
      </c>
      <c r="C582" s="254" t="s">
        <v>1262</v>
      </c>
      <c r="D582" s="254" t="s">
        <v>136</v>
      </c>
      <c r="E582" s="288">
        <v>5.8</v>
      </c>
      <c r="F582" s="289">
        <v>100</v>
      </c>
      <c r="G582" s="320">
        <f t="shared" si="117"/>
        <v>500</v>
      </c>
      <c r="H582" s="320">
        <f t="shared" si="118"/>
        <v>2900</v>
      </c>
      <c r="I582" s="320">
        <f t="shared" si="119"/>
        <v>2500</v>
      </c>
      <c r="J582" s="320">
        <f t="shared" si="120"/>
        <v>14500</v>
      </c>
      <c r="K582" s="320">
        <f t="shared" si="121"/>
        <v>1250</v>
      </c>
      <c r="L582" s="320">
        <f t="shared" si="122"/>
        <v>7250</v>
      </c>
      <c r="M582" s="254"/>
    </row>
    <row r="583" spans="1:13" ht="22.5" customHeight="1">
      <c r="A583" s="254">
        <v>518</v>
      </c>
      <c r="B583" s="274" t="s">
        <v>1263</v>
      </c>
      <c r="C583" s="254" t="s">
        <v>1264</v>
      </c>
      <c r="D583" s="254" t="s">
        <v>135</v>
      </c>
      <c r="E583" s="288">
        <v>5</v>
      </c>
      <c r="F583" s="289">
        <v>29</v>
      </c>
      <c r="G583" s="320">
        <f t="shared" si="117"/>
        <v>145</v>
      </c>
      <c r="H583" s="320">
        <f t="shared" si="118"/>
        <v>725</v>
      </c>
      <c r="I583" s="320">
        <v>800</v>
      </c>
      <c r="J583" s="320">
        <f t="shared" si="120"/>
        <v>4000</v>
      </c>
      <c r="K583" s="320">
        <f t="shared" si="121"/>
        <v>400</v>
      </c>
      <c r="L583" s="320">
        <f t="shared" si="122"/>
        <v>2000</v>
      </c>
      <c r="M583" s="254"/>
    </row>
    <row r="584" spans="1:13" ht="22.5" customHeight="1">
      <c r="A584" s="254">
        <v>519</v>
      </c>
      <c r="B584" s="254" t="s">
        <v>1265</v>
      </c>
      <c r="C584" s="254" t="s">
        <v>1266</v>
      </c>
      <c r="D584" s="254" t="s">
        <v>112</v>
      </c>
      <c r="E584" s="288">
        <v>4.2</v>
      </c>
      <c r="F584" s="289">
        <v>28</v>
      </c>
      <c r="G584" s="320">
        <f t="shared" si="117"/>
        <v>140</v>
      </c>
      <c r="H584" s="320">
        <f t="shared" si="118"/>
        <v>588</v>
      </c>
      <c r="I584" s="320">
        <v>800</v>
      </c>
      <c r="J584" s="320">
        <f t="shared" si="120"/>
        <v>3360</v>
      </c>
      <c r="K584" s="320">
        <f t="shared" si="121"/>
        <v>400</v>
      </c>
      <c r="L584" s="320">
        <f t="shared" si="122"/>
        <v>1680</v>
      </c>
      <c r="M584" s="254"/>
    </row>
    <row r="585" spans="1:13" ht="22.5" customHeight="1">
      <c r="A585" s="254">
        <v>520</v>
      </c>
      <c r="B585" s="254" t="s">
        <v>1267</v>
      </c>
      <c r="C585" s="254" t="s">
        <v>1268</v>
      </c>
      <c r="D585" s="254" t="s">
        <v>112</v>
      </c>
      <c r="E585" s="288">
        <v>4.2</v>
      </c>
      <c r="F585" s="289">
        <v>28</v>
      </c>
      <c r="G585" s="320">
        <f t="shared" si="117"/>
        <v>140</v>
      </c>
      <c r="H585" s="320">
        <f t="shared" si="118"/>
        <v>588</v>
      </c>
      <c r="I585" s="320">
        <v>800</v>
      </c>
      <c r="J585" s="320">
        <f t="shared" si="120"/>
        <v>3360</v>
      </c>
      <c r="K585" s="320">
        <f t="shared" si="121"/>
        <v>400</v>
      </c>
      <c r="L585" s="320">
        <f t="shared" si="122"/>
        <v>1680</v>
      </c>
      <c r="M585" s="254"/>
    </row>
    <row r="586" spans="1:13" ht="22.5" customHeight="1">
      <c r="A586" s="936" t="s">
        <v>318</v>
      </c>
      <c r="B586" s="931"/>
      <c r="C586" s="284"/>
      <c r="D586" s="311">
        <f>COUNTA(D581:D585)</f>
        <v>5</v>
      </c>
      <c r="E586" s="329">
        <f>SUM(E581:E585)</f>
        <v>24.2</v>
      </c>
      <c r="F586" s="313"/>
      <c r="G586" s="313"/>
      <c r="H586" s="315">
        <f>SUM(H581:H585)</f>
        <v>5801</v>
      </c>
      <c r="I586" s="313"/>
      <c r="J586" s="313"/>
      <c r="K586" s="313"/>
      <c r="L586" s="313"/>
      <c r="M586" s="313"/>
    </row>
    <row r="587" spans="1:13" ht="16.8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</row>
    <row r="588" spans="1:13" ht="16.8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</row>
    <row r="589" spans="1:13" ht="13.2">
      <c r="A589" s="930" t="s">
        <v>42</v>
      </c>
      <c r="B589" s="931"/>
      <c r="C589" s="931"/>
      <c r="D589" s="931"/>
      <c r="E589" s="931"/>
      <c r="F589" s="931"/>
      <c r="G589" s="931"/>
      <c r="H589" s="931"/>
      <c r="I589" s="931"/>
      <c r="J589" s="931"/>
      <c r="K589" s="931"/>
      <c r="L589" s="931"/>
      <c r="M589" s="932"/>
    </row>
    <row r="590" spans="1:13" ht="22.5" customHeight="1">
      <c r="A590" s="253" t="s">
        <v>165</v>
      </c>
      <c r="B590" s="282" t="s">
        <v>166</v>
      </c>
      <c r="C590" s="282" t="s">
        <v>167</v>
      </c>
      <c r="D590" s="255" t="s">
        <v>168</v>
      </c>
      <c r="E590" s="255" t="s">
        <v>169</v>
      </c>
      <c r="F590" s="284" t="s">
        <v>1269</v>
      </c>
      <c r="G590" s="285" t="s">
        <v>1270</v>
      </c>
      <c r="H590" s="255" t="s">
        <v>172</v>
      </c>
      <c r="I590" s="286" t="s">
        <v>1271</v>
      </c>
      <c r="J590" s="286" t="s">
        <v>1272</v>
      </c>
      <c r="K590" s="282" t="s">
        <v>175</v>
      </c>
      <c r="L590" s="282" t="s">
        <v>1273</v>
      </c>
      <c r="M590" s="287" t="s">
        <v>177</v>
      </c>
    </row>
    <row r="591" spans="1:13" ht="22.5" customHeight="1">
      <c r="A591" s="254">
        <v>521</v>
      </c>
      <c r="B591" s="290" t="s">
        <v>1274</v>
      </c>
      <c r="C591" s="254" t="s">
        <v>1275</v>
      </c>
      <c r="D591" s="254" t="s">
        <v>139</v>
      </c>
      <c r="E591" s="288">
        <v>5</v>
      </c>
      <c r="F591" s="289">
        <v>90</v>
      </c>
      <c r="G591" s="290">
        <f t="shared" ref="G591:G616" si="123">F591*5</f>
        <v>450</v>
      </c>
      <c r="H591" s="290">
        <f t="shared" ref="H591:H616" si="124">G591*E591</f>
        <v>2250</v>
      </c>
      <c r="I591" s="290">
        <f t="shared" ref="I591:I616" si="125">G591*5</f>
        <v>2250</v>
      </c>
      <c r="J591" s="290">
        <f t="shared" ref="J591:J616" si="126">I591*E591</f>
        <v>11250</v>
      </c>
      <c r="K591" s="290">
        <f t="shared" ref="K591:K616" si="127">I591/2</f>
        <v>1125</v>
      </c>
      <c r="L591" s="290">
        <f t="shared" ref="L591:L616" si="128">K591*E591</f>
        <v>5625</v>
      </c>
      <c r="M591" s="330"/>
    </row>
    <row r="592" spans="1:13" ht="22.5" customHeight="1">
      <c r="A592" s="254">
        <v>522</v>
      </c>
      <c r="B592" s="290" t="s">
        <v>1276</v>
      </c>
      <c r="C592" s="254" t="s">
        <v>1275</v>
      </c>
      <c r="D592" s="254" t="s">
        <v>139</v>
      </c>
      <c r="E592" s="288">
        <v>5</v>
      </c>
      <c r="F592" s="289">
        <v>90</v>
      </c>
      <c r="G592" s="290">
        <f t="shared" si="123"/>
        <v>450</v>
      </c>
      <c r="H592" s="290">
        <f t="shared" si="124"/>
        <v>2250</v>
      </c>
      <c r="I592" s="290">
        <f t="shared" si="125"/>
        <v>2250</v>
      </c>
      <c r="J592" s="290">
        <f t="shared" si="126"/>
        <v>11250</v>
      </c>
      <c r="K592" s="290">
        <f t="shared" si="127"/>
        <v>1125</v>
      </c>
      <c r="L592" s="290">
        <f t="shared" si="128"/>
        <v>5625</v>
      </c>
      <c r="M592" s="254"/>
    </row>
    <row r="593" spans="1:13" ht="22.5" customHeight="1">
      <c r="A593" s="254">
        <v>523</v>
      </c>
      <c r="B593" s="290" t="s">
        <v>1277</v>
      </c>
      <c r="C593" s="254" t="s">
        <v>1278</v>
      </c>
      <c r="D593" s="254" t="s">
        <v>139</v>
      </c>
      <c r="E593" s="288">
        <v>5</v>
      </c>
      <c r="F593" s="289">
        <v>90</v>
      </c>
      <c r="G593" s="290">
        <f t="shared" si="123"/>
        <v>450</v>
      </c>
      <c r="H593" s="290">
        <f t="shared" si="124"/>
        <v>2250</v>
      </c>
      <c r="I593" s="290">
        <f t="shared" si="125"/>
        <v>2250</v>
      </c>
      <c r="J593" s="290">
        <f t="shared" si="126"/>
        <v>11250</v>
      </c>
      <c r="K593" s="290">
        <f t="shared" si="127"/>
        <v>1125</v>
      </c>
      <c r="L593" s="290">
        <f t="shared" si="128"/>
        <v>5625</v>
      </c>
      <c r="M593" s="254"/>
    </row>
    <row r="594" spans="1:13" ht="22.5" customHeight="1">
      <c r="A594" s="254">
        <v>524</v>
      </c>
      <c r="B594" s="290" t="s">
        <v>1279</v>
      </c>
      <c r="C594" s="254" t="s">
        <v>1280</v>
      </c>
      <c r="D594" s="254" t="s">
        <v>139</v>
      </c>
      <c r="E594" s="288">
        <v>5</v>
      </c>
      <c r="F594" s="289">
        <v>90</v>
      </c>
      <c r="G594" s="290">
        <f t="shared" si="123"/>
        <v>450</v>
      </c>
      <c r="H594" s="290">
        <f t="shared" si="124"/>
        <v>2250</v>
      </c>
      <c r="I594" s="290">
        <f t="shared" si="125"/>
        <v>2250</v>
      </c>
      <c r="J594" s="290">
        <f t="shared" si="126"/>
        <v>11250</v>
      </c>
      <c r="K594" s="290">
        <f t="shared" si="127"/>
        <v>1125</v>
      </c>
      <c r="L594" s="290">
        <f t="shared" si="128"/>
        <v>5625</v>
      </c>
      <c r="M594" s="254"/>
    </row>
    <row r="595" spans="1:13" ht="22.5" customHeight="1">
      <c r="A595" s="254">
        <v>525</v>
      </c>
      <c r="B595" s="290" t="s">
        <v>1281</v>
      </c>
      <c r="C595" s="254" t="s">
        <v>1282</v>
      </c>
      <c r="D595" s="254" t="s">
        <v>139</v>
      </c>
      <c r="E595" s="288">
        <v>5</v>
      </c>
      <c r="F595" s="289">
        <v>90</v>
      </c>
      <c r="G595" s="290">
        <f t="shared" si="123"/>
        <v>450</v>
      </c>
      <c r="H595" s="290">
        <f t="shared" si="124"/>
        <v>2250</v>
      </c>
      <c r="I595" s="290">
        <f t="shared" si="125"/>
        <v>2250</v>
      </c>
      <c r="J595" s="290">
        <f t="shared" si="126"/>
        <v>11250</v>
      </c>
      <c r="K595" s="290">
        <f t="shared" si="127"/>
        <v>1125</v>
      </c>
      <c r="L595" s="290">
        <f t="shared" si="128"/>
        <v>5625</v>
      </c>
      <c r="M595" s="254"/>
    </row>
    <row r="596" spans="1:13" ht="22.5" customHeight="1">
      <c r="A596" s="254">
        <v>526</v>
      </c>
      <c r="B596" s="290" t="s">
        <v>1283</v>
      </c>
      <c r="C596" s="254" t="s">
        <v>1284</v>
      </c>
      <c r="D596" s="254" t="s">
        <v>139</v>
      </c>
      <c r="E596" s="288">
        <v>5</v>
      </c>
      <c r="F596" s="289">
        <v>90</v>
      </c>
      <c r="G596" s="290">
        <f t="shared" si="123"/>
        <v>450</v>
      </c>
      <c r="H596" s="290">
        <f t="shared" si="124"/>
        <v>2250</v>
      </c>
      <c r="I596" s="290">
        <f t="shared" si="125"/>
        <v>2250</v>
      </c>
      <c r="J596" s="290">
        <f t="shared" si="126"/>
        <v>11250</v>
      </c>
      <c r="K596" s="290">
        <f t="shared" si="127"/>
        <v>1125</v>
      </c>
      <c r="L596" s="290">
        <f t="shared" si="128"/>
        <v>5625</v>
      </c>
      <c r="M596" s="254"/>
    </row>
    <row r="597" spans="1:13" ht="22.5" customHeight="1">
      <c r="A597" s="254">
        <v>527</v>
      </c>
      <c r="B597" s="290" t="s">
        <v>1285</v>
      </c>
      <c r="C597" s="254" t="s">
        <v>1286</v>
      </c>
      <c r="D597" s="254" t="s">
        <v>139</v>
      </c>
      <c r="E597" s="288">
        <v>5</v>
      </c>
      <c r="F597" s="289">
        <v>90</v>
      </c>
      <c r="G597" s="290">
        <f t="shared" si="123"/>
        <v>450</v>
      </c>
      <c r="H597" s="290">
        <f t="shared" si="124"/>
        <v>2250</v>
      </c>
      <c r="I597" s="290">
        <f t="shared" si="125"/>
        <v>2250</v>
      </c>
      <c r="J597" s="290">
        <f t="shared" si="126"/>
        <v>11250</v>
      </c>
      <c r="K597" s="290">
        <f t="shared" si="127"/>
        <v>1125</v>
      </c>
      <c r="L597" s="290">
        <f t="shared" si="128"/>
        <v>5625</v>
      </c>
      <c r="M597" s="254"/>
    </row>
    <row r="598" spans="1:13" ht="22.5" customHeight="1">
      <c r="A598" s="254">
        <v>528</v>
      </c>
      <c r="B598" s="290" t="s">
        <v>1287</v>
      </c>
      <c r="C598" s="254" t="s">
        <v>1288</v>
      </c>
      <c r="D598" s="254" t="s">
        <v>139</v>
      </c>
      <c r="E598" s="288">
        <v>5</v>
      </c>
      <c r="F598" s="289">
        <v>90</v>
      </c>
      <c r="G598" s="290">
        <f t="shared" si="123"/>
        <v>450</v>
      </c>
      <c r="H598" s="290">
        <f t="shared" si="124"/>
        <v>2250</v>
      </c>
      <c r="I598" s="290">
        <f t="shared" si="125"/>
        <v>2250</v>
      </c>
      <c r="J598" s="290">
        <f t="shared" si="126"/>
        <v>11250</v>
      </c>
      <c r="K598" s="290">
        <f t="shared" si="127"/>
        <v>1125</v>
      </c>
      <c r="L598" s="290">
        <f t="shared" si="128"/>
        <v>5625</v>
      </c>
      <c r="M598" s="254"/>
    </row>
    <row r="599" spans="1:13" ht="22.5" customHeight="1">
      <c r="A599" s="254">
        <v>529</v>
      </c>
      <c r="B599" s="290" t="s">
        <v>1289</v>
      </c>
      <c r="C599" s="254" t="s">
        <v>1290</v>
      </c>
      <c r="D599" s="254" t="s">
        <v>139</v>
      </c>
      <c r="E599" s="288">
        <v>5</v>
      </c>
      <c r="F599" s="289">
        <v>90</v>
      </c>
      <c r="G599" s="290">
        <f t="shared" si="123"/>
        <v>450</v>
      </c>
      <c r="H599" s="290">
        <f t="shared" si="124"/>
        <v>2250</v>
      </c>
      <c r="I599" s="290">
        <f t="shared" si="125"/>
        <v>2250</v>
      </c>
      <c r="J599" s="290">
        <f t="shared" si="126"/>
        <v>11250</v>
      </c>
      <c r="K599" s="290">
        <f t="shared" si="127"/>
        <v>1125</v>
      </c>
      <c r="L599" s="290">
        <f t="shared" si="128"/>
        <v>5625</v>
      </c>
      <c r="M599" s="254"/>
    </row>
    <row r="600" spans="1:13" ht="22.5" customHeight="1">
      <c r="A600" s="254">
        <v>530</v>
      </c>
      <c r="B600" s="290" t="s">
        <v>1291</v>
      </c>
      <c r="C600" s="254" t="s">
        <v>1292</v>
      </c>
      <c r="D600" s="254" t="s">
        <v>139</v>
      </c>
      <c r="E600" s="288">
        <v>5</v>
      </c>
      <c r="F600" s="289">
        <v>90</v>
      </c>
      <c r="G600" s="290">
        <f t="shared" si="123"/>
        <v>450</v>
      </c>
      <c r="H600" s="290">
        <f t="shared" si="124"/>
        <v>2250</v>
      </c>
      <c r="I600" s="290">
        <f t="shared" si="125"/>
        <v>2250</v>
      </c>
      <c r="J600" s="290">
        <f t="shared" si="126"/>
        <v>11250</v>
      </c>
      <c r="K600" s="290">
        <f t="shared" si="127"/>
        <v>1125</v>
      </c>
      <c r="L600" s="290">
        <f t="shared" si="128"/>
        <v>5625</v>
      </c>
      <c r="M600" s="254"/>
    </row>
    <row r="601" spans="1:13" ht="22.5" customHeight="1">
      <c r="A601" s="254">
        <v>531</v>
      </c>
      <c r="B601" s="290" t="s">
        <v>1293</v>
      </c>
      <c r="C601" s="254" t="s">
        <v>1290</v>
      </c>
      <c r="D601" s="254" t="s">
        <v>139</v>
      </c>
      <c r="E601" s="288">
        <v>5</v>
      </c>
      <c r="F601" s="289">
        <v>90</v>
      </c>
      <c r="G601" s="290">
        <f t="shared" si="123"/>
        <v>450</v>
      </c>
      <c r="H601" s="290">
        <f t="shared" si="124"/>
        <v>2250</v>
      </c>
      <c r="I601" s="290">
        <f t="shared" si="125"/>
        <v>2250</v>
      </c>
      <c r="J601" s="290">
        <f t="shared" si="126"/>
        <v>11250</v>
      </c>
      <c r="K601" s="290">
        <f t="shared" si="127"/>
        <v>1125</v>
      </c>
      <c r="L601" s="290">
        <f t="shared" si="128"/>
        <v>5625</v>
      </c>
      <c r="M601" s="254"/>
    </row>
    <row r="602" spans="1:13" ht="22.5" customHeight="1">
      <c r="A602" s="254">
        <v>532</v>
      </c>
      <c r="B602" s="290" t="s">
        <v>1294</v>
      </c>
      <c r="C602" s="254" t="s">
        <v>1295</v>
      </c>
      <c r="D602" s="254" t="s">
        <v>139</v>
      </c>
      <c r="E602" s="288">
        <v>5</v>
      </c>
      <c r="F602" s="289">
        <v>90</v>
      </c>
      <c r="G602" s="290">
        <f t="shared" si="123"/>
        <v>450</v>
      </c>
      <c r="H602" s="290">
        <f t="shared" si="124"/>
        <v>2250</v>
      </c>
      <c r="I602" s="290">
        <f t="shared" si="125"/>
        <v>2250</v>
      </c>
      <c r="J602" s="290">
        <f t="shared" si="126"/>
        <v>11250</v>
      </c>
      <c r="K602" s="290">
        <f t="shared" si="127"/>
        <v>1125</v>
      </c>
      <c r="L602" s="290">
        <f t="shared" si="128"/>
        <v>5625</v>
      </c>
      <c r="M602" s="254"/>
    </row>
    <row r="603" spans="1:13" ht="22.5" customHeight="1">
      <c r="A603" s="254">
        <v>533</v>
      </c>
      <c r="B603" s="290" t="s">
        <v>1296</v>
      </c>
      <c r="C603" s="254" t="s">
        <v>1297</v>
      </c>
      <c r="D603" s="254" t="s">
        <v>139</v>
      </c>
      <c r="E603" s="288">
        <v>5</v>
      </c>
      <c r="F603" s="289">
        <v>90</v>
      </c>
      <c r="G603" s="290">
        <f t="shared" si="123"/>
        <v>450</v>
      </c>
      <c r="H603" s="290">
        <f t="shared" si="124"/>
        <v>2250</v>
      </c>
      <c r="I603" s="290">
        <f t="shared" si="125"/>
        <v>2250</v>
      </c>
      <c r="J603" s="290">
        <f t="shared" si="126"/>
        <v>11250</v>
      </c>
      <c r="K603" s="290">
        <f t="shared" si="127"/>
        <v>1125</v>
      </c>
      <c r="L603" s="290">
        <f t="shared" si="128"/>
        <v>5625</v>
      </c>
      <c r="M603" s="254"/>
    </row>
    <row r="604" spans="1:13" ht="22.5" customHeight="1">
      <c r="A604" s="254">
        <v>534</v>
      </c>
      <c r="B604" s="290" t="s">
        <v>1298</v>
      </c>
      <c r="C604" s="254" t="s">
        <v>1299</v>
      </c>
      <c r="D604" s="254" t="s">
        <v>139</v>
      </c>
      <c r="E604" s="288">
        <v>5</v>
      </c>
      <c r="F604" s="289">
        <v>90</v>
      </c>
      <c r="G604" s="290">
        <f t="shared" si="123"/>
        <v>450</v>
      </c>
      <c r="H604" s="290">
        <f t="shared" si="124"/>
        <v>2250</v>
      </c>
      <c r="I604" s="290">
        <f t="shared" si="125"/>
        <v>2250</v>
      </c>
      <c r="J604" s="290">
        <f t="shared" si="126"/>
        <v>11250</v>
      </c>
      <c r="K604" s="290">
        <f t="shared" si="127"/>
        <v>1125</v>
      </c>
      <c r="L604" s="290">
        <f t="shared" si="128"/>
        <v>5625</v>
      </c>
      <c r="M604" s="254"/>
    </row>
    <row r="605" spans="1:13" ht="22.5" customHeight="1">
      <c r="A605" s="254">
        <v>535</v>
      </c>
      <c r="B605" s="290" t="s">
        <v>1300</v>
      </c>
      <c r="C605" s="254" t="s">
        <v>1301</v>
      </c>
      <c r="D605" s="254" t="s">
        <v>139</v>
      </c>
      <c r="E605" s="288">
        <v>5</v>
      </c>
      <c r="F605" s="289">
        <v>90</v>
      </c>
      <c r="G605" s="290">
        <f t="shared" si="123"/>
        <v>450</v>
      </c>
      <c r="H605" s="290">
        <f t="shared" si="124"/>
        <v>2250</v>
      </c>
      <c r="I605" s="290">
        <f t="shared" si="125"/>
        <v>2250</v>
      </c>
      <c r="J605" s="290">
        <f t="shared" si="126"/>
        <v>11250</v>
      </c>
      <c r="K605" s="290">
        <f t="shared" si="127"/>
        <v>1125</v>
      </c>
      <c r="L605" s="290">
        <f t="shared" si="128"/>
        <v>5625</v>
      </c>
      <c r="M605" s="254"/>
    </row>
    <row r="606" spans="1:13" ht="22.5" customHeight="1">
      <c r="A606" s="254">
        <v>536</v>
      </c>
      <c r="B606" s="290" t="s">
        <v>1302</v>
      </c>
      <c r="C606" s="254" t="s">
        <v>1303</v>
      </c>
      <c r="D606" s="254" t="s">
        <v>139</v>
      </c>
      <c r="E606" s="288">
        <v>5</v>
      </c>
      <c r="F606" s="289">
        <v>90</v>
      </c>
      <c r="G606" s="290">
        <f t="shared" si="123"/>
        <v>450</v>
      </c>
      <c r="H606" s="290">
        <f t="shared" si="124"/>
        <v>2250</v>
      </c>
      <c r="I606" s="290">
        <f t="shared" si="125"/>
        <v>2250</v>
      </c>
      <c r="J606" s="290">
        <f t="shared" si="126"/>
        <v>11250</v>
      </c>
      <c r="K606" s="290">
        <f t="shared" si="127"/>
        <v>1125</v>
      </c>
      <c r="L606" s="290">
        <f t="shared" si="128"/>
        <v>5625</v>
      </c>
      <c r="M606" s="254"/>
    </row>
    <row r="607" spans="1:13" ht="22.5" customHeight="1">
      <c r="A607" s="254">
        <v>537</v>
      </c>
      <c r="B607" s="290" t="s">
        <v>1304</v>
      </c>
      <c r="C607" s="254" t="s">
        <v>1305</v>
      </c>
      <c r="D607" s="254" t="s">
        <v>139</v>
      </c>
      <c r="E607" s="288">
        <v>5</v>
      </c>
      <c r="F607" s="289">
        <v>90</v>
      </c>
      <c r="G607" s="290">
        <f t="shared" si="123"/>
        <v>450</v>
      </c>
      <c r="H607" s="290">
        <f t="shared" si="124"/>
        <v>2250</v>
      </c>
      <c r="I607" s="290">
        <f t="shared" si="125"/>
        <v>2250</v>
      </c>
      <c r="J607" s="290">
        <f t="shared" si="126"/>
        <v>11250</v>
      </c>
      <c r="K607" s="290">
        <f t="shared" si="127"/>
        <v>1125</v>
      </c>
      <c r="L607" s="290">
        <f t="shared" si="128"/>
        <v>5625</v>
      </c>
      <c r="M607" s="254"/>
    </row>
    <row r="608" spans="1:13" ht="22.5" customHeight="1">
      <c r="A608" s="254">
        <v>538</v>
      </c>
      <c r="B608" s="290" t="s">
        <v>1306</v>
      </c>
      <c r="C608" s="254" t="s">
        <v>1305</v>
      </c>
      <c r="D608" s="254" t="s">
        <v>139</v>
      </c>
      <c r="E608" s="288">
        <v>5</v>
      </c>
      <c r="F608" s="289">
        <v>90</v>
      </c>
      <c r="G608" s="290">
        <f t="shared" si="123"/>
        <v>450</v>
      </c>
      <c r="H608" s="290">
        <f t="shared" si="124"/>
        <v>2250</v>
      </c>
      <c r="I608" s="290">
        <f t="shared" si="125"/>
        <v>2250</v>
      </c>
      <c r="J608" s="290">
        <f t="shared" si="126"/>
        <v>11250</v>
      </c>
      <c r="K608" s="290">
        <f t="shared" si="127"/>
        <v>1125</v>
      </c>
      <c r="L608" s="290">
        <f t="shared" si="128"/>
        <v>5625</v>
      </c>
      <c r="M608" s="254"/>
    </row>
    <row r="609" spans="1:13" ht="22.5" customHeight="1">
      <c r="A609" s="254">
        <v>539</v>
      </c>
      <c r="B609" s="290" t="s">
        <v>1307</v>
      </c>
      <c r="C609" s="254" t="s">
        <v>1308</v>
      </c>
      <c r="D609" s="254" t="s">
        <v>139</v>
      </c>
      <c r="E609" s="288">
        <v>5</v>
      </c>
      <c r="F609" s="289">
        <v>90</v>
      </c>
      <c r="G609" s="290">
        <f t="shared" si="123"/>
        <v>450</v>
      </c>
      <c r="H609" s="290">
        <f t="shared" si="124"/>
        <v>2250</v>
      </c>
      <c r="I609" s="290">
        <f t="shared" si="125"/>
        <v>2250</v>
      </c>
      <c r="J609" s="290">
        <f t="shared" si="126"/>
        <v>11250</v>
      </c>
      <c r="K609" s="290">
        <f t="shared" si="127"/>
        <v>1125</v>
      </c>
      <c r="L609" s="290">
        <f t="shared" si="128"/>
        <v>5625</v>
      </c>
      <c r="M609" s="254"/>
    </row>
    <row r="610" spans="1:13" ht="22.5" customHeight="1">
      <c r="A610" s="254">
        <v>540</v>
      </c>
      <c r="B610" s="290" t="s">
        <v>1309</v>
      </c>
      <c r="C610" s="254" t="s">
        <v>1310</v>
      </c>
      <c r="D610" s="254" t="s">
        <v>139</v>
      </c>
      <c r="E610" s="288">
        <v>5</v>
      </c>
      <c r="F610" s="289">
        <v>90</v>
      </c>
      <c r="G610" s="290">
        <f t="shared" si="123"/>
        <v>450</v>
      </c>
      <c r="H610" s="290">
        <f t="shared" si="124"/>
        <v>2250</v>
      </c>
      <c r="I610" s="290">
        <f t="shared" si="125"/>
        <v>2250</v>
      </c>
      <c r="J610" s="290">
        <f t="shared" si="126"/>
        <v>11250</v>
      </c>
      <c r="K610" s="290">
        <f t="shared" si="127"/>
        <v>1125</v>
      </c>
      <c r="L610" s="290">
        <f t="shared" si="128"/>
        <v>5625</v>
      </c>
      <c r="M610" s="254"/>
    </row>
    <row r="611" spans="1:13" ht="22.5" customHeight="1">
      <c r="A611" s="254">
        <v>541</v>
      </c>
      <c r="B611" s="290" t="s">
        <v>1311</v>
      </c>
      <c r="C611" s="254" t="s">
        <v>1297</v>
      </c>
      <c r="D611" s="254" t="s">
        <v>139</v>
      </c>
      <c r="E611" s="288">
        <v>5</v>
      </c>
      <c r="F611" s="289">
        <v>90</v>
      </c>
      <c r="G611" s="290">
        <f t="shared" si="123"/>
        <v>450</v>
      </c>
      <c r="H611" s="290">
        <f t="shared" si="124"/>
        <v>2250</v>
      </c>
      <c r="I611" s="290">
        <f t="shared" si="125"/>
        <v>2250</v>
      </c>
      <c r="J611" s="290">
        <f t="shared" si="126"/>
        <v>11250</v>
      </c>
      <c r="K611" s="290">
        <f t="shared" si="127"/>
        <v>1125</v>
      </c>
      <c r="L611" s="290">
        <f t="shared" si="128"/>
        <v>5625</v>
      </c>
      <c r="M611" s="254"/>
    </row>
    <row r="612" spans="1:13" ht="22.5" customHeight="1">
      <c r="A612" s="254">
        <v>542</v>
      </c>
      <c r="B612" s="290" t="s">
        <v>1312</v>
      </c>
      <c r="C612" s="254" t="s">
        <v>1313</v>
      </c>
      <c r="D612" s="254" t="s">
        <v>139</v>
      </c>
      <c r="E612" s="288">
        <v>5</v>
      </c>
      <c r="F612" s="289">
        <v>110</v>
      </c>
      <c r="G612" s="290">
        <f t="shared" si="123"/>
        <v>550</v>
      </c>
      <c r="H612" s="290">
        <f t="shared" si="124"/>
        <v>2750</v>
      </c>
      <c r="I612" s="290">
        <f t="shared" si="125"/>
        <v>2750</v>
      </c>
      <c r="J612" s="290">
        <f t="shared" si="126"/>
        <v>13750</v>
      </c>
      <c r="K612" s="290">
        <f t="shared" si="127"/>
        <v>1375</v>
      </c>
      <c r="L612" s="290">
        <f t="shared" si="128"/>
        <v>6875</v>
      </c>
      <c r="M612" s="254"/>
    </row>
    <row r="613" spans="1:13" ht="22.5" customHeight="1">
      <c r="A613" s="254">
        <v>543</v>
      </c>
      <c r="B613" s="290" t="s">
        <v>1314</v>
      </c>
      <c r="C613" s="254" t="s">
        <v>1315</v>
      </c>
      <c r="D613" s="254" t="s">
        <v>139</v>
      </c>
      <c r="E613" s="288">
        <v>5</v>
      </c>
      <c r="F613" s="289">
        <v>110</v>
      </c>
      <c r="G613" s="290">
        <f t="shared" si="123"/>
        <v>550</v>
      </c>
      <c r="H613" s="290">
        <f t="shared" si="124"/>
        <v>2750</v>
      </c>
      <c r="I613" s="290">
        <f t="shared" si="125"/>
        <v>2750</v>
      </c>
      <c r="J613" s="290">
        <f t="shared" si="126"/>
        <v>13750</v>
      </c>
      <c r="K613" s="290">
        <f t="shared" si="127"/>
        <v>1375</v>
      </c>
      <c r="L613" s="290">
        <f t="shared" si="128"/>
        <v>6875</v>
      </c>
      <c r="M613" s="254"/>
    </row>
    <row r="614" spans="1:13" ht="22.5" customHeight="1">
      <c r="A614" s="254">
        <v>544</v>
      </c>
      <c r="B614" s="290" t="s">
        <v>1316</v>
      </c>
      <c r="C614" s="254" t="s">
        <v>1317</v>
      </c>
      <c r="D614" s="254" t="s">
        <v>112</v>
      </c>
      <c r="E614" s="288">
        <v>5.5</v>
      </c>
      <c r="F614" s="289">
        <v>80</v>
      </c>
      <c r="G614" s="290">
        <f t="shared" si="123"/>
        <v>400</v>
      </c>
      <c r="H614" s="290">
        <f t="shared" si="124"/>
        <v>2200</v>
      </c>
      <c r="I614" s="290">
        <f t="shared" si="125"/>
        <v>2000</v>
      </c>
      <c r="J614" s="290">
        <f t="shared" si="126"/>
        <v>11000</v>
      </c>
      <c r="K614" s="290">
        <f t="shared" si="127"/>
        <v>1000</v>
      </c>
      <c r="L614" s="290">
        <f t="shared" si="128"/>
        <v>5500</v>
      </c>
      <c r="M614" s="254"/>
    </row>
    <row r="615" spans="1:13" ht="22.5" customHeight="1">
      <c r="A615" s="254">
        <v>545</v>
      </c>
      <c r="B615" s="290" t="s">
        <v>1318</v>
      </c>
      <c r="C615" s="254" t="s">
        <v>1319</v>
      </c>
      <c r="D615" s="254" t="s">
        <v>112</v>
      </c>
      <c r="E615" s="288">
        <v>5</v>
      </c>
      <c r="F615" s="289">
        <v>80</v>
      </c>
      <c r="G615" s="290">
        <f t="shared" si="123"/>
        <v>400</v>
      </c>
      <c r="H615" s="290">
        <f t="shared" si="124"/>
        <v>2000</v>
      </c>
      <c r="I615" s="290">
        <f t="shared" si="125"/>
        <v>2000</v>
      </c>
      <c r="J615" s="290">
        <f t="shared" si="126"/>
        <v>10000</v>
      </c>
      <c r="K615" s="290">
        <f t="shared" si="127"/>
        <v>1000</v>
      </c>
      <c r="L615" s="290">
        <f t="shared" si="128"/>
        <v>5000</v>
      </c>
      <c r="M615" s="254"/>
    </row>
    <row r="616" spans="1:13" ht="22.5" customHeight="1">
      <c r="A616" s="254">
        <v>546</v>
      </c>
      <c r="B616" s="290" t="s">
        <v>1320</v>
      </c>
      <c r="C616" s="254" t="s">
        <v>1321</v>
      </c>
      <c r="D616" s="254" t="s">
        <v>112</v>
      </c>
      <c r="E616" s="288">
        <v>5</v>
      </c>
      <c r="F616" s="289">
        <v>80</v>
      </c>
      <c r="G616" s="290">
        <f t="shared" si="123"/>
        <v>400</v>
      </c>
      <c r="H616" s="290">
        <f t="shared" si="124"/>
        <v>2000</v>
      </c>
      <c r="I616" s="290">
        <f t="shared" si="125"/>
        <v>2000</v>
      </c>
      <c r="J616" s="290">
        <f t="shared" si="126"/>
        <v>10000</v>
      </c>
      <c r="K616" s="290">
        <f t="shared" si="127"/>
        <v>1000</v>
      </c>
      <c r="L616" s="290">
        <f t="shared" si="128"/>
        <v>5000</v>
      </c>
      <c r="M616" s="254"/>
    </row>
    <row r="617" spans="1:13" ht="22.5" customHeight="1">
      <c r="A617" s="936" t="s">
        <v>318</v>
      </c>
      <c r="B617" s="931"/>
      <c r="C617" s="932"/>
      <c r="D617" s="311">
        <f>COUNTA(RUFF_A[QUALITY])</f>
        <v>26</v>
      </c>
      <c r="E617" s="312">
        <f>SUM(E590:E616)</f>
        <v>130.5</v>
      </c>
      <c r="F617" s="313"/>
      <c r="G617" s="313"/>
      <c r="H617" s="315">
        <f>SUM(H591:H616)</f>
        <v>58950</v>
      </c>
      <c r="I617" s="313"/>
      <c r="J617" s="313"/>
      <c r="K617" s="313"/>
      <c r="L617" s="313"/>
      <c r="M617" s="313"/>
    </row>
    <row r="618" spans="1:13" ht="16.8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</row>
    <row r="619" spans="1:13" ht="16.8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</row>
    <row r="620" spans="1:13" ht="13.2">
      <c r="A620" s="930" t="s">
        <v>43</v>
      </c>
      <c r="B620" s="931"/>
      <c r="C620" s="931"/>
      <c r="D620" s="931"/>
      <c r="E620" s="931"/>
      <c r="F620" s="931"/>
      <c r="G620" s="931"/>
      <c r="H620" s="931"/>
      <c r="I620" s="931"/>
      <c r="J620" s="931"/>
      <c r="K620" s="931"/>
      <c r="L620" s="931"/>
      <c r="M620" s="932"/>
    </row>
    <row r="621" spans="1:13" ht="22.5" customHeight="1">
      <c r="A621" s="253" t="s">
        <v>165</v>
      </c>
      <c r="B621" s="282" t="s">
        <v>166</v>
      </c>
      <c r="C621" s="282" t="s">
        <v>167</v>
      </c>
      <c r="D621" s="255" t="s">
        <v>168</v>
      </c>
      <c r="E621" s="255" t="s">
        <v>169</v>
      </c>
      <c r="F621" s="284" t="s">
        <v>1322</v>
      </c>
      <c r="G621" s="285" t="s">
        <v>1323</v>
      </c>
      <c r="H621" s="255" t="s">
        <v>172</v>
      </c>
      <c r="I621" s="286" t="s">
        <v>1324</v>
      </c>
      <c r="J621" s="286" t="s">
        <v>1325</v>
      </c>
      <c r="K621" s="282" t="s">
        <v>175</v>
      </c>
      <c r="L621" s="282" t="s">
        <v>1326</v>
      </c>
      <c r="M621" s="287" t="s">
        <v>177</v>
      </c>
    </row>
    <row r="622" spans="1:13" ht="22.5" customHeight="1">
      <c r="A622" s="254">
        <v>547</v>
      </c>
      <c r="B622" s="254" t="s">
        <v>1327</v>
      </c>
      <c r="C622" s="254" t="s">
        <v>1328</v>
      </c>
      <c r="D622" s="254" t="s">
        <v>112</v>
      </c>
      <c r="E622" s="288">
        <v>6.1</v>
      </c>
      <c r="F622" s="289">
        <v>22</v>
      </c>
      <c r="G622" s="290">
        <f t="shared" ref="G622:G654" si="129">F622*5</f>
        <v>110</v>
      </c>
      <c r="H622" s="290">
        <f t="shared" ref="H622:H654" si="130">E622*G622</f>
        <v>671</v>
      </c>
      <c r="I622" s="290">
        <v>720</v>
      </c>
      <c r="J622" s="290">
        <f t="shared" ref="J622:J654" si="131">I622*E622</f>
        <v>4392</v>
      </c>
      <c r="K622" s="290">
        <f t="shared" ref="K622:K654" si="132">I622/2</f>
        <v>360</v>
      </c>
      <c r="L622" s="290">
        <f t="shared" ref="L622:L654" si="133">K622*E622</f>
        <v>2196</v>
      </c>
      <c r="M622" s="254"/>
    </row>
    <row r="623" spans="1:13" ht="22.5" customHeight="1">
      <c r="A623" s="254">
        <v>548</v>
      </c>
      <c r="B623" s="254" t="s">
        <v>1329</v>
      </c>
      <c r="C623" s="254" t="s">
        <v>1330</v>
      </c>
      <c r="D623" s="254" t="s">
        <v>112</v>
      </c>
      <c r="E623" s="288">
        <v>5</v>
      </c>
      <c r="F623" s="289">
        <v>22</v>
      </c>
      <c r="G623" s="290">
        <f t="shared" si="129"/>
        <v>110</v>
      </c>
      <c r="H623" s="290">
        <f t="shared" si="130"/>
        <v>550</v>
      </c>
      <c r="I623" s="290">
        <v>720</v>
      </c>
      <c r="J623" s="290">
        <f t="shared" si="131"/>
        <v>3600</v>
      </c>
      <c r="K623" s="290">
        <f t="shared" si="132"/>
        <v>360</v>
      </c>
      <c r="L623" s="290">
        <f t="shared" si="133"/>
        <v>1800</v>
      </c>
      <c r="M623" s="254"/>
    </row>
    <row r="624" spans="1:13" ht="22.5" customHeight="1">
      <c r="A624" s="254">
        <v>549</v>
      </c>
      <c r="B624" s="254" t="s">
        <v>1331</v>
      </c>
      <c r="C624" s="254" t="s">
        <v>1332</v>
      </c>
      <c r="D624" s="254" t="s">
        <v>112</v>
      </c>
      <c r="E624" s="288">
        <v>4</v>
      </c>
      <c r="F624" s="289">
        <v>22</v>
      </c>
      <c r="G624" s="290">
        <f t="shared" si="129"/>
        <v>110</v>
      </c>
      <c r="H624" s="290">
        <f t="shared" si="130"/>
        <v>440</v>
      </c>
      <c r="I624" s="290">
        <v>720</v>
      </c>
      <c r="J624" s="290">
        <f t="shared" si="131"/>
        <v>2880</v>
      </c>
      <c r="K624" s="290">
        <f t="shared" si="132"/>
        <v>360</v>
      </c>
      <c r="L624" s="290">
        <f t="shared" si="133"/>
        <v>1440</v>
      </c>
      <c r="M624" s="254"/>
    </row>
    <row r="625" spans="1:13" ht="22.5" customHeight="1">
      <c r="A625" s="254">
        <v>550</v>
      </c>
      <c r="B625" s="254" t="s">
        <v>1333</v>
      </c>
      <c r="C625" s="254" t="s">
        <v>1334</v>
      </c>
      <c r="D625" s="254" t="s">
        <v>112</v>
      </c>
      <c r="E625" s="288">
        <v>4</v>
      </c>
      <c r="F625" s="289">
        <v>22</v>
      </c>
      <c r="G625" s="290">
        <f t="shared" si="129"/>
        <v>110</v>
      </c>
      <c r="H625" s="290">
        <f t="shared" si="130"/>
        <v>440</v>
      </c>
      <c r="I625" s="290">
        <v>720</v>
      </c>
      <c r="J625" s="290">
        <f t="shared" si="131"/>
        <v>2880</v>
      </c>
      <c r="K625" s="290">
        <f t="shared" si="132"/>
        <v>360</v>
      </c>
      <c r="L625" s="290">
        <f t="shared" si="133"/>
        <v>1440</v>
      </c>
      <c r="M625" s="254"/>
    </row>
    <row r="626" spans="1:13" ht="22.5" customHeight="1">
      <c r="A626" s="254">
        <v>551</v>
      </c>
      <c r="B626" s="254" t="s">
        <v>1335</v>
      </c>
      <c r="C626" s="254" t="s">
        <v>1336</v>
      </c>
      <c r="D626" s="254" t="s">
        <v>112</v>
      </c>
      <c r="E626" s="288">
        <v>4</v>
      </c>
      <c r="F626" s="289">
        <v>22</v>
      </c>
      <c r="G626" s="290">
        <f t="shared" si="129"/>
        <v>110</v>
      </c>
      <c r="H626" s="290">
        <f t="shared" si="130"/>
        <v>440</v>
      </c>
      <c r="I626" s="290">
        <v>720</v>
      </c>
      <c r="J626" s="290">
        <f t="shared" si="131"/>
        <v>2880</v>
      </c>
      <c r="K626" s="290">
        <f t="shared" si="132"/>
        <v>360</v>
      </c>
      <c r="L626" s="290">
        <f t="shared" si="133"/>
        <v>1440</v>
      </c>
      <c r="M626" s="254"/>
    </row>
    <row r="627" spans="1:13" ht="22.5" customHeight="1">
      <c r="A627" s="254">
        <v>552</v>
      </c>
      <c r="B627" s="254" t="s">
        <v>1337</v>
      </c>
      <c r="C627" s="254" t="s">
        <v>1338</v>
      </c>
      <c r="D627" s="254" t="s">
        <v>112</v>
      </c>
      <c r="E627" s="288">
        <v>4</v>
      </c>
      <c r="F627" s="289">
        <v>22</v>
      </c>
      <c r="G627" s="290">
        <f t="shared" si="129"/>
        <v>110</v>
      </c>
      <c r="H627" s="290">
        <f t="shared" si="130"/>
        <v>440</v>
      </c>
      <c r="I627" s="290">
        <v>720</v>
      </c>
      <c r="J627" s="290">
        <f t="shared" si="131"/>
        <v>2880</v>
      </c>
      <c r="K627" s="290">
        <f t="shared" si="132"/>
        <v>360</v>
      </c>
      <c r="L627" s="290">
        <f t="shared" si="133"/>
        <v>1440</v>
      </c>
      <c r="M627" s="254"/>
    </row>
    <row r="628" spans="1:13" ht="22.5" customHeight="1">
      <c r="A628" s="254">
        <v>553</v>
      </c>
      <c r="B628" s="254" t="s">
        <v>1339</v>
      </c>
      <c r="C628" s="254" t="s">
        <v>1340</v>
      </c>
      <c r="D628" s="254" t="s">
        <v>112</v>
      </c>
      <c r="E628" s="288">
        <v>4</v>
      </c>
      <c r="F628" s="289">
        <v>22</v>
      </c>
      <c r="G628" s="290">
        <f t="shared" si="129"/>
        <v>110</v>
      </c>
      <c r="H628" s="290">
        <f t="shared" si="130"/>
        <v>440</v>
      </c>
      <c r="I628" s="290">
        <v>720</v>
      </c>
      <c r="J628" s="290">
        <f t="shared" si="131"/>
        <v>2880</v>
      </c>
      <c r="K628" s="290">
        <f t="shared" si="132"/>
        <v>360</v>
      </c>
      <c r="L628" s="290">
        <f t="shared" si="133"/>
        <v>1440</v>
      </c>
      <c r="M628" s="254"/>
    </row>
    <row r="629" spans="1:13" ht="22.5" customHeight="1">
      <c r="A629" s="254">
        <v>554</v>
      </c>
      <c r="B629" s="254" t="s">
        <v>1341</v>
      </c>
      <c r="C629" s="254" t="s">
        <v>1342</v>
      </c>
      <c r="D629" s="254" t="s">
        <v>112</v>
      </c>
      <c r="E629" s="288">
        <v>4</v>
      </c>
      <c r="F629" s="289">
        <v>22</v>
      </c>
      <c r="G629" s="290">
        <f t="shared" si="129"/>
        <v>110</v>
      </c>
      <c r="H629" s="290">
        <f t="shared" si="130"/>
        <v>440</v>
      </c>
      <c r="I629" s="290">
        <v>720</v>
      </c>
      <c r="J629" s="290">
        <f t="shared" si="131"/>
        <v>2880</v>
      </c>
      <c r="K629" s="290">
        <f t="shared" si="132"/>
        <v>360</v>
      </c>
      <c r="L629" s="290">
        <f t="shared" si="133"/>
        <v>1440</v>
      </c>
      <c r="M629" s="254"/>
    </row>
    <row r="630" spans="1:13" ht="22.5" customHeight="1">
      <c r="A630" s="254">
        <v>555</v>
      </c>
      <c r="B630" s="254" t="s">
        <v>1343</v>
      </c>
      <c r="C630" s="254" t="s">
        <v>1344</v>
      </c>
      <c r="D630" s="254" t="s">
        <v>112</v>
      </c>
      <c r="E630" s="288">
        <v>5.5</v>
      </c>
      <c r="F630" s="289">
        <v>22</v>
      </c>
      <c r="G630" s="290">
        <f t="shared" si="129"/>
        <v>110</v>
      </c>
      <c r="H630" s="290">
        <f t="shared" si="130"/>
        <v>605</v>
      </c>
      <c r="I630" s="290">
        <v>720</v>
      </c>
      <c r="J630" s="290">
        <f t="shared" si="131"/>
        <v>3960</v>
      </c>
      <c r="K630" s="290">
        <f t="shared" si="132"/>
        <v>360</v>
      </c>
      <c r="L630" s="290">
        <f t="shared" si="133"/>
        <v>1980</v>
      </c>
      <c r="M630" s="254"/>
    </row>
    <row r="631" spans="1:13" ht="22.5" customHeight="1">
      <c r="A631" s="254">
        <v>556</v>
      </c>
      <c r="B631" s="254" t="s">
        <v>1345</v>
      </c>
      <c r="C631" s="254" t="s">
        <v>1346</v>
      </c>
      <c r="D631" s="254" t="s">
        <v>112</v>
      </c>
      <c r="E631" s="288">
        <v>4</v>
      </c>
      <c r="F631" s="289">
        <v>22</v>
      </c>
      <c r="G631" s="290">
        <f t="shared" si="129"/>
        <v>110</v>
      </c>
      <c r="H631" s="290">
        <f t="shared" si="130"/>
        <v>440</v>
      </c>
      <c r="I631" s="290">
        <v>720</v>
      </c>
      <c r="J631" s="290">
        <f t="shared" si="131"/>
        <v>2880</v>
      </c>
      <c r="K631" s="290">
        <f t="shared" si="132"/>
        <v>360</v>
      </c>
      <c r="L631" s="290">
        <f t="shared" si="133"/>
        <v>1440</v>
      </c>
      <c r="M631" s="254"/>
    </row>
    <row r="632" spans="1:13" ht="22.5" customHeight="1">
      <c r="A632" s="254">
        <v>557</v>
      </c>
      <c r="B632" s="254" t="s">
        <v>1347</v>
      </c>
      <c r="C632" s="254" t="s">
        <v>1348</v>
      </c>
      <c r="D632" s="254" t="s">
        <v>112</v>
      </c>
      <c r="E632" s="288">
        <v>4</v>
      </c>
      <c r="F632" s="289">
        <v>22</v>
      </c>
      <c r="G632" s="290">
        <f t="shared" si="129"/>
        <v>110</v>
      </c>
      <c r="H632" s="290">
        <f t="shared" si="130"/>
        <v>440</v>
      </c>
      <c r="I632" s="290">
        <v>720</v>
      </c>
      <c r="J632" s="290">
        <f t="shared" si="131"/>
        <v>2880</v>
      </c>
      <c r="K632" s="290">
        <f t="shared" si="132"/>
        <v>360</v>
      </c>
      <c r="L632" s="290">
        <f t="shared" si="133"/>
        <v>1440</v>
      </c>
      <c r="M632" s="254"/>
    </row>
    <row r="633" spans="1:13" ht="22.5" customHeight="1">
      <c r="A633" s="254">
        <v>558</v>
      </c>
      <c r="B633" s="254" t="s">
        <v>1349</v>
      </c>
      <c r="C633" s="254" t="s">
        <v>1350</v>
      </c>
      <c r="D633" s="254" t="s">
        <v>112</v>
      </c>
      <c r="E633" s="288">
        <v>4</v>
      </c>
      <c r="F633" s="289">
        <v>22</v>
      </c>
      <c r="G633" s="290">
        <f t="shared" si="129"/>
        <v>110</v>
      </c>
      <c r="H633" s="290">
        <f t="shared" si="130"/>
        <v>440</v>
      </c>
      <c r="I633" s="290">
        <v>720</v>
      </c>
      <c r="J633" s="290">
        <f t="shared" si="131"/>
        <v>2880</v>
      </c>
      <c r="K633" s="290">
        <f t="shared" si="132"/>
        <v>360</v>
      </c>
      <c r="L633" s="290">
        <f t="shared" si="133"/>
        <v>1440</v>
      </c>
      <c r="M633" s="254"/>
    </row>
    <row r="634" spans="1:13" ht="22.5" customHeight="1">
      <c r="A634" s="254">
        <v>559</v>
      </c>
      <c r="B634" s="254" t="s">
        <v>1351</v>
      </c>
      <c r="C634" s="254" t="s">
        <v>1352</v>
      </c>
      <c r="D634" s="254" t="s">
        <v>112</v>
      </c>
      <c r="E634" s="288">
        <v>4</v>
      </c>
      <c r="F634" s="289">
        <v>22</v>
      </c>
      <c r="G634" s="290">
        <f t="shared" si="129"/>
        <v>110</v>
      </c>
      <c r="H634" s="290">
        <f t="shared" si="130"/>
        <v>440</v>
      </c>
      <c r="I634" s="290">
        <v>720</v>
      </c>
      <c r="J634" s="290">
        <f t="shared" si="131"/>
        <v>2880</v>
      </c>
      <c r="K634" s="290">
        <f t="shared" si="132"/>
        <v>360</v>
      </c>
      <c r="L634" s="290">
        <f t="shared" si="133"/>
        <v>1440</v>
      </c>
      <c r="M634" s="254"/>
    </row>
    <row r="635" spans="1:13" ht="22.5" customHeight="1">
      <c r="A635" s="254">
        <v>560</v>
      </c>
      <c r="B635" s="254" t="s">
        <v>198</v>
      </c>
      <c r="C635" s="254" t="s">
        <v>1353</v>
      </c>
      <c r="D635" s="254" t="s">
        <v>112</v>
      </c>
      <c r="E635" s="288">
        <v>4.9000000000000004</v>
      </c>
      <c r="F635" s="289">
        <v>22</v>
      </c>
      <c r="G635" s="290">
        <f t="shared" si="129"/>
        <v>110</v>
      </c>
      <c r="H635" s="290">
        <f t="shared" si="130"/>
        <v>539</v>
      </c>
      <c r="I635" s="290">
        <v>720</v>
      </c>
      <c r="J635" s="290">
        <f t="shared" si="131"/>
        <v>3528.0000000000005</v>
      </c>
      <c r="K635" s="290">
        <f t="shared" si="132"/>
        <v>360</v>
      </c>
      <c r="L635" s="290">
        <f t="shared" si="133"/>
        <v>1764.0000000000002</v>
      </c>
      <c r="M635" s="254"/>
    </row>
    <row r="636" spans="1:13" ht="22.5" customHeight="1">
      <c r="A636" s="254">
        <v>561</v>
      </c>
      <c r="B636" s="254" t="s">
        <v>1354</v>
      </c>
      <c r="C636" s="254" t="s">
        <v>1355</v>
      </c>
      <c r="D636" s="254" t="s">
        <v>112</v>
      </c>
      <c r="E636" s="288">
        <v>2.9</v>
      </c>
      <c r="F636" s="289">
        <v>22</v>
      </c>
      <c r="G636" s="290">
        <f t="shared" si="129"/>
        <v>110</v>
      </c>
      <c r="H636" s="290">
        <f t="shared" si="130"/>
        <v>319</v>
      </c>
      <c r="I636" s="290">
        <v>720</v>
      </c>
      <c r="J636" s="290">
        <f t="shared" si="131"/>
        <v>2088</v>
      </c>
      <c r="K636" s="290">
        <f t="shared" si="132"/>
        <v>360</v>
      </c>
      <c r="L636" s="290">
        <f t="shared" si="133"/>
        <v>1044</v>
      </c>
      <c r="M636" s="254"/>
    </row>
    <row r="637" spans="1:13" ht="22.5" customHeight="1">
      <c r="A637" s="254">
        <v>562</v>
      </c>
      <c r="B637" s="254" t="s">
        <v>1356</v>
      </c>
      <c r="C637" s="254" t="s">
        <v>1357</v>
      </c>
      <c r="D637" s="254" t="s">
        <v>112</v>
      </c>
      <c r="E637" s="288">
        <v>3.9</v>
      </c>
      <c r="F637" s="289">
        <v>22</v>
      </c>
      <c r="G637" s="290">
        <f t="shared" si="129"/>
        <v>110</v>
      </c>
      <c r="H637" s="290">
        <f t="shared" si="130"/>
        <v>429</v>
      </c>
      <c r="I637" s="290">
        <v>720</v>
      </c>
      <c r="J637" s="290">
        <f t="shared" si="131"/>
        <v>2808</v>
      </c>
      <c r="K637" s="290">
        <f t="shared" si="132"/>
        <v>360</v>
      </c>
      <c r="L637" s="290">
        <f t="shared" si="133"/>
        <v>1404</v>
      </c>
      <c r="M637" s="254"/>
    </row>
    <row r="638" spans="1:13" ht="22.5" customHeight="1">
      <c r="A638" s="254">
        <v>563</v>
      </c>
      <c r="B638" s="254" t="s">
        <v>1358</v>
      </c>
      <c r="C638" s="254" t="s">
        <v>1359</v>
      </c>
      <c r="D638" s="254" t="s">
        <v>112</v>
      </c>
      <c r="E638" s="288">
        <v>3.9</v>
      </c>
      <c r="F638" s="289">
        <v>22</v>
      </c>
      <c r="G638" s="290">
        <f t="shared" si="129"/>
        <v>110</v>
      </c>
      <c r="H638" s="290">
        <f t="shared" si="130"/>
        <v>429</v>
      </c>
      <c r="I638" s="290">
        <v>720</v>
      </c>
      <c r="J638" s="290">
        <f t="shared" si="131"/>
        <v>2808</v>
      </c>
      <c r="K638" s="290">
        <f t="shared" si="132"/>
        <v>360</v>
      </c>
      <c r="L638" s="290">
        <f t="shared" si="133"/>
        <v>1404</v>
      </c>
      <c r="M638" s="254"/>
    </row>
    <row r="639" spans="1:13" ht="22.5" customHeight="1">
      <c r="A639" s="254">
        <v>564</v>
      </c>
      <c r="B639" s="254" t="s">
        <v>1360</v>
      </c>
      <c r="C639" s="254" t="s">
        <v>1361</v>
      </c>
      <c r="D639" s="254" t="s">
        <v>112</v>
      </c>
      <c r="E639" s="288">
        <v>3.8</v>
      </c>
      <c r="F639" s="289">
        <v>22</v>
      </c>
      <c r="G639" s="290">
        <f t="shared" si="129"/>
        <v>110</v>
      </c>
      <c r="H639" s="290">
        <f t="shared" si="130"/>
        <v>418</v>
      </c>
      <c r="I639" s="290">
        <v>720</v>
      </c>
      <c r="J639" s="290">
        <f t="shared" si="131"/>
        <v>2736</v>
      </c>
      <c r="K639" s="290">
        <f t="shared" si="132"/>
        <v>360</v>
      </c>
      <c r="L639" s="290">
        <f t="shared" si="133"/>
        <v>1368</v>
      </c>
      <c r="M639" s="254"/>
    </row>
    <row r="640" spans="1:13" ht="22.5" customHeight="1">
      <c r="A640" s="254">
        <v>565</v>
      </c>
      <c r="B640" s="254" t="s">
        <v>1362</v>
      </c>
      <c r="C640" s="254" t="s">
        <v>1363</v>
      </c>
      <c r="D640" s="254" t="s">
        <v>112</v>
      </c>
      <c r="E640" s="288">
        <v>3.8</v>
      </c>
      <c r="F640" s="289">
        <v>22</v>
      </c>
      <c r="G640" s="290">
        <f t="shared" si="129"/>
        <v>110</v>
      </c>
      <c r="H640" s="290">
        <f t="shared" si="130"/>
        <v>418</v>
      </c>
      <c r="I640" s="290">
        <v>720</v>
      </c>
      <c r="J640" s="290">
        <f t="shared" si="131"/>
        <v>2736</v>
      </c>
      <c r="K640" s="290">
        <f t="shared" si="132"/>
        <v>360</v>
      </c>
      <c r="L640" s="290">
        <f t="shared" si="133"/>
        <v>1368</v>
      </c>
      <c r="M640" s="254"/>
    </row>
    <row r="641" spans="1:13" ht="22.5" customHeight="1">
      <c r="A641" s="254">
        <v>566</v>
      </c>
      <c r="B641" s="254" t="s">
        <v>1364</v>
      </c>
      <c r="C641" s="254" t="s">
        <v>1365</v>
      </c>
      <c r="D641" s="254" t="s">
        <v>112</v>
      </c>
      <c r="E641" s="288">
        <v>3.9</v>
      </c>
      <c r="F641" s="289">
        <v>22</v>
      </c>
      <c r="G641" s="290">
        <f t="shared" si="129"/>
        <v>110</v>
      </c>
      <c r="H641" s="290">
        <f t="shared" si="130"/>
        <v>429</v>
      </c>
      <c r="I641" s="290">
        <v>720</v>
      </c>
      <c r="J641" s="290">
        <f t="shared" si="131"/>
        <v>2808</v>
      </c>
      <c r="K641" s="290">
        <f t="shared" si="132"/>
        <v>360</v>
      </c>
      <c r="L641" s="290">
        <f t="shared" si="133"/>
        <v>1404</v>
      </c>
      <c r="M641" s="254"/>
    </row>
    <row r="642" spans="1:13" ht="22.5" customHeight="1">
      <c r="A642" s="254">
        <v>567</v>
      </c>
      <c r="B642" s="254" t="s">
        <v>1366</v>
      </c>
      <c r="C642" s="254" t="s">
        <v>1367</v>
      </c>
      <c r="D642" s="254" t="s">
        <v>112</v>
      </c>
      <c r="E642" s="288">
        <v>3.9</v>
      </c>
      <c r="F642" s="289">
        <v>22</v>
      </c>
      <c r="G642" s="290">
        <f t="shared" si="129"/>
        <v>110</v>
      </c>
      <c r="H642" s="290">
        <f t="shared" si="130"/>
        <v>429</v>
      </c>
      <c r="I642" s="290">
        <v>720</v>
      </c>
      <c r="J642" s="290">
        <f t="shared" si="131"/>
        <v>2808</v>
      </c>
      <c r="K642" s="290">
        <f t="shared" si="132"/>
        <v>360</v>
      </c>
      <c r="L642" s="290">
        <f t="shared" si="133"/>
        <v>1404</v>
      </c>
      <c r="M642" s="254"/>
    </row>
    <row r="643" spans="1:13" ht="22.5" customHeight="1">
      <c r="A643" s="254">
        <v>568</v>
      </c>
      <c r="B643" s="254" t="s">
        <v>1368</v>
      </c>
      <c r="C643" s="254" t="s">
        <v>1369</v>
      </c>
      <c r="D643" s="254" t="s">
        <v>112</v>
      </c>
      <c r="E643" s="288">
        <v>3.9</v>
      </c>
      <c r="F643" s="289">
        <v>22</v>
      </c>
      <c r="G643" s="290">
        <f t="shared" si="129"/>
        <v>110</v>
      </c>
      <c r="H643" s="290">
        <f t="shared" si="130"/>
        <v>429</v>
      </c>
      <c r="I643" s="290">
        <v>720</v>
      </c>
      <c r="J643" s="290">
        <f t="shared" si="131"/>
        <v>2808</v>
      </c>
      <c r="K643" s="290">
        <f t="shared" si="132"/>
        <v>360</v>
      </c>
      <c r="L643" s="290">
        <f t="shared" si="133"/>
        <v>1404</v>
      </c>
      <c r="M643" s="254"/>
    </row>
    <row r="644" spans="1:13" ht="22.5" customHeight="1">
      <c r="A644" s="254">
        <v>569</v>
      </c>
      <c r="B644" s="254" t="s">
        <v>1370</v>
      </c>
      <c r="C644" s="254" t="s">
        <v>1371</v>
      </c>
      <c r="D644" s="254" t="s">
        <v>112</v>
      </c>
      <c r="E644" s="288">
        <v>3.9</v>
      </c>
      <c r="F644" s="289">
        <v>22</v>
      </c>
      <c r="G644" s="290">
        <f t="shared" si="129"/>
        <v>110</v>
      </c>
      <c r="H644" s="290">
        <f t="shared" si="130"/>
        <v>429</v>
      </c>
      <c r="I644" s="290">
        <v>720</v>
      </c>
      <c r="J644" s="290">
        <f t="shared" si="131"/>
        <v>2808</v>
      </c>
      <c r="K644" s="290">
        <f t="shared" si="132"/>
        <v>360</v>
      </c>
      <c r="L644" s="290">
        <f t="shared" si="133"/>
        <v>1404</v>
      </c>
      <c r="M644" s="254"/>
    </row>
    <row r="645" spans="1:13" ht="22.5" customHeight="1">
      <c r="A645" s="254">
        <v>570</v>
      </c>
      <c r="B645" s="254" t="s">
        <v>1372</v>
      </c>
      <c r="C645" s="254" t="s">
        <v>1373</v>
      </c>
      <c r="D645" s="254" t="s">
        <v>112</v>
      </c>
      <c r="E645" s="288">
        <v>3.9</v>
      </c>
      <c r="F645" s="289">
        <v>22</v>
      </c>
      <c r="G645" s="290">
        <f t="shared" si="129"/>
        <v>110</v>
      </c>
      <c r="H645" s="290">
        <f t="shared" si="130"/>
        <v>429</v>
      </c>
      <c r="I645" s="290">
        <v>720</v>
      </c>
      <c r="J645" s="290">
        <f t="shared" si="131"/>
        <v>2808</v>
      </c>
      <c r="K645" s="290">
        <f t="shared" si="132"/>
        <v>360</v>
      </c>
      <c r="L645" s="290">
        <f t="shared" si="133"/>
        <v>1404</v>
      </c>
      <c r="M645" s="254"/>
    </row>
    <row r="646" spans="1:13" ht="22.5" customHeight="1">
      <c r="A646" s="254">
        <v>571</v>
      </c>
      <c r="B646" s="254" t="s">
        <v>1374</v>
      </c>
      <c r="C646" s="254" t="s">
        <v>1375</v>
      </c>
      <c r="D646" s="254" t="s">
        <v>112</v>
      </c>
      <c r="E646" s="288">
        <v>3.9</v>
      </c>
      <c r="F646" s="289">
        <v>22</v>
      </c>
      <c r="G646" s="290">
        <f t="shared" si="129"/>
        <v>110</v>
      </c>
      <c r="H646" s="290">
        <f t="shared" si="130"/>
        <v>429</v>
      </c>
      <c r="I646" s="290">
        <v>720</v>
      </c>
      <c r="J646" s="290">
        <f t="shared" si="131"/>
        <v>2808</v>
      </c>
      <c r="K646" s="290">
        <f t="shared" si="132"/>
        <v>360</v>
      </c>
      <c r="L646" s="290">
        <f t="shared" si="133"/>
        <v>1404</v>
      </c>
      <c r="M646" s="254"/>
    </row>
    <row r="647" spans="1:13" ht="22.5" customHeight="1">
      <c r="A647" s="254">
        <v>572</v>
      </c>
      <c r="B647" s="254" t="s">
        <v>1376</v>
      </c>
      <c r="C647" s="254" t="s">
        <v>1377</v>
      </c>
      <c r="D647" s="254" t="s">
        <v>112</v>
      </c>
      <c r="E647" s="288">
        <v>3.9</v>
      </c>
      <c r="F647" s="289">
        <v>22</v>
      </c>
      <c r="G647" s="290">
        <f t="shared" si="129"/>
        <v>110</v>
      </c>
      <c r="H647" s="290">
        <f t="shared" si="130"/>
        <v>429</v>
      </c>
      <c r="I647" s="290">
        <v>720</v>
      </c>
      <c r="J647" s="290">
        <f t="shared" si="131"/>
        <v>2808</v>
      </c>
      <c r="K647" s="290">
        <f t="shared" si="132"/>
        <v>360</v>
      </c>
      <c r="L647" s="290">
        <f t="shared" si="133"/>
        <v>1404</v>
      </c>
      <c r="M647" s="254"/>
    </row>
    <row r="648" spans="1:13" ht="22.5" customHeight="1">
      <c r="A648" s="254">
        <v>573</v>
      </c>
      <c r="B648" s="254" t="s">
        <v>1378</v>
      </c>
      <c r="C648" s="254" t="s">
        <v>1379</v>
      </c>
      <c r="D648" s="254" t="s">
        <v>112</v>
      </c>
      <c r="E648" s="288">
        <v>3.9</v>
      </c>
      <c r="F648" s="289">
        <v>22</v>
      </c>
      <c r="G648" s="290">
        <f t="shared" si="129"/>
        <v>110</v>
      </c>
      <c r="H648" s="290">
        <f t="shared" si="130"/>
        <v>429</v>
      </c>
      <c r="I648" s="290">
        <v>720</v>
      </c>
      <c r="J648" s="290">
        <f t="shared" si="131"/>
        <v>2808</v>
      </c>
      <c r="K648" s="290">
        <f t="shared" si="132"/>
        <v>360</v>
      </c>
      <c r="L648" s="290">
        <f t="shared" si="133"/>
        <v>1404</v>
      </c>
      <c r="M648" s="254"/>
    </row>
    <row r="649" spans="1:13" ht="22.5" customHeight="1">
      <c r="A649" s="254">
        <v>574</v>
      </c>
      <c r="B649" s="254" t="s">
        <v>1380</v>
      </c>
      <c r="C649" s="254" t="s">
        <v>1381</v>
      </c>
      <c r="D649" s="254" t="s">
        <v>112</v>
      </c>
      <c r="E649" s="288">
        <v>3.9</v>
      </c>
      <c r="F649" s="289">
        <v>22</v>
      </c>
      <c r="G649" s="290">
        <f t="shared" si="129"/>
        <v>110</v>
      </c>
      <c r="H649" s="290">
        <f t="shared" si="130"/>
        <v>429</v>
      </c>
      <c r="I649" s="290">
        <v>720</v>
      </c>
      <c r="J649" s="290">
        <f t="shared" si="131"/>
        <v>2808</v>
      </c>
      <c r="K649" s="290">
        <f t="shared" si="132"/>
        <v>360</v>
      </c>
      <c r="L649" s="290">
        <f t="shared" si="133"/>
        <v>1404</v>
      </c>
      <c r="M649" s="254"/>
    </row>
    <row r="650" spans="1:13" ht="22.5" customHeight="1">
      <c r="A650" s="254">
        <v>575</v>
      </c>
      <c r="B650" s="254" t="s">
        <v>1382</v>
      </c>
      <c r="C650" s="254" t="s">
        <v>1383</v>
      </c>
      <c r="D650" s="254" t="s">
        <v>112</v>
      </c>
      <c r="E650" s="288">
        <v>3.9</v>
      </c>
      <c r="F650" s="289">
        <v>22</v>
      </c>
      <c r="G650" s="290">
        <f t="shared" si="129"/>
        <v>110</v>
      </c>
      <c r="H650" s="290">
        <f t="shared" si="130"/>
        <v>429</v>
      </c>
      <c r="I650" s="290">
        <v>720</v>
      </c>
      <c r="J650" s="290">
        <f t="shared" si="131"/>
        <v>2808</v>
      </c>
      <c r="K650" s="290">
        <f t="shared" si="132"/>
        <v>360</v>
      </c>
      <c r="L650" s="290">
        <f t="shared" si="133"/>
        <v>1404</v>
      </c>
      <c r="M650" s="254"/>
    </row>
    <row r="651" spans="1:13" ht="22.5" customHeight="1">
      <c r="A651" s="254">
        <v>576</v>
      </c>
      <c r="B651" s="254" t="s">
        <v>1384</v>
      </c>
      <c r="C651" s="254" t="s">
        <v>1385</v>
      </c>
      <c r="D651" s="254" t="s">
        <v>112</v>
      </c>
      <c r="E651" s="288">
        <v>5</v>
      </c>
      <c r="F651" s="289">
        <v>22</v>
      </c>
      <c r="G651" s="290">
        <f t="shared" si="129"/>
        <v>110</v>
      </c>
      <c r="H651" s="290">
        <f t="shared" si="130"/>
        <v>550</v>
      </c>
      <c r="I651" s="290">
        <v>720</v>
      </c>
      <c r="J651" s="290">
        <f t="shared" si="131"/>
        <v>3600</v>
      </c>
      <c r="K651" s="290">
        <f t="shared" si="132"/>
        <v>360</v>
      </c>
      <c r="L651" s="290">
        <f t="shared" si="133"/>
        <v>1800</v>
      </c>
      <c r="M651" s="254"/>
    </row>
    <row r="652" spans="1:13" ht="22.5" customHeight="1">
      <c r="A652" s="254">
        <v>577</v>
      </c>
      <c r="B652" s="254" t="s">
        <v>1386</v>
      </c>
      <c r="C652" s="254" t="s">
        <v>1387</v>
      </c>
      <c r="D652" s="254" t="s">
        <v>112</v>
      </c>
      <c r="E652" s="288">
        <v>5</v>
      </c>
      <c r="F652" s="289">
        <v>22</v>
      </c>
      <c r="G652" s="290">
        <f t="shared" si="129"/>
        <v>110</v>
      </c>
      <c r="H652" s="290">
        <f t="shared" si="130"/>
        <v>550</v>
      </c>
      <c r="I652" s="290">
        <v>720</v>
      </c>
      <c r="J652" s="290">
        <f t="shared" si="131"/>
        <v>3600</v>
      </c>
      <c r="K652" s="290">
        <f t="shared" si="132"/>
        <v>360</v>
      </c>
      <c r="L652" s="290">
        <f t="shared" si="133"/>
        <v>1800</v>
      </c>
      <c r="M652" s="254"/>
    </row>
    <row r="653" spans="1:13" ht="22.5" customHeight="1">
      <c r="A653" s="254">
        <v>578</v>
      </c>
      <c r="B653" s="254" t="s">
        <v>1388</v>
      </c>
      <c r="C653" s="254" t="s">
        <v>1389</v>
      </c>
      <c r="D653" s="254" t="s">
        <v>112</v>
      </c>
      <c r="E653" s="288">
        <v>5</v>
      </c>
      <c r="F653" s="289">
        <v>22</v>
      </c>
      <c r="G653" s="290">
        <f t="shared" si="129"/>
        <v>110</v>
      </c>
      <c r="H653" s="290">
        <f t="shared" si="130"/>
        <v>550</v>
      </c>
      <c r="I653" s="290">
        <v>720</v>
      </c>
      <c r="J653" s="290">
        <f t="shared" si="131"/>
        <v>3600</v>
      </c>
      <c r="K653" s="290">
        <f t="shared" si="132"/>
        <v>360</v>
      </c>
      <c r="L653" s="290">
        <f t="shared" si="133"/>
        <v>1800</v>
      </c>
      <c r="M653" s="254"/>
    </row>
    <row r="654" spans="1:13" ht="22.5" customHeight="1">
      <c r="A654" s="254">
        <v>579</v>
      </c>
      <c r="B654" s="254" t="s">
        <v>1390</v>
      </c>
      <c r="C654" s="254" t="s">
        <v>1391</v>
      </c>
      <c r="D654" s="254" t="s">
        <v>112</v>
      </c>
      <c r="E654" s="288">
        <v>5</v>
      </c>
      <c r="F654" s="289">
        <v>22</v>
      </c>
      <c r="G654" s="290">
        <f t="shared" si="129"/>
        <v>110</v>
      </c>
      <c r="H654" s="290">
        <f t="shared" si="130"/>
        <v>550</v>
      </c>
      <c r="I654" s="290">
        <v>720</v>
      </c>
      <c r="J654" s="290">
        <f t="shared" si="131"/>
        <v>3600</v>
      </c>
      <c r="K654" s="290">
        <f t="shared" si="132"/>
        <v>360</v>
      </c>
      <c r="L654" s="290">
        <f t="shared" si="133"/>
        <v>1800</v>
      </c>
      <c r="M654" s="254"/>
    </row>
    <row r="655" spans="1:13" ht="22.5" customHeight="1">
      <c r="A655" s="936" t="s">
        <v>318</v>
      </c>
      <c r="B655" s="931"/>
      <c r="C655" s="932"/>
      <c r="D655" s="311">
        <f>COUNTA(D622:D654)</f>
        <v>33</v>
      </c>
      <c r="E655" s="312">
        <f>SUM(E622:E654)</f>
        <v>138.80000000000007</v>
      </c>
      <c r="F655" s="313"/>
      <c r="G655" s="313"/>
      <c r="H655" s="315">
        <f>SUM(H622:H654)</f>
        <v>15268</v>
      </c>
      <c r="I655" s="313"/>
      <c r="J655" s="313"/>
      <c r="K655" s="313"/>
      <c r="L655" s="313"/>
      <c r="M655" s="313"/>
    </row>
    <row r="656" spans="1:13" ht="16.8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</row>
    <row r="657" spans="1:13" ht="16.8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</row>
    <row r="658" spans="1:13" ht="13.2">
      <c r="A658" s="930" t="s">
        <v>44</v>
      </c>
      <c r="B658" s="931"/>
      <c r="C658" s="931"/>
      <c r="D658" s="931"/>
      <c r="E658" s="931"/>
      <c r="F658" s="931"/>
      <c r="G658" s="931"/>
      <c r="H658" s="931"/>
      <c r="I658" s="931"/>
      <c r="J658" s="931"/>
      <c r="K658" s="931"/>
      <c r="L658" s="931"/>
      <c r="M658" s="932"/>
    </row>
    <row r="659" spans="1:13" ht="22.5" customHeight="1">
      <c r="A659" s="253" t="s">
        <v>165</v>
      </c>
      <c r="B659" s="282" t="s">
        <v>166</v>
      </c>
      <c r="C659" s="282" t="s">
        <v>167</v>
      </c>
      <c r="D659" s="255" t="s">
        <v>168</v>
      </c>
      <c r="E659" s="255" t="s">
        <v>169</v>
      </c>
      <c r="F659" s="284" t="s">
        <v>1392</v>
      </c>
      <c r="G659" s="285" t="s">
        <v>1393</v>
      </c>
      <c r="H659" s="255" t="s">
        <v>172</v>
      </c>
      <c r="I659" s="286" t="s">
        <v>1394</v>
      </c>
      <c r="J659" s="286" t="s">
        <v>1395</v>
      </c>
      <c r="K659" s="282" t="s">
        <v>175</v>
      </c>
      <c r="L659" s="282" t="s">
        <v>1396</v>
      </c>
      <c r="M659" s="287" t="s">
        <v>177</v>
      </c>
    </row>
    <row r="660" spans="1:13" ht="22.5" customHeight="1">
      <c r="A660" s="254">
        <v>580</v>
      </c>
      <c r="B660" s="254" t="s">
        <v>1397</v>
      </c>
      <c r="C660" s="254" t="s">
        <v>1398</v>
      </c>
      <c r="D660" s="254" t="s">
        <v>113</v>
      </c>
      <c r="E660" s="288">
        <v>5</v>
      </c>
      <c r="F660" s="289">
        <v>19</v>
      </c>
      <c r="G660" s="290">
        <f t="shared" ref="G660:G681" si="134">F660*5</f>
        <v>95</v>
      </c>
      <c r="H660" s="290">
        <f t="shared" ref="H660:H681" si="135">E660*G660</f>
        <v>475</v>
      </c>
      <c r="I660" s="290">
        <v>720</v>
      </c>
      <c r="J660" s="290">
        <f t="shared" ref="J660:J681" si="136">I660*E660</f>
        <v>3600</v>
      </c>
      <c r="K660" s="290">
        <f t="shared" ref="K660:K681" si="137">I660/2</f>
        <v>360</v>
      </c>
      <c r="L660" s="290">
        <f t="shared" ref="L660:L681" si="138">K660*E660</f>
        <v>1800</v>
      </c>
      <c r="M660" s="254"/>
    </row>
    <row r="661" spans="1:13" ht="22.5" customHeight="1">
      <c r="A661" s="254">
        <v>581</v>
      </c>
      <c r="B661" s="254" t="s">
        <v>1399</v>
      </c>
      <c r="C661" s="254" t="s">
        <v>1400</v>
      </c>
      <c r="D661" s="254" t="s">
        <v>112</v>
      </c>
      <c r="E661" s="288">
        <v>5</v>
      </c>
      <c r="F661" s="289">
        <v>23</v>
      </c>
      <c r="G661" s="290">
        <f t="shared" si="134"/>
        <v>115</v>
      </c>
      <c r="H661" s="290">
        <f t="shared" si="135"/>
        <v>575</v>
      </c>
      <c r="I661" s="290">
        <v>720</v>
      </c>
      <c r="J661" s="290">
        <f t="shared" si="136"/>
        <v>3600</v>
      </c>
      <c r="K661" s="290">
        <f t="shared" si="137"/>
        <v>360</v>
      </c>
      <c r="L661" s="290">
        <f t="shared" si="138"/>
        <v>1800</v>
      </c>
      <c r="M661" s="254"/>
    </row>
    <row r="662" spans="1:13" ht="22.5" customHeight="1">
      <c r="A662" s="254">
        <v>582</v>
      </c>
      <c r="B662" s="254" t="s">
        <v>1401</v>
      </c>
      <c r="C662" s="254" t="s">
        <v>1402</v>
      </c>
      <c r="D662" s="254" t="s">
        <v>113</v>
      </c>
      <c r="E662" s="288">
        <v>5</v>
      </c>
      <c r="F662" s="289">
        <v>19</v>
      </c>
      <c r="G662" s="290">
        <f t="shared" si="134"/>
        <v>95</v>
      </c>
      <c r="H662" s="290">
        <f t="shared" si="135"/>
        <v>475</v>
      </c>
      <c r="I662" s="290">
        <v>720</v>
      </c>
      <c r="J662" s="290">
        <f t="shared" si="136"/>
        <v>3600</v>
      </c>
      <c r="K662" s="290">
        <f t="shared" si="137"/>
        <v>360</v>
      </c>
      <c r="L662" s="290">
        <f t="shared" si="138"/>
        <v>1800</v>
      </c>
      <c r="M662" s="254"/>
    </row>
    <row r="663" spans="1:13" ht="22.5" customHeight="1">
      <c r="A663" s="254">
        <v>583</v>
      </c>
      <c r="B663" s="254" t="s">
        <v>1403</v>
      </c>
      <c r="C663" s="254" t="s">
        <v>1404</v>
      </c>
      <c r="D663" s="254" t="s">
        <v>113</v>
      </c>
      <c r="E663" s="288">
        <v>5</v>
      </c>
      <c r="F663" s="289">
        <v>19</v>
      </c>
      <c r="G663" s="290">
        <f t="shared" si="134"/>
        <v>95</v>
      </c>
      <c r="H663" s="290">
        <f t="shared" si="135"/>
        <v>475</v>
      </c>
      <c r="I663" s="290">
        <v>720</v>
      </c>
      <c r="J663" s="290">
        <f t="shared" si="136"/>
        <v>3600</v>
      </c>
      <c r="K663" s="290">
        <f t="shared" si="137"/>
        <v>360</v>
      </c>
      <c r="L663" s="290">
        <f t="shared" si="138"/>
        <v>1800</v>
      </c>
      <c r="M663" s="254"/>
    </row>
    <row r="664" spans="1:13" ht="22.5" customHeight="1">
      <c r="A664" s="254">
        <v>584</v>
      </c>
      <c r="B664" s="254" t="s">
        <v>1405</v>
      </c>
      <c r="C664" s="254" t="s">
        <v>1406</v>
      </c>
      <c r="D664" s="254" t="s">
        <v>112</v>
      </c>
      <c r="E664" s="288">
        <v>5</v>
      </c>
      <c r="F664" s="289">
        <v>23</v>
      </c>
      <c r="G664" s="290">
        <f t="shared" si="134"/>
        <v>115</v>
      </c>
      <c r="H664" s="290">
        <f t="shared" si="135"/>
        <v>575</v>
      </c>
      <c r="I664" s="290">
        <v>720</v>
      </c>
      <c r="J664" s="290">
        <f t="shared" si="136"/>
        <v>3600</v>
      </c>
      <c r="K664" s="290">
        <f t="shared" si="137"/>
        <v>360</v>
      </c>
      <c r="L664" s="290">
        <f t="shared" si="138"/>
        <v>1800</v>
      </c>
      <c r="M664" s="254"/>
    </row>
    <row r="665" spans="1:13" ht="22.5" customHeight="1">
      <c r="A665" s="254">
        <v>585</v>
      </c>
      <c r="B665" s="254" t="s">
        <v>1407</v>
      </c>
      <c r="C665" s="254" t="s">
        <v>1408</v>
      </c>
      <c r="D665" s="254" t="s">
        <v>113</v>
      </c>
      <c r="E665" s="288">
        <v>5</v>
      </c>
      <c r="F665" s="289">
        <v>19</v>
      </c>
      <c r="G665" s="290">
        <f t="shared" si="134"/>
        <v>95</v>
      </c>
      <c r="H665" s="290">
        <f t="shared" si="135"/>
        <v>475</v>
      </c>
      <c r="I665" s="290">
        <v>720</v>
      </c>
      <c r="J665" s="290">
        <f t="shared" si="136"/>
        <v>3600</v>
      </c>
      <c r="K665" s="290">
        <f t="shared" si="137"/>
        <v>360</v>
      </c>
      <c r="L665" s="290">
        <f t="shared" si="138"/>
        <v>1800</v>
      </c>
      <c r="M665" s="254"/>
    </row>
    <row r="666" spans="1:13" ht="22.5" customHeight="1">
      <c r="A666" s="254">
        <v>586</v>
      </c>
      <c r="B666" s="254" t="s">
        <v>1409</v>
      </c>
      <c r="C666" s="254" t="s">
        <v>1410</v>
      </c>
      <c r="D666" s="254" t="s">
        <v>112</v>
      </c>
      <c r="E666" s="288">
        <v>5</v>
      </c>
      <c r="F666" s="289">
        <v>23</v>
      </c>
      <c r="G666" s="290">
        <f t="shared" si="134"/>
        <v>115</v>
      </c>
      <c r="H666" s="290">
        <f t="shared" si="135"/>
        <v>575</v>
      </c>
      <c r="I666" s="290">
        <v>720</v>
      </c>
      <c r="J666" s="290">
        <f t="shared" si="136"/>
        <v>3600</v>
      </c>
      <c r="K666" s="290">
        <f t="shared" si="137"/>
        <v>360</v>
      </c>
      <c r="L666" s="290">
        <f t="shared" si="138"/>
        <v>1800</v>
      </c>
      <c r="M666" s="254"/>
    </row>
    <row r="667" spans="1:13" ht="22.5" customHeight="1">
      <c r="A667" s="254">
        <v>587</v>
      </c>
      <c r="B667" s="254" t="s">
        <v>1411</v>
      </c>
      <c r="C667" s="254" t="s">
        <v>1412</v>
      </c>
      <c r="D667" s="254" t="s">
        <v>113</v>
      </c>
      <c r="E667" s="288">
        <v>5</v>
      </c>
      <c r="F667" s="289">
        <v>19</v>
      </c>
      <c r="G667" s="290">
        <f t="shared" si="134"/>
        <v>95</v>
      </c>
      <c r="H667" s="290">
        <f t="shared" si="135"/>
        <v>475</v>
      </c>
      <c r="I667" s="290">
        <v>720</v>
      </c>
      <c r="J667" s="290">
        <f t="shared" si="136"/>
        <v>3600</v>
      </c>
      <c r="K667" s="290">
        <f t="shared" si="137"/>
        <v>360</v>
      </c>
      <c r="L667" s="290">
        <f t="shared" si="138"/>
        <v>1800</v>
      </c>
      <c r="M667" s="254"/>
    </row>
    <row r="668" spans="1:13" ht="22.5" customHeight="1">
      <c r="A668" s="254">
        <v>588</v>
      </c>
      <c r="B668" s="254" t="s">
        <v>1413</v>
      </c>
      <c r="C668" s="254" t="s">
        <v>1414</v>
      </c>
      <c r="D668" s="254" t="s">
        <v>112</v>
      </c>
      <c r="E668" s="288">
        <v>5</v>
      </c>
      <c r="F668" s="289">
        <v>23</v>
      </c>
      <c r="G668" s="290">
        <f t="shared" si="134"/>
        <v>115</v>
      </c>
      <c r="H668" s="290">
        <f t="shared" si="135"/>
        <v>575</v>
      </c>
      <c r="I668" s="290">
        <v>720</v>
      </c>
      <c r="J668" s="290">
        <f t="shared" si="136"/>
        <v>3600</v>
      </c>
      <c r="K668" s="290">
        <f t="shared" si="137"/>
        <v>360</v>
      </c>
      <c r="L668" s="290">
        <f t="shared" si="138"/>
        <v>1800</v>
      </c>
      <c r="M668" s="254"/>
    </row>
    <row r="669" spans="1:13" ht="22.5" customHeight="1">
      <c r="A669" s="254">
        <v>589</v>
      </c>
      <c r="B669" s="254" t="s">
        <v>1415</v>
      </c>
      <c r="C669" s="254" t="s">
        <v>1416</v>
      </c>
      <c r="D669" s="254" t="s">
        <v>113</v>
      </c>
      <c r="E669" s="288">
        <v>5</v>
      </c>
      <c r="F669" s="289">
        <v>19</v>
      </c>
      <c r="G669" s="290">
        <f t="shared" si="134"/>
        <v>95</v>
      </c>
      <c r="H669" s="290">
        <f t="shared" si="135"/>
        <v>475</v>
      </c>
      <c r="I669" s="290">
        <v>720</v>
      </c>
      <c r="J669" s="290">
        <f t="shared" si="136"/>
        <v>3600</v>
      </c>
      <c r="K669" s="290">
        <f t="shared" si="137"/>
        <v>360</v>
      </c>
      <c r="L669" s="290">
        <f t="shared" si="138"/>
        <v>1800</v>
      </c>
      <c r="M669" s="254"/>
    </row>
    <row r="670" spans="1:13" ht="22.5" customHeight="1">
      <c r="A670" s="254">
        <v>590</v>
      </c>
      <c r="B670" s="254" t="s">
        <v>1417</v>
      </c>
      <c r="C670" s="254" t="s">
        <v>1418</v>
      </c>
      <c r="D670" s="254" t="s">
        <v>112</v>
      </c>
      <c r="E670" s="288">
        <v>5</v>
      </c>
      <c r="F670" s="289">
        <v>23</v>
      </c>
      <c r="G670" s="290">
        <f t="shared" si="134"/>
        <v>115</v>
      </c>
      <c r="H670" s="290">
        <f t="shared" si="135"/>
        <v>575</v>
      </c>
      <c r="I670" s="290">
        <v>720</v>
      </c>
      <c r="J670" s="290">
        <f t="shared" si="136"/>
        <v>3600</v>
      </c>
      <c r="K670" s="290">
        <f t="shared" si="137"/>
        <v>360</v>
      </c>
      <c r="L670" s="290">
        <f t="shared" si="138"/>
        <v>1800</v>
      </c>
      <c r="M670" s="254"/>
    </row>
    <row r="671" spans="1:13" ht="22.5" customHeight="1">
      <c r="A671" s="254">
        <v>591</v>
      </c>
      <c r="B671" s="254" t="s">
        <v>1419</v>
      </c>
      <c r="C671" s="254" t="s">
        <v>1420</v>
      </c>
      <c r="D671" s="254" t="s">
        <v>113</v>
      </c>
      <c r="E671" s="288">
        <v>5</v>
      </c>
      <c r="F671" s="289">
        <v>19</v>
      </c>
      <c r="G671" s="290">
        <f t="shared" si="134"/>
        <v>95</v>
      </c>
      <c r="H671" s="290">
        <f t="shared" si="135"/>
        <v>475</v>
      </c>
      <c r="I671" s="290">
        <v>720</v>
      </c>
      <c r="J671" s="290">
        <f t="shared" si="136"/>
        <v>3600</v>
      </c>
      <c r="K671" s="290">
        <f t="shared" si="137"/>
        <v>360</v>
      </c>
      <c r="L671" s="290">
        <f t="shared" si="138"/>
        <v>1800</v>
      </c>
      <c r="M671" s="254"/>
    </row>
    <row r="672" spans="1:13" ht="22.5" customHeight="1">
      <c r="A672" s="254">
        <v>592</v>
      </c>
      <c r="B672" s="254" t="s">
        <v>1421</v>
      </c>
      <c r="C672" s="254" t="s">
        <v>1422</v>
      </c>
      <c r="D672" s="254" t="s">
        <v>112</v>
      </c>
      <c r="E672" s="288">
        <v>5</v>
      </c>
      <c r="F672" s="289">
        <v>23</v>
      </c>
      <c r="G672" s="290">
        <f t="shared" si="134"/>
        <v>115</v>
      </c>
      <c r="H672" s="290">
        <f t="shared" si="135"/>
        <v>575</v>
      </c>
      <c r="I672" s="290">
        <v>720</v>
      </c>
      <c r="J672" s="290">
        <f t="shared" si="136"/>
        <v>3600</v>
      </c>
      <c r="K672" s="290">
        <f t="shared" si="137"/>
        <v>360</v>
      </c>
      <c r="L672" s="290">
        <f t="shared" si="138"/>
        <v>1800</v>
      </c>
      <c r="M672" s="254"/>
    </row>
    <row r="673" spans="1:13" ht="22.5" customHeight="1">
      <c r="A673" s="254">
        <v>593</v>
      </c>
      <c r="B673" s="254" t="s">
        <v>1423</v>
      </c>
      <c r="C673" s="254" t="s">
        <v>1424</v>
      </c>
      <c r="D673" s="254" t="s">
        <v>113</v>
      </c>
      <c r="E673" s="288">
        <v>5</v>
      </c>
      <c r="F673" s="289">
        <v>19</v>
      </c>
      <c r="G673" s="290">
        <f t="shared" si="134"/>
        <v>95</v>
      </c>
      <c r="H673" s="290">
        <f t="shared" si="135"/>
        <v>475</v>
      </c>
      <c r="I673" s="290">
        <v>720</v>
      </c>
      <c r="J673" s="290">
        <f t="shared" si="136"/>
        <v>3600</v>
      </c>
      <c r="K673" s="290">
        <f t="shared" si="137"/>
        <v>360</v>
      </c>
      <c r="L673" s="290">
        <f t="shared" si="138"/>
        <v>1800</v>
      </c>
      <c r="M673" s="254"/>
    </row>
    <row r="674" spans="1:13" ht="22.5" customHeight="1">
      <c r="A674" s="254">
        <v>594</v>
      </c>
      <c r="B674" s="254" t="s">
        <v>1425</v>
      </c>
      <c r="C674" s="254" t="s">
        <v>1426</v>
      </c>
      <c r="D674" s="254" t="s">
        <v>112</v>
      </c>
      <c r="E674" s="288">
        <v>5</v>
      </c>
      <c r="F674" s="289">
        <v>23</v>
      </c>
      <c r="G674" s="290">
        <f t="shared" si="134"/>
        <v>115</v>
      </c>
      <c r="H674" s="290">
        <f t="shared" si="135"/>
        <v>575</v>
      </c>
      <c r="I674" s="290">
        <v>720</v>
      </c>
      <c r="J674" s="290">
        <f t="shared" si="136"/>
        <v>3600</v>
      </c>
      <c r="K674" s="290">
        <f t="shared" si="137"/>
        <v>360</v>
      </c>
      <c r="L674" s="290">
        <f t="shared" si="138"/>
        <v>1800</v>
      </c>
      <c r="M674" s="254"/>
    </row>
    <row r="675" spans="1:13" ht="22.5" customHeight="1">
      <c r="A675" s="254">
        <v>595</v>
      </c>
      <c r="B675" s="254" t="s">
        <v>1427</v>
      </c>
      <c r="C675" s="254" t="s">
        <v>1428</v>
      </c>
      <c r="D675" s="254" t="s">
        <v>112</v>
      </c>
      <c r="E675" s="288">
        <v>5</v>
      </c>
      <c r="F675" s="289">
        <v>23</v>
      </c>
      <c r="G675" s="290">
        <f t="shared" si="134"/>
        <v>115</v>
      </c>
      <c r="H675" s="290">
        <f t="shared" si="135"/>
        <v>575</v>
      </c>
      <c r="I675" s="290">
        <v>720</v>
      </c>
      <c r="J675" s="290">
        <f t="shared" si="136"/>
        <v>3600</v>
      </c>
      <c r="K675" s="290">
        <f t="shared" si="137"/>
        <v>360</v>
      </c>
      <c r="L675" s="290">
        <f t="shared" si="138"/>
        <v>1800</v>
      </c>
      <c r="M675" s="254"/>
    </row>
    <row r="676" spans="1:13" ht="22.5" customHeight="1">
      <c r="A676" s="254">
        <v>596</v>
      </c>
      <c r="B676" s="254" t="s">
        <v>1429</v>
      </c>
      <c r="C676" s="254" t="s">
        <v>1430</v>
      </c>
      <c r="D676" s="254" t="s">
        <v>112</v>
      </c>
      <c r="E676" s="288">
        <v>5.4</v>
      </c>
      <c r="F676" s="289">
        <v>23</v>
      </c>
      <c r="G676" s="290">
        <f t="shared" si="134"/>
        <v>115</v>
      </c>
      <c r="H676" s="290">
        <f t="shared" si="135"/>
        <v>621</v>
      </c>
      <c r="I676" s="290">
        <v>720</v>
      </c>
      <c r="J676" s="290">
        <f t="shared" si="136"/>
        <v>3888.0000000000005</v>
      </c>
      <c r="K676" s="290">
        <f t="shared" si="137"/>
        <v>360</v>
      </c>
      <c r="L676" s="290">
        <f t="shared" si="138"/>
        <v>1944.0000000000002</v>
      </c>
      <c r="M676" s="254"/>
    </row>
    <row r="677" spans="1:13" ht="22.5" customHeight="1">
      <c r="A677" s="254">
        <v>597</v>
      </c>
      <c r="B677" s="254" t="s">
        <v>1431</v>
      </c>
      <c r="C677" s="254" t="s">
        <v>1432</v>
      </c>
      <c r="D677" s="254" t="s">
        <v>113</v>
      </c>
      <c r="E677" s="288">
        <v>4.9000000000000004</v>
      </c>
      <c r="F677" s="289">
        <v>19</v>
      </c>
      <c r="G677" s="290">
        <f t="shared" si="134"/>
        <v>95</v>
      </c>
      <c r="H677" s="290">
        <f t="shared" si="135"/>
        <v>465.50000000000006</v>
      </c>
      <c r="I677" s="290">
        <v>720</v>
      </c>
      <c r="J677" s="290">
        <f t="shared" si="136"/>
        <v>3528.0000000000005</v>
      </c>
      <c r="K677" s="290">
        <f t="shared" si="137"/>
        <v>360</v>
      </c>
      <c r="L677" s="290">
        <f t="shared" si="138"/>
        <v>1764.0000000000002</v>
      </c>
      <c r="M677" s="254"/>
    </row>
    <row r="678" spans="1:13" ht="22.5" customHeight="1">
      <c r="A678" s="254">
        <v>598</v>
      </c>
      <c r="B678" s="254" t="s">
        <v>1433</v>
      </c>
      <c r="C678" s="254" t="s">
        <v>1434</v>
      </c>
      <c r="D678" s="254" t="s">
        <v>112</v>
      </c>
      <c r="E678" s="288">
        <v>5</v>
      </c>
      <c r="F678" s="289">
        <v>23</v>
      </c>
      <c r="G678" s="290">
        <f t="shared" si="134"/>
        <v>115</v>
      </c>
      <c r="H678" s="290">
        <f t="shared" si="135"/>
        <v>575</v>
      </c>
      <c r="I678" s="290">
        <v>720</v>
      </c>
      <c r="J678" s="290">
        <f t="shared" si="136"/>
        <v>3600</v>
      </c>
      <c r="K678" s="290">
        <f t="shared" si="137"/>
        <v>360</v>
      </c>
      <c r="L678" s="290">
        <f t="shared" si="138"/>
        <v>1800</v>
      </c>
      <c r="M678" s="254"/>
    </row>
    <row r="679" spans="1:13" ht="22.5" customHeight="1">
      <c r="A679" s="254">
        <v>599</v>
      </c>
      <c r="B679" s="254" t="s">
        <v>1435</v>
      </c>
      <c r="C679" s="254" t="s">
        <v>1436</v>
      </c>
      <c r="D679" s="254" t="s">
        <v>113</v>
      </c>
      <c r="E679" s="288">
        <v>5</v>
      </c>
      <c r="F679" s="289">
        <v>19</v>
      </c>
      <c r="G679" s="290">
        <f t="shared" si="134"/>
        <v>95</v>
      </c>
      <c r="H679" s="290">
        <f t="shared" si="135"/>
        <v>475</v>
      </c>
      <c r="I679" s="290">
        <v>720</v>
      </c>
      <c r="J679" s="290">
        <f t="shared" si="136"/>
        <v>3600</v>
      </c>
      <c r="K679" s="290">
        <f t="shared" si="137"/>
        <v>360</v>
      </c>
      <c r="L679" s="290">
        <f t="shared" si="138"/>
        <v>1800</v>
      </c>
      <c r="M679" s="254"/>
    </row>
    <row r="680" spans="1:13" ht="22.5" customHeight="1">
      <c r="A680" s="254">
        <v>600</v>
      </c>
      <c r="B680" s="254" t="s">
        <v>1437</v>
      </c>
      <c r="C680" s="254" t="s">
        <v>1438</v>
      </c>
      <c r="D680" s="254" t="s">
        <v>112</v>
      </c>
      <c r="E680" s="288">
        <v>5</v>
      </c>
      <c r="F680" s="289">
        <v>23</v>
      </c>
      <c r="G680" s="290">
        <f t="shared" si="134"/>
        <v>115</v>
      </c>
      <c r="H680" s="290">
        <f t="shared" si="135"/>
        <v>575</v>
      </c>
      <c r="I680" s="290">
        <v>720</v>
      </c>
      <c r="J680" s="290">
        <f t="shared" si="136"/>
        <v>3600</v>
      </c>
      <c r="K680" s="290">
        <f t="shared" si="137"/>
        <v>360</v>
      </c>
      <c r="L680" s="290">
        <f t="shared" si="138"/>
        <v>1800</v>
      </c>
      <c r="M680" s="254"/>
    </row>
    <row r="681" spans="1:13" ht="22.5" customHeight="1">
      <c r="A681" s="254">
        <v>601</v>
      </c>
      <c r="B681" s="254" t="s">
        <v>1439</v>
      </c>
      <c r="C681" s="254" t="s">
        <v>1440</v>
      </c>
      <c r="D681" s="254" t="s">
        <v>113</v>
      </c>
      <c r="E681" s="288">
        <v>5</v>
      </c>
      <c r="F681" s="289">
        <v>19</v>
      </c>
      <c r="G681" s="290">
        <f t="shared" si="134"/>
        <v>95</v>
      </c>
      <c r="H681" s="290">
        <f t="shared" si="135"/>
        <v>475</v>
      </c>
      <c r="I681" s="290">
        <v>720</v>
      </c>
      <c r="J681" s="290">
        <f t="shared" si="136"/>
        <v>3600</v>
      </c>
      <c r="K681" s="290">
        <f t="shared" si="137"/>
        <v>360</v>
      </c>
      <c r="L681" s="290">
        <f t="shared" si="138"/>
        <v>1800</v>
      </c>
      <c r="M681" s="254"/>
    </row>
    <row r="682" spans="1:13" ht="22.5" customHeight="1">
      <c r="A682" s="936" t="s">
        <v>318</v>
      </c>
      <c r="B682" s="931"/>
      <c r="C682" s="932"/>
      <c r="D682" s="311">
        <f>COUNTA(D660:D681)</f>
        <v>22</v>
      </c>
      <c r="E682" s="312">
        <f>SUM(E659:E681)</f>
        <v>110.30000000000001</v>
      </c>
      <c r="F682" s="313"/>
      <c r="G682" s="313"/>
      <c r="H682" s="315">
        <f>SUM(H660:H681)</f>
        <v>11586.5</v>
      </c>
      <c r="I682" s="313"/>
      <c r="J682" s="313"/>
      <c r="K682" s="313"/>
      <c r="L682" s="313"/>
      <c r="M682" s="313"/>
    </row>
    <row r="683" spans="1:13" ht="16.8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</row>
    <row r="684" spans="1:13" ht="16.8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</row>
    <row r="685" spans="1:13" ht="13.2">
      <c r="A685" s="930" t="s">
        <v>45</v>
      </c>
      <c r="B685" s="931"/>
      <c r="C685" s="931"/>
      <c r="D685" s="931"/>
      <c r="E685" s="931"/>
      <c r="F685" s="931"/>
      <c r="G685" s="931"/>
      <c r="H685" s="931"/>
      <c r="I685" s="931"/>
      <c r="J685" s="931"/>
      <c r="K685" s="931"/>
      <c r="L685" s="931"/>
      <c r="M685" s="932"/>
    </row>
    <row r="686" spans="1:13" ht="22.5" customHeight="1">
      <c r="A686" s="253" t="s">
        <v>165</v>
      </c>
      <c r="B686" s="253" t="s">
        <v>166</v>
      </c>
      <c r="C686" s="253" t="s">
        <v>167</v>
      </c>
      <c r="D686" s="255" t="s">
        <v>168</v>
      </c>
      <c r="E686" s="255" t="s">
        <v>169</v>
      </c>
      <c r="F686" s="311" t="s">
        <v>1441</v>
      </c>
      <c r="G686" s="316" t="s">
        <v>1442</v>
      </c>
      <c r="H686" s="255" t="s">
        <v>172</v>
      </c>
      <c r="I686" s="317" t="s">
        <v>1443</v>
      </c>
      <c r="J686" s="317" t="s">
        <v>1444</v>
      </c>
      <c r="K686" s="282" t="s">
        <v>175</v>
      </c>
      <c r="L686" s="253" t="s">
        <v>1445</v>
      </c>
      <c r="M686" s="318" t="s">
        <v>177</v>
      </c>
    </row>
    <row r="687" spans="1:13" ht="22.5" customHeight="1">
      <c r="A687" s="254">
        <v>602</v>
      </c>
      <c r="B687" s="254" t="s">
        <v>1446</v>
      </c>
      <c r="C687" s="254" t="s">
        <v>1447</v>
      </c>
      <c r="D687" s="254" t="s">
        <v>124</v>
      </c>
      <c r="E687" s="288">
        <v>5</v>
      </c>
      <c r="F687" s="289">
        <v>20</v>
      </c>
      <c r="G687" s="290">
        <f t="shared" ref="G687:G706" si="139">F687*5</f>
        <v>100</v>
      </c>
      <c r="H687" s="290">
        <f t="shared" ref="H687:H706" si="140">E687*G687</f>
        <v>500</v>
      </c>
      <c r="I687" s="290">
        <v>720</v>
      </c>
      <c r="J687" s="290">
        <f t="shared" ref="J687:J706" si="141">I687*E687</f>
        <v>3600</v>
      </c>
      <c r="K687" s="290">
        <f t="shared" ref="K687:K706" si="142">I687/2</f>
        <v>360</v>
      </c>
      <c r="L687" s="290">
        <f t="shared" ref="L687:L706" si="143">K687*E687</f>
        <v>1800</v>
      </c>
      <c r="M687" s="254"/>
    </row>
    <row r="688" spans="1:13" ht="22.5" customHeight="1">
      <c r="A688" s="254">
        <v>603</v>
      </c>
      <c r="B688" s="254" t="s">
        <v>1448</v>
      </c>
      <c r="C688" s="254" t="s">
        <v>1449</v>
      </c>
      <c r="D688" s="254" t="s">
        <v>124</v>
      </c>
      <c r="E688" s="288">
        <v>4.3</v>
      </c>
      <c r="F688" s="289">
        <v>20</v>
      </c>
      <c r="G688" s="290">
        <f t="shared" si="139"/>
        <v>100</v>
      </c>
      <c r="H688" s="290">
        <f t="shared" si="140"/>
        <v>430</v>
      </c>
      <c r="I688" s="290">
        <v>720</v>
      </c>
      <c r="J688" s="290">
        <f t="shared" si="141"/>
        <v>3096</v>
      </c>
      <c r="K688" s="290">
        <f t="shared" si="142"/>
        <v>360</v>
      </c>
      <c r="L688" s="290">
        <f t="shared" si="143"/>
        <v>1548</v>
      </c>
      <c r="M688" s="254"/>
    </row>
    <row r="689" spans="1:13" ht="22.5" customHeight="1">
      <c r="A689" s="254">
        <v>604</v>
      </c>
      <c r="B689" s="254" t="s">
        <v>180</v>
      </c>
      <c r="C689" s="254" t="s">
        <v>1450</v>
      </c>
      <c r="D689" s="254" t="s">
        <v>112</v>
      </c>
      <c r="E689" s="288">
        <v>5</v>
      </c>
      <c r="F689" s="289">
        <v>22</v>
      </c>
      <c r="G689" s="290">
        <f t="shared" si="139"/>
        <v>110</v>
      </c>
      <c r="H689" s="290">
        <f t="shared" si="140"/>
        <v>550</v>
      </c>
      <c r="I689" s="290">
        <v>720</v>
      </c>
      <c r="J689" s="290">
        <f t="shared" si="141"/>
        <v>3600</v>
      </c>
      <c r="K689" s="290">
        <f t="shared" si="142"/>
        <v>360</v>
      </c>
      <c r="L689" s="290">
        <f t="shared" si="143"/>
        <v>1800</v>
      </c>
      <c r="M689" s="254"/>
    </row>
    <row r="690" spans="1:13" ht="22.5" customHeight="1">
      <c r="A690" s="254">
        <v>605</v>
      </c>
      <c r="B690" s="254" t="s">
        <v>1451</v>
      </c>
      <c r="C690" s="254" t="s">
        <v>1452</v>
      </c>
      <c r="D690" s="254" t="s">
        <v>124</v>
      </c>
      <c r="E690" s="288">
        <v>4.5999999999999996</v>
      </c>
      <c r="F690" s="289">
        <v>20</v>
      </c>
      <c r="G690" s="290">
        <f t="shared" si="139"/>
        <v>100</v>
      </c>
      <c r="H690" s="290">
        <f t="shared" si="140"/>
        <v>459.99999999999994</v>
      </c>
      <c r="I690" s="290">
        <v>720</v>
      </c>
      <c r="J690" s="290">
        <f t="shared" si="141"/>
        <v>3311.9999999999995</v>
      </c>
      <c r="K690" s="290">
        <f t="shared" si="142"/>
        <v>360</v>
      </c>
      <c r="L690" s="290">
        <f t="shared" si="143"/>
        <v>1655.9999999999998</v>
      </c>
      <c r="M690" s="254"/>
    </row>
    <row r="691" spans="1:13" ht="22.5" customHeight="1">
      <c r="A691" s="254">
        <v>606</v>
      </c>
      <c r="B691" s="254" t="s">
        <v>1453</v>
      </c>
      <c r="C691" s="254" t="s">
        <v>1454</v>
      </c>
      <c r="D691" s="254" t="s">
        <v>124</v>
      </c>
      <c r="E691" s="288">
        <v>4.5</v>
      </c>
      <c r="F691" s="289">
        <v>20</v>
      </c>
      <c r="G691" s="290">
        <f t="shared" si="139"/>
        <v>100</v>
      </c>
      <c r="H691" s="290">
        <f t="shared" si="140"/>
        <v>450</v>
      </c>
      <c r="I691" s="290">
        <v>720</v>
      </c>
      <c r="J691" s="290">
        <f t="shared" si="141"/>
        <v>3240</v>
      </c>
      <c r="K691" s="290">
        <f t="shared" si="142"/>
        <v>360</v>
      </c>
      <c r="L691" s="290">
        <f t="shared" si="143"/>
        <v>1620</v>
      </c>
      <c r="M691" s="254"/>
    </row>
    <row r="692" spans="1:13" ht="22.5" customHeight="1">
      <c r="A692" s="254">
        <v>607</v>
      </c>
      <c r="B692" s="254" t="s">
        <v>1455</v>
      </c>
      <c r="C692" s="254" t="s">
        <v>1456</v>
      </c>
      <c r="D692" s="254" t="s">
        <v>124</v>
      </c>
      <c r="E692" s="288">
        <v>4.4000000000000004</v>
      </c>
      <c r="F692" s="289">
        <v>20</v>
      </c>
      <c r="G692" s="290">
        <f t="shared" si="139"/>
        <v>100</v>
      </c>
      <c r="H692" s="290">
        <f t="shared" si="140"/>
        <v>440.00000000000006</v>
      </c>
      <c r="I692" s="290">
        <v>720</v>
      </c>
      <c r="J692" s="290">
        <f t="shared" si="141"/>
        <v>3168.0000000000005</v>
      </c>
      <c r="K692" s="290">
        <f t="shared" si="142"/>
        <v>360</v>
      </c>
      <c r="L692" s="290">
        <f t="shared" si="143"/>
        <v>1584.0000000000002</v>
      </c>
      <c r="M692" s="254"/>
    </row>
    <row r="693" spans="1:13" ht="22.5" customHeight="1">
      <c r="A693" s="254">
        <v>608</v>
      </c>
      <c r="B693" s="254" t="s">
        <v>1457</v>
      </c>
      <c r="C693" s="254" t="s">
        <v>1458</v>
      </c>
      <c r="D693" s="254" t="s">
        <v>124</v>
      </c>
      <c r="E693" s="288">
        <v>4.5999999999999996</v>
      </c>
      <c r="F693" s="289">
        <v>20</v>
      </c>
      <c r="G693" s="290">
        <f t="shared" si="139"/>
        <v>100</v>
      </c>
      <c r="H693" s="290">
        <f t="shared" si="140"/>
        <v>459.99999999999994</v>
      </c>
      <c r="I693" s="290">
        <v>720</v>
      </c>
      <c r="J693" s="290">
        <f t="shared" si="141"/>
        <v>3311.9999999999995</v>
      </c>
      <c r="K693" s="290">
        <f t="shared" si="142"/>
        <v>360</v>
      </c>
      <c r="L693" s="290">
        <f t="shared" si="143"/>
        <v>1655.9999999999998</v>
      </c>
      <c r="M693" s="254"/>
    </row>
    <row r="694" spans="1:13" ht="22.5" customHeight="1">
      <c r="A694" s="254">
        <v>609</v>
      </c>
      <c r="B694" s="254" t="s">
        <v>1459</v>
      </c>
      <c r="C694" s="254" t="s">
        <v>1460</v>
      </c>
      <c r="D694" s="254" t="s">
        <v>112</v>
      </c>
      <c r="E694" s="288">
        <v>4.9000000000000004</v>
      </c>
      <c r="F694" s="289">
        <v>22</v>
      </c>
      <c r="G694" s="290">
        <f t="shared" si="139"/>
        <v>110</v>
      </c>
      <c r="H694" s="290">
        <f t="shared" si="140"/>
        <v>539</v>
      </c>
      <c r="I694" s="290">
        <v>720</v>
      </c>
      <c r="J694" s="290">
        <f t="shared" si="141"/>
        <v>3528.0000000000005</v>
      </c>
      <c r="K694" s="290">
        <f t="shared" si="142"/>
        <v>360</v>
      </c>
      <c r="L694" s="290">
        <f t="shared" si="143"/>
        <v>1764.0000000000002</v>
      </c>
      <c r="M694" s="254"/>
    </row>
    <row r="695" spans="1:13" ht="22.5" customHeight="1">
      <c r="A695" s="254">
        <v>610</v>
      </c>
      <c r="B695" s="254" t="s">
        <v>1461</v>
      </c>
      <c r="C695" s="254" t="s">
        <v>1462</v>
      </c>
      <c r="D695" s="254" t="s">
        <v>112</v>
      </c>
      <c r="E695" s="288">
        <v>4.9000000000000004</v>
      </c>
      <c r="F695" s="289">
        <v>22</v>
      </c>
      <c r="G695" s="290">
        <f t="shared" si="139"/>
        <v>110</v>
      </c>
      <c r="H695" s="290">
        <f t="shared" si="140"/>
        <v>539</v>
      </c>
      <c r="I695" s="290">
        <v>720</v>
      </c>
      <c r="J695" s="290">
        <f t="shared" si="141"/>
        <v>3528.0000000000005</v>
      </c>
      <c r="K695" s="290">
        <f t="shared" si="142"/>
        <v>360</v>
      </c>
      <c r="L695" s="290">
        <f t="shared" si="143"/>
        <v>1764.0000000000002</v>
      </c>
      <c r="M695" s="254"/>
    </row>
    <row r="696" spans="1:13" ht="22.5" customHeight="1">
      <c r="A696" s="254">
        <v>611</v>
      </c>
      <c r="B696" s="254" t="s">
        <v>1463</v>
      </c>
      <c r="C696" s="254" t="s">
        <v>1464</v>
      </c>
      <c r="D696" s="254" t="s">
        <v>112</v>
      </c>
      <c r="E696" s="288">
        <v>5</v>
      </c>
      <c r="F696" s="289">
        <v>22</v>
      </c>
      <c r="G696" s="290">
        <f t="shared" si="139"/>
        <v>110</v>
      </c>
      <c r="H696" s="290">
        <f t="shared" si="140"/>
        <v>550</v>
      </c>
      <c r="I696" s="290">
        <v>720</v>
      </c>
      <c r="J696" s="290">
        <f t="shared" si="141"/>
        <v>3600</v>
      </c>
      <c r="K696" s="290">
        <f t="shared" si="142"/>
        <v>360</v>
      </c>
      <c r="L696" s="290">
        <f t="shared" si="143"/>
        <v>1800</v>
      </c>
      <c r="M696" s="254"/>
    </row>
    <row r="697" spans="1:13" ht="22.5" customHeight="1">
      <c r="A697" s="254">
        <v>612</v>
      </c>
      <c r="B697" s="254" t="s">
        <v>1465</v>
      </c>
      <c r="C697" s="254" t="s">
        <v>1466</v>
      </c>
      <c r="D697" s="254" t="s">
        <v>112</v>
      </c>
      <c r="E697" s="288">
        <v>5</v>
      </c>
      <c r="F697" s="289">
        <v>22</v>
      </c>
      <c r="G697" s="290">
        <f t="shared" si="139"/>
        <v>110</v>
      </c>
      <c r="H697" s="290">
        <f t="shared" si="140"/>
        <v>550</v>
      </c>
      <c r="I697" s="290">
        <v>720</v>
      </c>
      <c r="J697" s="290">
        <f t="shared" si="141"/>
        <v>3600</v>
      </c>
      <c r="K697" s="290">
        <f t="shared" si="142"/>
        <v>360</v>
      </c>
      <c r="L697" s="290">
        <f t="shared" si="143"/>
        <v>1800</v>
      </c>
      <c r="M697" s="254"/>
    </row>
    <row r="698" spans="1:13" ht="22.5" customHeight="1">
      <c r="A698" s="254">
        <v>613</v>
      </c>
      <c r="B698" s="254" t="s">
        <v>1467</v>
      </c>
      <c r="C698" s="254" t="s">
        <v>1468</v>
      </c>
      <c r="D698" s="254" t="s">
        <v>112</v>
      </c>
      <c r="E698" s="288">
        <v>5</v>
      </c>
      <c r="F698" s="289">
        <v>22</v>
      </c>
      <c r="G698" s="290">
        <f t="shared" si="139"/>
        <v>110</v>
      </c>
      <c r="H698" s="290">
        <f t="shared" si="140"/>
        <v>550</v>
      </c>
      <c r="I698" s="290">
        <v>720</v>
      </c>
      <c r="J698" s="290">
        <f t="shared" si="141"/>
        <v>3600</v>
      </c>
      <c r="K698" s="290">
        <f t="shared" si="142"/>
        <v>360</v>
      </c>
      <c r="L698" s="290">
        <f t="shared" si="143"/>
        <v>1800</v>
      </c>
      <c r="M698" s="254"/>
    </row>
    <row r="699" spans="1:13" ht="22.5" customHeight="1">
      <c r="A699" s="254">
        <v>614</v>
      </c>
      <c r="B699" s="254" t="s">
        <v>1469</v>
      </c>
      <c r="C699" s="254" t="s">
        <v>1470</v>
      </c>
      <c r="D699" s="254" t="s">
        <v>112</v>
      </c>
      <c r="E699" s="288">
        <v>5.5</v>
      </c>
      <c r="F699" s="289">
        <v>22</v>
      </c>
      <c r="G699" s="290">
        <f t="shared" si="139"/>
        <v>110</v>
      </c>
      <c r="H699" s="290">
        <f t="shared" si="140"/>
        <v>605</v>
      </c>
      <c r="I699" s="290">
        <v>720</v>
      </c>
      <c r="J699" s="290">
        <f t="shared" si="141"/>
        <v>3960</v>
      </c>
      <c r="K699" s="290">
        <f t="shared" si="142"/>
        <v>360</v>
      </c>
      <c r="L699" s="290">
        <f t="shared" si="143"/>
        <v>1980</v>
      </c>
      <c r="M699" s="254"/>
    </row>
    <row r="700" spans="1:13" ht="22.5" customHeight="1">
      <c r="A700" s="254">
        <v>615</v>
      </c>
      <c r="B700" s="254" t="s">
        <v>1471</v>
      </c>
      <c r="C700" s="254" t="s">
        <v>1472</v>
      </c>
      <c r="D700" s="254" t="s">
        <v>113</v>
      </c>
      <c r="E700" s="288">
        <v>5</v>
      </c>
      <c r="F700" s="289">
        <v>20</v>
      </c>
      <c r="G700" s="290">
        <f t="shared" si="139"/>
        <v>100</v>
      </c>
      <c r="H700" s="290">
        <f t="shared" si="140"/>
        <v>500</v>
      </c>
      <c r="I700" s="290">
        <v>720</v>
      </c>
      <c r="J700" s="290">
        <f t="shared" si="141"/>
        <v>3600</v>
      </c>
      <c r="K700" s="290">
        <f t="shared" si="142"/>
        <v>360</v>
      </c>
      <c r="L700" s="290">
        <f t="shared" si="143"/>
        <v>1800</v>
      </c>
      <c r="M700" s="254"/>
    </row>
    <row r="701" spans="1:13" ht="22.5" customHeight="1">
      <c r="A701" s="254">
        <v>616</v>
      </c>
      <c r="B701" s="254" t="s">
        <v>198</v>
      </c>
      <c r="C701" s="254" t="s">
        <v>1473</v>
      </c>
      <c r="D701" s="254" t="s">
        <v>112</v>
      </c>
      <c r="E701" s="288">
        <v>4.9000000000000004</v>
      </c>
      <c r="F701" s="289">
        <v>22</v>
      </c>
      <c r="G701" s="290">
        <f t="shared" si="139"/>
        <v>110</v>
      </c>
      <c r="H701" s="290">
        <f t="shared" si="140"/>
        <v>539</v>
      </c>
      <c r="I701" s="290">
        <v>720</v>
      </c>
      <c r="J701" s="290">
        <f t="shared" si="141"/>
        <v>3528.0000000000005</v>
      </c>
      <c r="K701" s="290">
        <f t="shared" si="142"/>
        <v>360</v>
      </c>
      <c r="L701" s="290">
        <f t="shared" si="143"/>
        <v>1764.0000000000002</v>
      </c>
      <c r="M701" s="254"/>
    </row>
    <row r="702" spans="1:13" ht="22.5" customHeight="1">
      <c r="A702" s="254">
        <v>617</v>
      </c>
      <c r="B702" s="254" t="s">
        <v>1474</v>
      </c>
      <c r="C702" s="254" t="s">
        <v>1475</v>
      </c>
      <c r="D702" s="254" t="s">
        <v>112</v>
      </c>
      <c r="E702" s="288">
        <v>4.9000000000000004</v>
      </c>
      <c r="F702" s="289">
        <v>22</v>
      </c>
      <c r="G702" s="290">
        <f t="shared" si="139"/>
        <v>110</v>
      </c>
      <c r="H702" s="290">
        <f t="shared" si="140"/>
        <v>539</v>
      </c>
      <c r="I702" s="290">
        <v>720</v>
      </c>
      <c r="J702" s="290">
        <f t="shared" si="141"/>
        <v>3528.0000000000005</v>
      </c>
      <c r="K702" s="290">
        <f t="shared" si="142"/>
        <v>360</v>
      </c>
      <c r="L702" s="290">
        <f t="shared" si="143"/>
        <v>1764.0000000000002</v>
      </c>
      <c r="M702" s="254"/>
    </row>
    <row r="703" spans="1:13" ht="22.5" customHeight="1">
      <c r="A703" s="254">
        <v>618</v>
      </c>
      <c r="B703" s="254" t="s">
        <v>1476</v>
      </c>
      <c r="C703" s="254" t="s">
        <v>1477</v>
      </c>
      <c r="D703" s="254" t="s">
        <v>119</v>
      </c>
      <c r="E703" s="288">
        <v>5</v>
      </c>
      <c r="F703" s="289">
        <v>20</v>
      </c>
      <c r="G703" s="290">
        <f t="shared" si="139"/>
        <v>100</v>
      </c>
      <c r="H703" s="290">
        <f t="shared" si="140"/>
        <v>500</v>
      </c>
      <c r="I703" s="290">
        <v>800</v>
      </c>
      <c r="J703" s="290">
        <f t="shared" si="141"/>
        <v>4000</v>
      </c>
      <c r="K703" s="290">
        <f t="shared" si="142"/>
        <v>400</v>
      </c>
      <c r="L703" s="290">
        <f t="shared" si="143"/>
        <v>2000</v>
      </c>
      <c r="M703" s="254"/>
    </row>
    <row r="704" spans="1:13" ht="22.5" customHeight="1">
      <c r="A704" s="254">
        <v>619</v>
      </c>
      <c r="B704" s="254" t="s">
        <v>1478</v>
      </c>
      <c r="C704" s="254" t="s">
        <v>1479</v>
      </c>
      <c r="D704" s="254" t="s">
        <v>119</v>
      </c>
      <c r="E704" s="288">
        <v>5</v>
      </c>
      <c r="F704" s="289">
        <v>20</v>
      </c>
      <c r="G704" s="290">
        <f t="shared" si="139"/>
        <v>100</v>
      </c>
      <c r="H704" s="290">
        <f t="shared" si="140"/>
        <v>500</v>
      </c>
      <c r="I704" s="290">
        <v>800</v>
      </c>
      <c r="J704" s="290">
        <f t="shared" si="141"/>
        <v>4000</v>
      </c>
      <c r="K704" s="290">
        <f t="shared" si="142"/>
        <v>400</v>
      </c>
      <c r="L704" s="290">
        <f t="shared" si="143"/>
        <v>2000</v>
      </c>
      <c r="M704" s="254"/>
    </row>
    <row r="705" spans="1:13" ht="22.5" customHeight="1">
      <c r="A705" s="254">
        <v>620</v>
      </c>
      <c r="B705" s="254" t="s">
        <v>1480</v>
      </c>
      <c r="C705" s="254" t="s">
        <v>1481</v>
      </c>
      <c r="D705" s="254" t="s">
        <v>114</v>
      </c>
      <c r="E705" s="288">
        <v>3.5</v>
      </c>
      <c r="F705" s="289">
        <v>20</v>
      </c>
      <c r="G705" s="290">
        <f t="shared" si="139"/>
        <v>100</v>
      </c>
      <c r="H705" s="290">
        <f t="shared" si="140"/>
        <v>350</v>
      </c>
      <c r="I705" s="290">
        <v>720</v>
      </c>
      <c r="J705" s="290">
        <f t="shared" si="141"/>
        <v>2520</v>
      </c>
      <c r="K705" s="290">
        <f t="shared" si="142"/>
        <v>360</v>
      </c>
      <c r="L705" s="290">
        <f t="shared" si="143"/>
        <v>1260</v>
      </c>
      <c r="M705" s="254"/>
    </row>
    <row r="706" spans="1:13" ht="22.5" customHeight="1">
      <c r="A706" s="254">
        <v>621</v>
      </c>
      <c r="B706" s="254" t="s">
        <v>1482</v>
      </c>
      <c r="C706" s="254" t="s">
        <v>1483</v>
      </c>
      <c r="D706" s="254" t="s">
        <v>124</v>
      </c>
      <c r="E706" s="288">
        <v>5</v>
      </c>
      <c r="F706" s="289">
        <v>20</v>
      </c>
      <c r="G706" s="290">
        <f t="shared" si="139"/>
        <v>100</v>
      </c>
      <c r="H706" s="290">
        <f t="shared" si="140"/>
        <v>500</v>
      </c>
      <c r="I706" s="290">
        <v>720</v>
      </c>
      <c r="J706" s="290">
        <f t="shared" si="141"/>
        <v>3600</v>
      </c>
      <c r="K706" s="290">
        <f t="shared" si="142"/>
        <v>360</v>
      </c>
      <c r="L706" s="290">
        <f t="shared" si="143"/>
        <v>1800</v>
      </c>
      <c r="M706" s="254"/>
    </row>
    <row r="707" spans="1:13" ht="22.5" customHeight="1">
      <c r="A707" s="936" t="s">
        <v>318</v>
      </c>
      <c r="B707" s="931"/>
      <c r="C707" s="932"/>
      <c r="D707" s="311">
        <f>COUNTA(D687:D706)</f>
        <v>20</v>
      </c>
      <c r="E707" s="312">
        <f>SUM(E686:E706)</f>
        <v>96</v>
      </c>
      <c r="F707" s="313"/>
      <c r="G707" s="313"/>
      <c r="H707" s="315">
        <f>SUM(H687:H706)</f>
        <v>10051</v>
      </c>
      <c r="I707" s="313"/>
      <c r="J707" s="313"/>
      <c r="K707" s="313"/>
      <c r="L707" s="313"/>
      <c r="M707" s="313"/>
    </row>
    <row r="708" spans="1:13" ht="16.8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</row>
    <row r="709" spans="1:13" ht="16.8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</row>
    <row r="710" spans="1:13" ht="13.2">
      <c r="A710" s="930" t="s">
        <v>46</v>
      </c>
      <c r="B710" s="931"/>
      <c r="C710" s="931"/>
      <c r="D710" s="931"/>
      <c r="E710" s="931"/>
      <c r="F710" s="931"/>
      <c r="G710" s="931"/>
      <c r="H710" s="931"/>
      <c r="I710" s="931"/>
      <c r="J710" s="931"/>
      <c r="K710" s="931"/>
      <c r="L710" s="931"/>
      <c r="M710" s="932"/>
    </row>
    <row r="711" spans="1:13" ht="22.5" customHeight="1">
      <c r="A711" s="253" t="s">
        <v>165</v>
      </c>
      <c r="B711" s="282" t="s">
        <v>166</v>
      </c>
      <c r="C711" s="282" t="s">
        <v>167</v>
      </c>
      <c r="D711" s="255" t="s">
        <v>168</v>
      </c>
      <c r="E711" s="255" t="s">
        <v>169</v>
      </c>
      <c r="F711" s="284" t="s">
        <v>1484</v>
      </c>
      <c r="G711" s="285" t="s">
        <v>1485</v>
      </c>
      <c r="H711" s="255" t="s">
        <v>172</v>
      </c>
      <c r="I711" s="286" t="s">
        <v>1486</v>
      </c>
      <c r="J711" s="286" t="s">
        <v>1487</v>
      </c>
      <c r="K711" s="282" t="s">
        <v>175</v>
      </c>
      <c r="L711" s="282" t="s">
        <v>1488</v>
      </c>
      <c r="M711" s="287" t="s">
        <v>177</v>
      </c>
    </row>
    <row r="712" spans="1:13" ht="22.5" customHeight="1">
      <c r="A712" s="254">
        <v>622</v>
      </c>
      <c r="B712" s="254" t="s">
        <v>1489</v>
      </c>
      <c r="C712" s="254" t="s">
        <v>1490</v>
      </c>
      <c r="D712" s="254" t="s">
        <v>112</v>
      </c>
      <c r="E712" s="288">
        <v>5</v>
      </c>
      <c r="F712" s="289">
        <v>28</v>
      </c>
      <c r="G712" s="290">
        <f t="shared" ref="G712:G717" si="144">F712*5</f>
        <v>140</v>
      </c>
      <c r="H712" s="290">
        <f t="shared" ref="H712:H717" si="145">E712*G712</f>
        <v>700</v>
      </c>
      <c r="I712" s="290">
        <v>720</v>
      </c>
      <c r="J712" s="290">
        <f t="shared" ref="J712:J717" si="146">I712*E712</f>
        <v>3600</v>
      </c>
      <c r="K712" s="290">
        <f t="shared" ref="K712:K717" si="147">I712/2</f>
        <v>360</v>
      </c>
      <c r="L712" s="290">
        <f t="shared" ref="L712:L717" si="148">K712*E712</f>
        <v>1800</v>
      </c>
      <c r="M712" s="254"/>
    </row>
    <row r="713" spans="1:13" ht="22.5" customHeight="1">
      <c r="A713" s="254">
        <v>623</v>
      </c>
      <c r="B713" s="254" t="s">
        <v>1491</v>
      </c>
      <c r="C713" s="254" t="s">
        <v>1492</v>
      </c>
      <c r="D713" s="254" t="s">
        <v>114</v>
      </c>
      <c r="E713" s="288">
        <v>5</v>
      </c>
      <c r="F713" s="289">
        <v>20</v>
      </c>
      <c r="G713" s="290">
        <f t="shared" si="144"/>
        <v>100</v>
      </c>
      <c r="H713" s="290">
        <f t="shared" si="145"/>
        <v>500</v>
      </c>
      <c r="I713" s="290">
        <v>720</v>
      </c>
      <c r="J713" s="290">
        <f t="shared" si="146"/>
        <v>3600</v>
      </c>
      <c r="K713" s="290">
        <f t="shared" si="147"/>
        <v>360</v>
      </c>
      <c r="L713" s="290">
        <f t="shared" si="148"/>
        <v>1800</v>
      </c>
      <c r="M713" s="254"/>
    </row>
    <row r="714" spans="1:13" ht="22.5" customHeight="1">
      <c r="A714" s="254">
        <v>624</v>
      </c>
      <c r="B714" s="254" t="s">
        <v>1493</v>
      </c>
      <c r="C714" s="254" t="s">
        <v>1494</v>
      </c>
      <c r="D714" s="254" t="s">
        <v>112</v>
      </c>
      <c r="E714" s="288">
        <v>5</v>
      </c>
      <c r="F714" s="289">
        <v>28</v>
      </c>
      <c r="G714" s="290">
        <f t="shared" si="144"/>
        <v>140</v>
      </c>
      <c r="H714" s="290">
        <f t="shared" si="145"/>
        <v>700</v>
      </c>
      <c r="I714" s="290">
        <v>720</v>
      </c>
      <c r="J714" s="290">
        <f t="shared" si="146"/>
        <v>3600</v>
      </c>
      <c r="K714" s="290">
        <f t="shared" si="147"/>
        <v>360</v>
      </c>
      <c r="L714" s="290">
        <f t="shared" si="148"/>
        <v>1800</v>
      </c>
      <c r="M714" s="254"/>
    </row>
    <row r="715" spans="1:13" ht="22.5" customHeight="1">
      <c r="A715" s="254">
        <v>625</v>
      </c>
      <c r="B715" s="254" t="s">
        <v>1495</v>
      </c>
      <c r="C715" s="254" t="s">
        <v>1496</v>
      </c>
      <c r="D715" s="254" t="s">
        <v>114</v>
      </c>
      <c r="E715" s="288">
        <v>5</v>
      </c>
      <c r="F715" s="289">
        <v>20</v>
      </c>
      <c r="G715" s="290">
        <f t="shared" si="144"/>
        <v>100</v>
      </c>
      <c r="H715" s="290">
        <f t="shared" si="145"/>
        <v>500</v>
      </c>
      <c r="I715" s="290">
        <v>720</v>
      </c>
      <c r="J715" s="290">
        <f t="shared" si="146"/>
        <v>3600</v>
      </c>
      <c r="K715" s="290">
        <f t="shared" si="147"/>
        <v>360</v>
      </c>
      <c r="L715" s="290">
        <f t="shared" si="148"/>
        <v>1800</v>
      </c>
      <c r="M715" s="254"/>
    </row>
    <row r="716" spans="1:13" ht="22.5" customHeight="1">
      <c r="A716" s="254">
        <v>626</v>
      </c>
      <c r="B716" s="254" t="s">
        <v>1497</v>
      </c>
      <c r="C716" s="254" t="s">
        <v>1498</v>
      </c>
      <c r="D716" s="254" t="s">
        <v>112</v>
      </c>
      <c r="E716" s="288">
        <v>5</v>
      </c>
      <c r="F716" s="289">
        <v>28</v>
      </c>
      <c r="G716" s="290">
        <f t="shared" si="144"/>
        <v>140</v>
      </c>
      <c r="H716" s="290">
        <f t="shared" si="145"/>
        <v>700</v>
      </c>
      <c r="I716" s="290">
        <v>720</v>
      </c>
      <c r="J716" s="290">
        <f t="shared" si="146"/>
        <v>3600</v>
      </c>
      <c r="K716" s="290">
        <f t="shared" si="147"/>
        <v>360</v>
      </c>
      <c r="L716" s="290">
        <f t="shared" si="148"/>
        <v>1800</v>
      </c>
      <c r="M716" s="254"/>
    </row>
    <row r="717" spans="1:13" ht="22.5" customHeight="1">
      <c r="A717" s="254">
        <v>627</v>
      </c>
      <c r="B717" s="254" t="s">
        <v>1499</v>
      </c>
      <c r="C717" s="254" t="s">
        <v>1500</v>
      </c>
      <c r="D717" s="254" t="s">
        <v>114</v>
      </c>
      <c r="E717" s="288">
        <v>5</v>
      </c>
      <c r="F717" s="289">
        <v>20</v>
      </c>
      <c r="G717" s="290">
        <f t="shared" si="144"/>
        <v>100</v>
      </c>
      <c r="H717" s="290">
        <f t="shared" si="145"/>
        <v>500</v>
      </c>
      <c r="I717" s="290">
        <v>720</v>
      </c>
      <c r="J717" s="290">
        <f t="shared" si="146"/>
        <v>3600</v>
      </c>
      <c r="K717" s="290">
        <f t="shared" si="147"/>
        <v>360</v>
      </c>
      <c r="L717" s="290">
        <f t="shared" si="148"/>
        <v>1800</v>
      </c>
      <c r="M717" s="254"/>
    </row>
    <row r="718" spans="1:13" ht="22.5" customHeight="1">
      <c r="A718" s="936" t="s">
        <v>318</v>
      </c>
      <c r="B718" s="931"/>
      <c r="C718" s="932"/>
      <c r="D718" s="311">
        <f>COUNTA(D712:D717)</f>
        <v>6</v>
      </c>
      <c r="E718" s="312">
        <f>SUM(E712:E717)</f>
        <v>30</v>
      </c>
      <c r="F718" s="313"/>
      <c r="G718" s="313"/>
      <c r="H718" s="315">
        <f>SUM(H712:H717)</f>
        <v>3600</v>
      </c>
      <c r="I718" s="313"/>
      <c r="J718" s="313"/>
      <c r="K718" s="313"/>
      <c r="L718" s="313"/>
      <c r="M718" s="313"/>
    </row>
    <row r="719" spans="1:13" ht="16.8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</row>
    <row r="720" spans="1:13" ht="16.8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</row>
    <row r="721" spans="1:13" ht="13.2">
      <c r="A721" s="930" t="s">
        <v>47</v>
      </c>
      <c r="B721" s="931"/>
      <c r="C721" s="931"/>
      <c r="D721" s="931"/>
      <c r="E721" s="931"/>
      <c r="F721" s="931"/>
      <c r="G721" s="931"/>
      <c r="H721" s="931"/>
      <c r="I721" s="931"/>
      <c r="J721" s="931"/>
      <c r="K721" s="931"/>
      <c r="L721" s="931"/>
      <c r="M721" s="932"/>
    </row>
    <row r="722" spans="1:13" ht="22.5" customHeight="1">
      <c r="A722" s="253" t="s">
        <v>165</v>
      </c>
      <c r="B722" s="282" t="s">
        <v>166</v>
      </c>
      <c r="C722" s="282" t="s">
        <v>167</v>
      </c>
      <c r="D722" s="255" t="s">
        <v>168</v>
      </c>
      <c r="E722" s="255" t="s">
        <v>169</v>
      </c>
      <c r="F722" s="284" t="s">
        <v>1501</v>
      </c>
      <c r="G722" s="285" t="s">
        <v>1502</v>
      </c>
      <c r="H722" s="255" t="s">
        <v>172</v>
      </c>
      <c r="I722" s="286" t="s">
        <v>1503</v>
      </c>
      <c r="J722" s="286" t="s">
        <v>1504</v>
      </c>
      <c r="K722" s="282" t="s">
        <v>175</v>
      </c>
      <c r="L722" s="282" t="s">
        <v>1505</v>
      </c>
      <c r="M722" s="287" t="s">
        <v>177</v>
      </c>
    </row>
    <row r="723" spans="1:13" ht="22.5" customHeight="1">
      <c r="A723" s="254">
        <v>628</v>
      </c>
      <c r="B723" s="290" t="s">
        <v>1506</v>
      </c>
      <c r="C723" s="254" t="s">
        <v>1507</v>
      </c>
      <c r="D723" s="254" t="s">
        <v>112</v>
      </c>
      <c r="E723" s="288">
        <v>5</v>
      </c>
      <c r="F723" s="289">
        <v>23</v>
      </c>
      <c r="G723" s="290">
        <f t="shared" ref="G723:G745" si="149">F723*5</f>
        <v>115</v>
      </c>
      <c r="H723" s="290">
        <f t="shared" ref="H723:H745" si="150">E723*G723</f>
        <v>575</v>
      </c>
      <c r="I723" s="290">
        <v>720</v>
      </c>
      <c r="J723" s="290">
        <f t="shared" ref="J723:J745" si="151">I723*E723</f>
        <v>3600</v>
      </c>
      <c r="K723" s="290">
        <f t="shared" ref="K723:K745" si="152">G723*2</f>
        <v>230</v>
      </c>
      <c r="L723" s="290">
        <f t="shared" ref="L723:L745" si="153">K723*E723</f>
        <v>1150</v>
      </c>
      <c r="M723" s="254"/>
    </row>
    <row r="724" spans="1:13" ht="22.5" customHeight="1">
      <c r="A724" s="254">
        <v>629</v>
      </c>
      <c r="B724" s="290" t="s">
        <v>1508</v>
      </c>
      <c r="C724" s="254" t="s">
        <v>1509</v>
      </c>
      <c r="D724" s="254" t="s">
        <v>117</v>
      </c>
      <c r="E724" s="288">
        <v>5</v>
      </c>
      <c r="F724" s="289">
        <v>34</v>
      </c>
      <c r="G724" s="290">
        <f t="shared" si="149"/>
        <v>170</v>
      </c>
      <c r="H724" s="290">
        <f t="shared" si="150"/>
        <v>850</v>
      </c>
      <c r="I724" s="290">
        <v>800</v>
      </c>
      <c r="J724" s="290">
        <f t="shared" si="151"/>
        <v>4000</v>
      </c>
      <c r="K724" s="290">
        <f t="shared" si="152"/>
        <v>340</v>
      </c>
      <c r="L724" s="290">
        <f t="shared" si="153"/>
        <v>1700</v>
      </c>
      <c r="M724" s="254"/>
    </row>
    <row r="725" spans="1:13" ht="22.5" customHeight="1">
      <c r="A725" s="254">
        <v>630</v>
      </c>
      <c r="B725" s="290" t="s">
        <v>1510</v>
      </c>
      <c r="C725" s="254" t="s">
        <v>1511</v>
      </c>
      <c r="D725" s="254" t="s">
        <v>113</v>
      </c>
      <c r="E725" s="288">
        <v>5</v>
      </c>
      <c r="F725" s="289">
        <v>19</v>
      </c>
      <c r="G725" s="290">
        <f t="shared" si="149"/>
        <v>95</v>
      </c>
      <c r="H725" s="290">
        <f t="shared" si="150"/>
        <v>475</v>
      </c>
      <c r="I725" s="290">
        <v>720</v>
      </c>
      <c r="J725" s="290">
        <f t="shared" si="151"/>
        <v>3600</v>
      </c>
      <c r="K725" s="290">
        <f t="shared" si="152"/>
        <v>190</v>
      </c>
      <c r="L725" s="290">
        <f t="shared" si="153"/>
        <v>950</v>
      </c>
      <c r="M725" s="254"/>
    </row>
    <row r="726" spans="1:13" ht="22.5" customHeight="1">
      <c r="A726" s="254">
        <v>631</v>
      </c>
      <c r="B726" s="290" t="s">
        <v>1512</v>
      </c>
      <c r="C726" s="254" t="s">
        <v>1513</v>
      </c>
      <c r="D726" s="254" t="s">
        <v>113</v>
      </c>
      <c r="E726" s="288">
        <v>5</v>
      </c>
      <c r="F726" s="289">
        <v>19</v>
      </c>
      <c r="G726" s="290">
        <f t="shared" si="149"/>
        <v>95</v>
      </c>
      <c r="H726" s="290">
        <f t="shared" si="150"/>
        <v>475</v>
      </c>
      <c r="I726" s="290">
        <v>720</v>
      </c>
      <c r="J726" s="290">
        <f t="shared" si="151"/>
        <v>3600</v>
      </c>
      <c r="K726" s="290">
        <f t="shared" si="152"/>
        <v>190</v>
      </c>
      <c r="L726" s="290">
        <f t="shared" si="153"/>
        <v>950</v>
      </c>
      <c r="M726" s="254"/>
    </row>
    <row r="727" spans="1:13" ht="22.5" customHeight="1">
      <c r="A727" s="254">
        <v>632</v>
      </c>
      <c r="B727" s="290" t="s">
        <v>1514</v>
      </c>
      <c r="C727" s="254" t="s">
        <v>1515</v>
      </c>
      <c r="D727" s="254" t="s">
        <v>112</v>
      </c>
      <c r="E727" s="288">
        <v>5</v>
      </c>
      <c r="F727" s="289">
        <v>23</v>
      </c>
      <c r="G727" s="290">
        <f t="shared" si="149"/>
        <v>115</v>
      </c>
      <c r="H727" s="290">
        <f t="shared" si="150"/>
        <v>575</v>
      </c>
      <c r="I727" s="290">
        <v>720</v>
      </c>
      <c r="J727" s="290">
        <f t="shared" si="151"/>
        <v>3600</v>
      </c>
      <c r="K727" s="290">
        <f t="shared" si="152"/>
        <v>230</v>
      </c>
      <c r="L727" s="290">
        <f t="shared" si="153"/>
        <v>1150</v>
      </c>
      <c r="M727" s="254"/>
    </row>
    <row r="728" spans="1:13" ht="22.5" customHeight="1">
      <c r="A728" s="254">
        <v>633</v>
      </c>
      <c r="B728" s="290" t="s">
        <v>1516</v>
      </c>
      <c r="C728" s="254" t="s">
        <v>1517</v>
      </c>
      <c r="D728" s="254" t="s">
        <v>113</v>
      </c>
      <c r="E728" s="288">
        <v>5</v>
      </c>
      <c r="F728" s="289">
        <v>19</v>
      </c>
      <c r="G728" s="290">
        <f t="shared" si="149"/>
        <v>95</v>
      </c>
      <c r="H728" s="290">
        <f t="shared" si="150"/>
        <v>475</v>
      </c>
      <c r="I728" s="290">
        <v>720</v>
      </c>
      <c r="J728" s="290">
        <f t="shared" si="151"/>
        <v>3600</v>
      </c>
      <c r="K728" s="290">
        <f t="shared" si="152"/>
        <v>190</v>
      </c>
      <c r="L728" s="290">
        <f t="shared" si="153"/>
        <v>950</v>
      </c>
      <c r="M728" s="254"/>
    </row>
    <row r="729" spans="1:13" ht="22.5" customHeight="1">
      <c r="A729" s="254">
        <v>634</v>
      </c>
      <c r="B729" s="290" t="s">
        <v>1518</v>
      </c>
      <c r="C729" s="254" t="s">
        <v>1519</v>
      </c>
      <c r="D729" s="254" t="s">
        <v>113</v>
      </c>
      <c r="E729" s="288">
        <v>5</v>
      </c>
      <c r="F729" s="289">
        <v>16</v>
      </c>
      <c r="G729" s="290">
        <f t="shared" si="149"/>
        <v>80</v>
      </c>
      <c r="H729" s="290">
        <f t="shared" si="150"/>
        <v>400</v>
      </c>
      <c r="I729" s="290">
        <v>720</v>
      </c>
      <c r="J729" s="290">
        <f t="shared" si="151"/>
        <v>3600</v>
      </c>
      <c r="K729" s="290">
        <f t="shared" si="152"/>
        <v>160</v>
      </c>
      <c r="L729" s="290">
        <f t="shared" si="153"/>
        <v>800</v>
      </c>
      <c r="M729" s="254"/>
    </row>
    <row r="730" spans="1:13" ht="22.5" customHeight="1">
      <c r="A730" s="254">
        <v>635</v>
      </c>
      <c r="B730" s="290" t="s">
        <v>1520</v>
      </c>
      <c r="C730" s="254" t="s">
        <v>1521</v>
      </c>
      <c r="D730" s="254" t="s">
        <v>113</v>
      </c>
      <c r="E730" s="288">
        <v>5</v>
      </c>
      <c r="F730" s="289">
        <v>16</v>
      </c>
      <c r="G730" s="290">
        <f t="shared" si="149"/>
        <v>80</v>
      </c>
      <c r="H730" s="290">
        <f t="shared" si="150"/>
        <v>400</v>
      </c>
      <c r="I730" s="290">
        <v>720</v>
      </c>
      <c r="J730" s="290">
        <f t="shared" si="151"/>
        <v>3600</v>
      </c>
      <c r="K730" s="290">
        <f t="shared" si="152"/>
        <v>160</v>
      </c>
      <c r="L730" s="290">
        <f t="shared" si="153"/>
        <v>800</v>
      </c>
      <c r="M730" s="254"/>
    </row>
    <row r="731" spans="1:13" ht="22.5" customHeight="1">
      <c r="A731" s="254">
        <v>636</v>
      </c>
      <c r="B731" s="277" t="s">
        <v>1522</v>
      </c>
      <c r="C731" s="254" t="s">
        <v>1523</v>
      </c>
      <c r="D731" s="254" t="s">
        <v>112</v>
      </c>
      <c r="E731" s="288">
        <v>5</v>
      </c>
      <c r="F731" s="289">
        <v>19</v>
      </c>
      <c r="G731" s="290">
        <f t="shared" si="149"/>
        <v>95</v>
      </c>
      <c r="H731" s="290">
        <f t="shared" si="150"/>
        <v>475</v>
      </c>
      <c r="I731" s="290">
        <v>720</v>
      </c>
      <c r="J731" s="290">
        <f t="shared" si="151"/>
        <v>3600</v>
      </c>
      <c r="K731" s="290">
        <f t="shared" si="152"/>
        <v>190</v>
      </c>
      <c r="L731" s="290">
        <f t="shared" si="153"/>
        <v>950</v>
      </c>
      <c r="M731" s="254"/>
    </row>
    <row r="732" spans="1:13" ht="22.5" customHeight="1">
      <c r="A732" s="254">
        <v>637</v>
      </c>
      <c r="B732" s="290" t="s">
        <v>1524</v>
      </c>
      <c r="C732" s="254" t="s">
        <v>1525</v>
      </c>
      <c r="D732" s="254" t="s">
        <v>112</v>
      </c>
      <c r="E732" s="288">
        <v>5.5</v>
      </c>
      <c r="F732" s="289">
        <v>19</v>
      </c>
      <c r="G732" s="290">
        <f t="shared" si="149"/>
        <v>95</v>
      </c>
      <c r="H732" s="290">
        <f t="shared" si="150"/>
        <v>522.5</v>
      </c>
      <c r="I732" s="290">
        <v>720</v>
      </c>
      <c r="J732" s="290">
        <f t="shared" si="151"/>
        <v>3960</v>
      </c>
      <c r="K732" s="290">
        <f t="shared" si="152"/>
        <v>190</v>
      </c>
      <c r="L732" s="290">
        <f t="shared" si="153"/>
        <v>1045</v>
      </c>
      <c r="M732" s="254"/>
    </row>
    <row r="733" spans="1:13" ht="22.5" customHeight="1">
      <c r="A733" s="254">
        <v>638</v>
      </c>
      <c r="B733" s="290" t="s">
        <v>1526</v>
      </c>
      <c r="C733" s="254" t="s">
        <v>1527</v>
      </c>
      <c r="D733" s="254" t="s">
        <v>113</v>
      </c>
      <c r="E733" s="288">
        <v>5</v>
      </c>
      <c r="F733" s="289">
        <v>16</v>
      </c>
      <c r="G733" s="290">
        <f t="shared" si="149"/>
        <v>80</v>
      </c>
      <c r="H733" s="290">
        <f t="shared" si="150"/>
        <v>400</v>
      </c>
      <c r="I733" s="290">
        <v>720</v>
      </c>
      <c r="J733" s="290">
        <f t="shared" si="151"/>
        <v>3600</v>
      </c>
      <c r="K733" s="290">
        <f t="shared" si="152"/>
        <v>160</v>
      </c>
      <c r="L733" s="290">
        <f t="shared" si="153"/>
        <v>800</v>
      </c>
      <c r="M733" s="254"/>
    </row>
    <row r="734" spans="1:13" ht="22.5" customHeight="1">
      <c r="A734" s="254">
        <v>639</v>
      </c>
      <c r="B734" s="290" t="s">
        <v>1528</v>
      </c>
      <c r="C734" s="254" t="s">
        <v>1529</v>
      </c>
      <c r="D734" s="254" t="s">
        <v>113</v>
      </c>
      <c r="E734" s="288">
        <v>5</v>
      </c>
      <c r="F734" s="289">
        <v>16</v>
      </c>
      <c r="G734" s="290">
        <f t="shared" si="149"/>
        <v>80</v>
      </c>
      <c r="H734" s="290">
        <f t="shared" si="150"/>
        <v>400</v>
      </c>
      <c r="I734" s="290">
        <v>720</v>
      </c>
      <c r="J734" s="290">
        <f t="shared" si="151"/>
        <v>3600</v>
      </c>
      <c r="K734" s="290">
        <f t="shared" si="152"/>
        <v>160</v>
      </c>
      <c r="L734" s="290">
        <f t="shared" si="153"/>
        <v>800</v>
      </c>
      <c r="M734" s="254"/>
    </row>
    <row r="735" spans="1:13" ht="22.5" customHeight="1">
      <c r="A735" s="254">
        <v>640</v>
      </c>
      <c r="B735" s="290" t="s">
        <v>1530</v>
      </c>
      <c r="C735" s="254" t="s">
        <v>1531</v>
      </c>
      <c r="D735" s="254" t="s">
        <v>112</v>
      </c>
      <c r="E735" s="288">
        <v>6.8</v>
      </c>
      <c r="F735" s="289">
        <v>19</v>
      </c>
      <c r="G735" s="290">
        <f t="shared" si="149"/>
        <v>95</v>
      </c>
      <c r="H735" s="290">
        <f t="shared" si="150"/>
        <v>646</v>
      </c>
      <c r="I735" s="290">
        <v>720</v>
      </c>
      <c r="J735" s="290">
        <f t="shared" si="151"/>
        <v>4896</v>
      </c>
      <c r="K735" s="290">
        <f t="shared" si="152"/>
        <v>190</v>
      </c>
      <c r="L735" s="290">
        <f t="shared" si="153"/>
        <v>1292</v>
      </c>
      <c r="M735" s="254"/>
    </row>
    <row r="736" spans="1:13" ht="22.5" customHeight="1">
      <c r="A736" s="254">
        <v>641</v>
      </c>
      <c r="B736" s="290" t="s">
        <v>1532</v>
      </c>
      <c r="C736" s="254" t="s">
        <v>1533</v>
      </c>
      <c r="D736" s="254" t="s">
        <v>113</v>
      </c>
      <c r="E736" s="288">
        <v>5</v>
      </c>
      <c r="F736" s="289">
        <v>16</v>
      </c>
      <c r="G736" s="290">
        <f t="shared" si="149"/>
        <v>80</v>
      </c>
      <c r="H736" s="290">
        <f t="shared" si="150"/>
        <v>400</v>
      </c>
      <c r="I736" s="290">
        <v>720</v>
      </c>
      <c r="J736" s="290">
        <f t="shared" si="151"/>
        <v>3600</v>
      </c>
      <c r="K736" s="290">
        <f t="shared" si="152"/>
        <v>160</v>
      </c>
      <c r="L736" s="290">
        <f t="shared" si="153"/>
        <v>800</v>
      </c>
      <c r="M736" s="254"/>
    </row>
    <row r="737" spans="1:13" ht="22.5" customHeight="1">
      <c r="A737" s="254">
        <v>642</v>
      </c>
      <c r="B737" s="290" t="s">
        <v>1534</v>
      </c>
      <c r="C737" s="254" t="s">
        <v>1535</v>
      </c>
      <c r="D737" s="254" t="s">
        <v>112</v>
      </c>
      <c r="E737" s="288">
        <v>5</v>
      </c>
      <c r="F737" s="289">
        <v>22</v>
      </c>
      <c r="G737" s="290">
        <f t="shared" si="149"/>
        <v>110</v>
      </c>
      <c r="H737" s="290">
        <f t="shared" si="150"/>
        <v>550</v>
      </c>
      <c r="I737" s="290">
        <v>720</v>
      </c>
      <c r="J737" s="290">
        <f t="shared" si="151"/>
        <v>3600</v>
      </c>
      <c r="K737" s="290">
        <f t="shared" si="152"/>
        <v>220</v>
      </c>
      <c r="L737" s="290">
        <f t="shared" si="153"/>
        <v>1100</v>
      </c>
      <c r="M737" s="254"/>
    </row>
    <row r="738" spans="1:13" ht="22.5" customHeight="1">
      <c r="A738" s="254">
        <v>643</v>
      </c>
      <c r="B738" s="290" t="s">
        <v>1536</v>
      </c>
      <c r="C738" s="254" t="s">
        <v>1537</v>
      </c>
      <c r="D738" s="254" t="s">
        <v>113</v>
      </c>
      <c r="E738" s="288">
        <v>2.7</v>
      </c>
      <c r="F738" s="289">
        <v>18</v>
      </c>
      <c r="G738" s="290">
        <f t="shared" si="149"/>
        <v>90</v>
      </c>
      <c r="H738" s="290">
        <f t="shared" si="150"/>
        <v>243.00000000000003</v>
      </c>
      <c r="I738" s="290">
        <v>720</v>
      </c>
      <c r="J738" s="290">
        <f t="shared" si="151"/>
        <v>1944.0000000000002</v>
      </c>
      <c r="K738" s="290">
        <f t="shared" si="152"/>
        <v>180</v>
      </c>
      <c r="L738" s="290">
        <f t="shared" si="153"/>
        <v>486.00000000000006</v>
      </c>
      <c r="M738" s="254"/>
    </row>
    <row r="739" spans="1:13" ht="22.5" customHeight="1">
      <c r="A739" s="254">
        <v>644</v>
      </c>
      <c r="B739" s="290" t="s">
        <v>1538</v>
      </c>
      <c r="C739" s="254" t="s">
        <v>1539</v>
      </c>
      <c r="D739" s="254" t="s">
        <v>112</v>
      </c>
      <c r="E739" s="288">
        <v>5</v>
      </c>
      <c r="F739" s="289">
        <v>22</v>
      </c>
      <c r="G739" s="290">
        <f t="shared" si="149"/>
        <v>110</v>
      </c>
      <c r="H739" s="290">
        <f t="shared" si="150"/>
        <v>550</v>
      </c>
      <c r="I739" s="290">
        <v>720</v>
      </c>
      <c r="J739" s="290">
        <f t="shared" si="151"/>
        <v>3600</v>
      </c>
      <c r="K739" s="290">
        <f t="shared" si="152"/>
        <v>220</v>
      </c>
      <c r="L739" s="290">
        <f t="shared" si="153"/>
        <v>1100</v>
      </c>
      <c r="M739" s="254"/>
    </row>
    <row r="740" spans="1:13" ht="22.5" customHeight="1">
      <c r="A740" s="254">
        <v>645</v>
      </c>
      <c r="B740" s="290" t="s">
        <v>1540</v>
      </c>
      <c r="C740" s="254" t="s">
        <v>1541</v>
      </c>
      <c r="D740" s="254" t="s">
        <v>113</v>
      </c>
      <c r="E740" s="288">
        <v>2.5</v>
      </c>
      <c r="F740" s="289">
        <v>18</v>
      </c>
      <c r="G740" s="290">
        <f t="shared" si="149"/>
        <v>90</v>
      </c>
      <c r="H740" s="290">
        <f t="shared" si="150"/>
        <v>225</v>
      </c>
      <c r="I740" s="290">
        <v>720</v>
      </c>
      <c r="J740" s="290">
        <f t="shared" si="151"/>
        <v>1800</v>
      </c>
      <c r="K740" s="290">
        <f t="shared" si="152"/>
        <v>180</v>
      </c>
      <c r="L740" s="290">
        <f t="shared" si="153"/>
        <v>450</v>
      </c>
      <c r="M740" s="254"/>
    </row>
    <row r="741" spans="1:13" ht="22.5" customHeight="1">
      <c r="A741" s="254">
        <v>646</v>
      </c>
      <c r="B741" s="290" t="s">
        <v>1542</v>
      </c>
      <c r="C741" s="254" t="s">
        <v>1543</v>
      </c>
      <c r="D741" s="254" t="s">
        <v>112</v>
      </c>
      <c r="E741" s="288">
        <v>5</v>
      </c>
      <c r="F741" s="289">
        <v>28</v>
      </c>
      <c r="G741" s="290">
        <f t="shared" si="149"/>
        <v>140</v>
      </c>
      <c r="H741" s="290">
        <f t="shared" si="150"/>
        <v>700</v>
      </c>
      <c r="I741" s="290">
        <v>720</v>
      </c>
      <c r="J741" s="290">
        <f t="shared" si="151"/>
        <v>3600</v>
      </c>
      <c r="K741" s="290">
        <f t="shared" si="152"/>
        <v>280</v>
      </c>
      <c r="L741" s="290">
        <f t="shared" si="153"/>
        <v>1400</v>
      </c>
      <c r="M741" s="254"/>
    </row>
    <row r="742" spans="1:13" ht="22.5" customHeight="1">
      <c r="A742" s="254">
        <v>647</v>
      </c>
      <c r="B742" s="290" t="s">
        <v>1544</v>
      </c>
      <c r="C742" s="254" t="s">
        <v>1543</v>
      </c>
      <c r="D742" s="254" t="s">
        <v>112</v>
      </c>
      <c r="E742" s="288">
        <v>6</v>
      </c>
      <c r="F742" s="289">
        <v>28</v>
      </c>
      <c r="G742" s="290">
        <f t="shared" si="149"/>
        <v>140</v>
      </c>
      <c r="H742" s="290">
        <f t="shared" si="150"/>
        <v>840</v>
      </c>
      <c r="I742" s="290">
        <v>720</v>
      </c>
      <c r="J742" s="290">
        <f t="shared" si="151"/>
        <v>4320</v>
      </c>
      <c r="K742" s="290">
        <f t="shared" si="152"/>
        <v>280</v>
      </c>
      <c r="L742" s="290">
        <f t="shared" si="153"/>
        <v>1680</v>
      </c>
      <c r="M742" s="254"/>
    </row>
    <row r="743" spans="1:13" ht="22.5" customHeight="1">
      <c r="A743" s="254">
        <v>648</v>
      </c>
      <c r="B743" s="290" t="s">
        <v>1545</v>
      </c>
      <c r="C743" s="254" t="s">
        <v>1546</v>
      </c>
      <c r="D743" s="254" t="s">
        <v>112</v>
      </c>
      <c r="E743" s="288">
        <v>5</v>
      </c>
      <c r="F743" s="289">
        <v>23</v>
      </c>
      <c r="G743" s="290">
        <f t="shared" si="149"/>
        <v>115</v>
      </c>
      <c r="H743" s="290">
        <f t="shared" si="150"/>
        <v>575</v>
      </c>
      <c r="I743" s="290">
        <v>720</v>
      </c>
      <c r="J743" s="290">
        <f t="shared" si="151"/>
        <v>3600</v>
      </c>
      <c r="K743" s="290">
        <f t="shared" si="152"/>
        <v>230</v>
      </c>
      <c r="L743" s="290">
        <f t="shared" si="153"/>
        <v>1150</v>
      </c>
      <c r="M743" s="254"/>
    </row>
    <row r="744" spans="1:13" ht="22.5" customHeight="1">
      <c r="A744" s="254">
        <v>649</v>
      </c>
      <c r="B744" s="290" t="s">
        <v>1547</v>
      </c>
      <c r="C744" s="254" t="s">
        <v>1548</v>
      </c>
      <c r="D744" s="254" t="s">
        <v>117</v>
      </c>
      <c r="E744" s="288">
        <v>5</v>
      </c>
      <c r="F744" s="289">
        <v>34</v>
      </c>
      <c r="G744" s="290">
        <f t="shared" si="149"/>
        <v>170</v>
      </c>
      <c r="H744" s="290">
        <f t="shared" si="150"/>
        <v>850</v>
      </c>
      <c r="I744" s="290">
        <v>800</v>
      </c>
      <c r="J744" s="290">
        <f t="shared" si="151"/>
        <v>4000</v>
      </c>
      <c r="K744" s="290">
        <f t="shared" si="152"/>
        <v>340</v>
      </c>
      <c r="L744" s="290">
        <f t="shared" si="153"/>
        <v>1700</v>
      </c>
      <c r="M744" s="254"/>
    </row>
    <row r="745" spans="1:13" ht="22.5" customHeight="1">
      <c r="A745" s="254">
        <v>650</v>
      </c>
      <c r="B745" s="290" t="s">
        <v>1549</v>
      </c>
      <c r="C745" s="254" t="s">
        <v>1550</v>
      </c>
      <c r="D745" s="254" t="s">
        <v>112</v>
      </c>
      <c r="E745" s="288">
        <v>5</v>
      </c>
      <c r="F745" s="289">
        <v>23</v>
      </c>
      <c r="G745" s="290">
        <f t="shared" si="149"/>
        <v>115</v>
      </c>
      <c r="H745" s="290">
        <f t="shared" si="150"/>
        <v>575</v>
      </c>
      <c r="I745" s="290">
        <v>720</v>
      </c>
      <c r="J745" s="290">
        <f t="shared" si="151"/>
        <v>3600</v>
      </c>
      <c r="K745" s="290">
        <f t="shared" si="152"/>
        <v>230</v>
      </c>
      <c r="L745" s="290">
        <f t="shared" si="153"/>
        <v>1150</v>
      </c>
      <c r="M745" s="254"/>
    </row>
    <row r="746" spans="1:13" ht="22.5" customHeight="1">
      <c r="A746" s="936" t="s">
        <v>318</v>
      </c>
      <c r="B746" s="931"/>
      <c r="C746" s="932"/>
      <c r="D746" s="311">
        <f>COUNTA(D723:D745)</f>
        <v>23</v>
      </c>
      <c r="E746" s="329">
        <f>SUM(E722:E745)</f>
        <v>113.5</v>
      </c>
      <c r="F746" s="313"/>
      <c r="G746" s="313"/>
      <c r="H746" s="315">
        <f>SUM(H723:H745)</f>
        <v>12176.5</v>
      </c>
      <c r="I746" s="313"/>
      <c r="J746" s="313"/>
      <c r="K746" s="313"/>
      <c r="L746" s="313"/>
      <c r="M746" s="313"/>
    </row>
  </sheetData>
  <mergeCells count="55">
    <mergeCell ref="A721:M721"/>
    <mergeCell ref="A746:C746"/>
    <mergeCell ref="A682:C682"/>
    <mergeCell ref="A685:M685"/>
    <mergeCell ref="A707:C707"/>
    <mergeCell ref="A710:M710"/>
    <mergeCell ref="A718:C718"/>
    <mergeCell ref="A324:M324"/>
    <mergeCell ref="A402:C402"/>
    <mergeCell ref="A405:M405"/>
    <mergeCell ref="A448:C448"/>
    <mergeCell ref="A451:M451"/>
    <mergeCell ref="A83:C83"/>
    <mergeCell ref="A86:M86"/>
    <mergeCell ref="A189:C189"/>
    <mergeCell ref="A193:M193"/>
    <mergeCell ref="A321:C321"/>
    <mergeCell ref="A11:M11"/>
    <mergeCell ref="A5:C5"/>
    <mergeCell ref="F5:G5"/>
    <mergeCell ref="K5:L6"/>
    <mergeCell ref="A6:C6"/>
    <mergeCell ref="F6:G6"/>
    <mergeCell ref="F7:G7"/>
    <mergeCell ref="K7:L7"/>
    <mergeCell ref="F8:G8"/>
    <mergeCell ref="A4:C4"/>
    <mergeCell ref="I5:J6"/>
    <mergeCell ref="I7:J7"/>
    <mergeCell ref="A7:C7"/>
    <mergeCell ref="A10:M10"/>
    <mergeCell ref="F4:G4"/>
    <mergeCell ref="A1:D1"/>
    <mergeCell ref="F1:H1"/>
    <mergeCell ref="A2:C2"/>
    <mergeCell ref="F2:G2"/>
    <mergeCell ref="I2:M3"/>
    <mergeCell ref="A3:C3"/>
    <mergeCell ref="F3:G3"/>
    <mergeCell ref="A620:M620"/>
    <mergeCell ref="A658:M658"/>
    <mergeCell ref="A481:C481"/>
    <mergeCell ref="A497:C497"/>
    <mergeCell ref="A535:C535"/>
    <mergeCell ref="A547:C547"/>
    <mergeCell ref="A575:C575"/>
    <mergeCell ref="A586:B586"/>
    <mergeCell ref="A617:C617"/>
    <mergeCell ref="A485:M485"/>
    <mergeCell ref="A655:C655"/>
    <mergeCell ref="A500:M500"/>
    <mergeCell ref="A538:M538"/>
    <mergeCell ref="A550:M550"/>
    <mergeCell ref="A579:M579"/>
    <mergeCell ref="A589:M589"/>
  </mergeCells>
  <dataValidations count="1">
    <dataValidation type="custom" allowBlank="1" showDropDown="1" sqref="H13:H83 H88:H189 H195:H321 H326:H402 H407:H448 E407:E448 H453:H481 E453:E481 H487:H497 E487:E497 H502:H535 E502:E535 H540:H547 H552:H575 H591:H617 H622:H655 H660:H682 H687:H707 H712:H718 H723:H746" xr:uid="{00000000-0002-0000-0400-000000000000}">
      <formula1>AND(ISNUMBER(E13),(NOT(OR(NOT(ISERROR(DATEVALUE(E13))), AND(ISNUMBER(E13), LEFT(CELL("format", E13))="D")))))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5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A1:M473"/>
  <sheetViews>
    <sheetView workbookViewId="0"/>
  </sheetViews>
  <sheetFormatPr defaultColWidth="12.6640625" defaultRowHeight="15.75" customHeight="1"/>
  <cols>
    <col min="1" max="1" width="6" customWidth="1"/>
    <col min="2" max="2" width="13.77734375" customWidth="1"/>
    <col min="3" max="3" width="16.44140625" customWidth="1"/>
    <col min="4" max="4" width="24.77734375" customWidth="1"/>
    <col min="5" max="5" width="11.21875" customWidth="1"/>
    <col min="7" max="7" width="17.33203125" customWidth="1"/>
    <col min="9" max="9" width="8.44140625" customWidth="1"/>
    <col min="11" max="11" width="17.44140625" customWidth="1"/>
    <col min="12" max="12" width="15.33203125" customWidth="1"/>
  </cols>
  <sheetData>
    <row r="1" spans="1:13" ht="13.8">
      <c r="A1" s="956" t="s">
        <v>146</v>
      </c>
      <c r="B1" s="931"/>
      <c r="C1" s="931"/>
      <c r="D1" s="932"/>
      <c r="E1" s="331"/>
      <c r="F1" s="959" t="s">
        <v>147</v>
      </c>
      <c r="G1" s="931"/>
      <c r="H1" s="932"/>
      <c r="I1" s="331"/>
      <c r="J1" s="331"/>
      <c r="K1" s="331"/>
      <c r="L1" s="331"/>
      <c r="M1" s="331"/>
    </row>
    <row r="2" spans="1:13" ht="15.6">
      <c r="A2" s="956" t="s">
        <v>148</v>
      </c>
      <c r="B2" s="931"/>
      <c r="C2" s="932"/>
      <c r="D2" s="332" t="s">
        <v>149</v>
      </c>
      <c r="E2" s="331"/>
      <c r="F2" s="960" t="s">
        <v>150</v>
      </c>
      <c r="G2" s="932"/>
      <c r="H2" s="333"/>
      <c r="I2" s="961" t="s">
        <v>151</v>
      </c>
      <c r="J2" s="929"/>
      <c r="K2" s="929"/>
      <c r="L2" s="929"/>
      <c r="M2" s="929"/>
    </row>
    <row r="3" spans="1:13" ht="15.6">
      <c r="A3" s="957" t="s">
        <v>26</v>
      </c>
      <c r="B3" s="931"/>
      <c r="C3" s="932"/>
      <c r="D3" s="335" t="s">
        <v>1551</v>
      </c>
      <c r="E3" s="331"/>
      <c r="F3" s="956" t="s">
        <v>153</v>
      </c>
      <c r="G3" s="932"/>
      <c r="H3" s="336" t="s">
        <v>1552</v>
      </c>
      <c r="I3" s="929"/>
      <c r="J3" s="929"/>
      <c r="K3" s="929"/>
      <c r="L3" s="929"/>
      <c r="M3" s="929"/>
    </row>
    <row r="4" spans="1:13" ht="39.75" customHeight="1">
      <c r="A4" s="957" t="s">
        <v>1553</v>
      </c>
      <c r="B4" s="931"/>
      <c r="C4" s="932"/>
      <c r="D4" s="337">
        <v>50</v>
      </c>
      <c r="E4" s="331"/>
      <c r="F4" s="957" t="s">
        <v>156</v>
      </c>
      <c r="G4" s="932"/>
      <c r="H4" s="338"/>
      <c r="I4" s="963" t="s">
        <v>159</v>
      </c>
      <c r="J4" s="964"/>
      <c r="K4" s="965">
        <f>K79+K107+K171+K267+K281+K300+K330+K345+K362+K371+K382+K389+K400+K413+K423+K447+K473</f>
        <v>224661.1</v>
      </c>
      <c r="L4" s="964"/>
      <c r="M4" s="331"/>
    </row>
    <row r="5" spans="1:13" ht="13.8">
      <c r="A5" s="957" t="s">
        <v>1554</v>
      </c>
      <c r="B5" s="931"/>
      <c r="C5" s="932"/>
      <c r="D5" s="337">
        <f>30+4+9</f>
        <v>43</v>
      </c>
      <c r="E5" s="331"/>
      <c r="F5" s="957" t="s">
        <v>158</v>
      </c>
      <c r="G5" s="932"/>
      <c r="H5" s="331"/>
      <c r="I5" s="966" t="s">
        <v>1555</v>
      </c>
      <c r="J5" s="964"/>
      <c r="K5" s="969">
        <f>L79+L107+L171+L267+L281+L300+L330+L345+L362+L371+L382+L389+L400+L413+L423+L447+L473</f>
        <v>210978.90800000002</v>
      </c>
      <c r="L5" s="964"/>
      <c r="M5" s="331"/>
    </row>
    <row r="6" spans="1:13" ht="13.8">
      <c r="A6" s="957" t="s">
        <v>160</v>
      </c>
      <c r="B6" s="931"/>
      <c r="C6" s="932"/>
      <c r="D6" s="339">
        <f>C79+C107+C171+C267+C281+C300+C330+C345+C362+C371+C382+C389+C400+C413+C423+C447+C473</f>
        <v>360</v>
      </c>
      <c r="E6" s="340"/>
      <c r="F6" s="957" t="s">
        <v>161</v>
      </c>
      <c r="G6" s="932"/>
      <c r="H6" s="331"/>
      <c r="I6" s="967"/>
      <c r="J6" s="968"/>
      <c r="K6" s="967"/>
      <c r="L6" s="968"/>
      <c r="M6" s="331"/>
    </row>
    <row r="7" spans="1:13" ht="15.6">
      <c r="A7" s="960" t="s">
        <v>162</v>
      </c>
      <c r="B7" s="931"/>
      <c r="C7" s="932"/>
      <c r="D7" s="341">
        <f>D3-(D4+D5+D6)</f>
        <v>601</v>
      </c>
      <c r="E7" s="340"/>
      <c r="F7" s="957" t="s">
        <v>163</v>
      </c>
      <c r="G7" s="932"/>
      <c r="H7" s="331"/>
      <c r="I7" s="342"/>
      <c r="J7" s="342"/>
      <c r="K7" s="342"/>
      <c r="L7" s="342"/>
      <c r="M7" s="331"/>
    </row>
    <row r="8" spans="1:13" ht="13.8">
      <c r="A8" s="331"/>
      <c r="B8" s="331"/>
      <c r="C8" s="331"/>
      <c r="D8" s="331"/>
      <c r="E8" s="340"/>
      <c r="F8" s="957" t="s">
        <v>164</v>
      </c>
      <c r="G8" s="932"/>
      <c r="H8" s="331"/>
      <c r="I8" s="342"/>
      <c r="J8" s="342"/>
      <c r="K8" s="342"/>
      <c r="L8" s="342"/>
      <c r="M8" s="331"/>
    </row>
    <row r="9" spans="1:13" ht="13.8">
      <c r="A9" s="331"/>
      <c r="B9" s="343"/>
      <c r="C9" s="343"/>
      <c r="D9" s="344"/>
      <c r="E9" s="344"/>
      <c r="F9" s="331"/>
      <c r="G9" s="345"/>
      <c r="H9" s="331"/>
      <c r="I9" s="331"/>
      <c r="J9" s="331"/>
      <c r="K9" s="331"/>
      <c r="L9" s="331"/>
      <c r="M9" s="331"/>
    </row>
    <row r="10" spans="1:13" ht="13.2">
      <c r="A10" s="346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</row>
    <row r="11" spans="1:13" ht="13.2">
      <c r="A11" s="962" t="s">
        <v>31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2"/>
    </row>
    <row r="12" spans="1:13" ht="13.2">
      <c r="A12" s="949" t="s">
        <v>160</v>
      </c>
      <c r="B12" s="931"/>
      <c r="C12" s="931"/>
      <c r="D12" s="931"/>
      <c r="E12" s="931"/>
      <c r="F12" s="931"/>
      <c r="G12" s="931"/>
      <c r="H12" s="931"/>
      <c r="I12" s="931"/>
      <c r="J12" s="931"/>
      <c r="K12" s="931"/>
      <c r="L12" s="931"/>
      <c r="M12" s="932"/>
    </row>
    <row r="13" spans="1:13" ht="22.5" customHeight="1">
      <c r="A13" s="347" t="s">
        <v>165</v>
      </c>
      <c r="B13" s="348" t="s">
        <v>166</v>
      </c>
      <c r="C13" s="348" t="s">
        <v>1556</v>
      </c>
      <c r="D13" s="334" t="s">
        <v>168</v>
      </c>
      <c r="E13" s="334" t="s">
        <v>169</v>
      </c>
      <c r="F13" s="348" t="s">
        <v>1557</v>
      </c>
      <c r="G13" s="348" t="s">
        <v>1558</v>
      </c>
      <c r="H13" s="348" t="s">
        <v>1559</v>
      </c>
      <c r="I13" s="348" t="s">
        <v>1560</v>
      </c>
      <c r="J13" s="349" t="s">
        <v>1561</v>
      </c>
      <c r="K13" s="334" t="s">
        <v>1562</v>
      </c>
      <c r="L13" s="350" t="s">
        <v>1563</v>
      </c>
      <c r="M13" s="351" t="s">
        <v>177</v>
      </c>
    </row>
    <row r="14" spans="1:13" ht="22.5" customHeight="1">
      <c r="A14" s="333">
        <v>1</v>
      </c>
      <c r="B14" s="352" t="s">
        <v>1386</v>
      </c>
      <c r="C14" s="353" t="s">
        <v>1564</v>
      </c>
      <c r="D14" s="354" t="s">
        <v>112</v>
      </c>
      <c r="E14" s="355">
        <v>5</v>
      </c>
      <c r="F14" s="356">
        <v>720</v>
      </c>
      <c r="G14" s="356">
        <f t="shared" ref="G14:G23" si="0">F14*E14</f>
        <v>3600</v>
      </c>
      <c r="H14" s="356">
        <v>1800</v>
      </c>
      <c r="I14" s="357">
        <v>0.2</v>
      </c>
      <c r="J14" s="358">
        <f t="shared" ref="J14:J63" si="1">H14*(1-I14)</f>
        <v>1440</v>
      </c>
      <c r="K14" s="359">
        <v>700</v>
      </c>
      <c r="L14" s="356">
        <v>559.99999999999977</v>
      </c>
      <c r="M14" s="360" t="s">
        <v>1565</v>
      </c>
    </row>
    <row r="15" spans="1:13" ht="22.5" customHeight="1">
      <c r="A15" s="333">
        <v>2</v>
      </c>
      <c r="B15" s="361" t="s">
        <v>1566</v>
      </c>
      <c r="C15" s="362" t="s">
        <v>1567</v>
      </c>
      <c r="D15" s="362" t="s">
        <v>113</v>
      </c>
      <c r="E15" s="363">
        <v>5</v>
      </c>
      <c r="F15" s="364">
        <v>720</v>
      </c>
      <c r="G15" s="364">
        <f t="shared" si="0"/>
        <v>3600</v>
      </c>
      <c r="H15" s="364">
        <v>1800</v>
      </c>
      <c r="I15" s="357">
        <v>0.2</v>
      </c>
      <c r="J15" s="358">
        <f t="shared" si="1"/>
        <v>1440</v>
      </c>
      <c r="K15" s="365">
        <v>500</v>
      </c>
      <c r="L15" s="364">
        <v>759.99999999999977</v>
      </c>
      <c r="M15" s="360" t="s">
        <v>1565</v>
      </c>
    </row>
    <row r="16" spans="1:13" ht="22.5" customHeight="1">
      <c r="A16" s="333">
        <v>3</v>
      </c>
      <c r="B16" s="361" t="s">
        <v>1568</v>
      </c>
      <c r="C16" s="362" t="s">
        <v>1569</v>
      </c>
      <c r="D16" s="366" t="s">
        <v>112</v>
      </c>
      <c r="E16" s="363">
        <v>5</v>
      </c>
      <c r="F16" s="364">
        <v>720</v>
      </c>
      <c r="G16" s="364">
        <f t="shared" si="0"/>
        <v>3600</v>
      </c>
      <c r="H16" s="364">
        <v>1800</v>
      </c>
      <c r="I16" s="357">
        <v>0.2</v>
      </c>
      <c r="J16" s="358">
        <f t="shared" si="1"/>
        <v>1440</v>
      </c>
      <c r="K16" s="365">
        <v>700</v>
      </c>
      <c r="L16" s="364">
        <v>559.99999999999977</v>
      </c>
      <c r="M16" s="360" t="s">
        <v>1565</v>
      </c>
    </row>
    <row r="17" spans="1:13" ht="22.5" customHeight="1">
      <c r="A17" s="333">
        <v>4</v>
      </c>
      <c r="B17" s="361" t="s">
        <v>1570</v>
      </c>
      <c r="C17" s="362" t="s">
        <v>1571</v>
      </c>
      <c r="D17" s="362" t="s">
        <v>113</v>
      </c>
      <c r="E17" s="363">
        <v>5</v>
      </c>
      <c r="F17" s="364">
        <v>720</v>
      </c>
      <c r="G17" s="364">
        <f t="shared" si="0"/>
        <v>3600</v>
      </c>
      <c r="H17" s="364">
        <v>1800</v>
      </c>
      <c r="I17" s="357">
        <v>0.2</v>
      </c>
      <c r="J17" s="358">
        <f t="shared" si="1"/>
        <v>1440</v>
      </c>
      <c r="K17" s="365">
        <v>500</v>
      </c>
      <c r="L17" s="364">
        <v>759.99999999999977</v>
      </c>
      <c r="M17" s="360" t="s">
        <v>1565</v>
      </c>
    </row>
    <row r="18" spans="1:13" ht="22.5" customHeight="1">
      <c r="A18" s="333">
        <v>5</v>
      </c>
      <c r="B18" s="361" t="s">
        <v>1572</v>
      </c>
      <c r="C18" s="367" t="s">
        <v>1573</v>
      </c>
      <c r="D18" s="366" t="s">
        <v>112</v>
      </c>
      <c r="E18" s="363">
        <v>5</v>
      </c>
      <c r="F18" s="364">
        <v>720</v>
      </c>
      <c r="G18" s="364">
        <f t="shared" si="0"/>
        <v>3600</v>
      </c>
      <c r="H18" s="364">
        <v>1800</v>
      </c>
      <c r="I18" s="357">
        <v>0.2</v>
      </c>
      <c r="J18" s="358">
        <f t="shared" si="1"/>
        <v>1440</v>
      </c>
      <c r="K18" s="365">
        <v>700</v>
      </c>
      <c r="L18" s="364">
        <v>559.99999999999977</v>
      </c>
      <c r="M18" s="360" t="s">
        <v>1565</v>
      </c>
    </row>
    <row r="19" spans="1:13" ht="22.5" customHeight="1">
      <c r="A19" s="333">
        <v>6</v>
      </c>
      <c r="B19" s="361" t="s">
        <v>1574</v>
      </c>
      <c r="C19" s="367" t="s">
        <v>1575</v>
      </c>
      <c r="D19" s="362" t="s">
        <v>113</v>
      </c>
      <c r="E19" s="363">
        <v>5</v>
      </c>
      <c r="F19" s="364">
        <v>720</v>
      </c>
      <c r="G19" s="364">
        <f t="shared" si="0"/>
        <v>3600</v>
      </c>
      <c r="H19" s="364">
        <v>1800</v>
      </c>
      <c r="I19" s="357">
        <v>0.2</v>
      </c>
      <c r="J19" s="358">
        <f t="shared" si="1"/>
        <v>1440</v>
      </c>
      <c r="K19" s="365">
        <v>500</v>
      </c>
      <c r="L19" s="364">
        <v>759.99999999999977</v>
      </c>
      <c r="M19" s="360" t="s">
        <v>1565</v>
      </c>
    </row>
    <row r="20" spans="1:13" ht="22.5" customHeight="1">
      <c r="A20" s="333">
        <v>7</v>
      </c>
      <c r="B20" s="361" t="s">
        <v>1576</v>
      </c>
      <c r="C20" s="367" t="s">
        <v>1577</v>
      </c>
      <c r="D20" s="366" t="s">
        <v>112</v>
      </c>
      <c r="E20" s="363">
        <v>5</v>
      </c>
      <c r="F20" s="364">
        <v>720</v>
      </c>
      <c r="G20" s="364">
        <f t="shared" si="0"/>
        <v>3600</v>
      </c>
      <c r="H20" s="364">
        <v>1800</v>
      </c>
      <c r="I20" s="357">
        <v>0.2</v>
      </c>
      <c r="J20" s="358">
        <f t="shared" si="1"/>
        <v>1440</v>
      </c>
      <c r="K20" s="365">
        <v>700</v>
      </c>
      <c r="L20" s="364">
        <v>559.99999999999977</v>
      </c>
      <c r="M20" s="360" t="s">
        <v>1565</v>
      </c>
    </row>
    <row r="21" spans="1:13" ht="22.5" customHeight="1">
      <c r="A21" s="333">
        <v>8</v>
      </c>
      <c r="B21" s="361" t="s">
        <v>1578</v>
      </c>
      <c r="C21" s="367" t="s">
        <v>1579</v>
      </c>
      <c r="D21" s="362" t="s">
        <v>113</v>
      </c>
      <c r="E21" s="363">
        <v>2.7</v>
      </c>
      <c r="F21" s="364">
        <v>720</v>
      </c>
      <c r="G21" s="364">
        <f t="shared" si="0"/>
        <v>1944.0000000000002</v>
      </c>
      <c r="H21" s="364">
        <v>972.00000000000011</v>
      </c>
      <c r="I21" s="357">
        <v>0.2</v>
      </c>
      <c r="J21" s="358">
        <f t="shared" si="1"/>
        <v>777.60000000000014</v>
      </c>
      <c r="K21" s="365">
        <v>270</v>
      </c>
      <c r="L21" s="364">
        <v>410.4</v>
      </c>
      <c r="M21" s="360" t="s">
        <v>1565</v>
      </c>
    </row>
    <row r="22" spans="1:13" ht="22.5" customHeight="1">
      <c r="A22" s="333">
        <v>9</v>
      </c>
      <c r="B22" s="361" t="s">
        <v>1580</v>
      </c>
      <c r="C22" s="367" t="s">
        <v>1581</v>
      </c>
      <c r="D22" s="366" t="s">
        <v>112</v>
      </c>
      <c r="E22" s="363">
        <v>5</v>
      </c>
      <c r="F22" s="364">
        <v>720</v>
      </c>
      <c r="G22" s="364">
        <f t="shared" si="0"/>
        <v>3600</v>
      </c>
      <c r="H22" s="364">
        <v>1800</v>
      </c>
      <c r="I22" s="357">
        <v>0.2</v>
      </c>
      <c r="J22" s="358">
        <f t="shared" si="1"/>
        <v>1440</v>
      </c>
      <c r="K22" s="365">
        <v>700</v>
      </c>
      <c r="L22" s="364">
        <v>559.99999999999977</v>
      </c>
      <c r="M22" s="360" t="s">
        <v>1565</v>
      </c>
    </row>
    <row r="23" spans="1:13" ht="22.5" customHeight="1">
      <c r="A23" s="333">
        <v>10</v>
      </c>
      <c r="B23" s="361" t="s">
        <v>1582</v>
      </c>
      <c r="C23" s="367" t="s">
        <v>1583</v>
      </c>
      <c r="D23" s="362" t="s">
        <v>113</v>
      </c>
      <c r="E23" s="363">
        <v>2.7</v>
      </c>
      <c r="F23" s="364">
        <v>720</v>
      </c>
      <c r="G23" s="364">
        <f t="shared" si="0"/>
        <v>1944.0000000000002</v>
      </c>
      <c r="H23" s="364">
        <v>972.00000000000011</v>
      </c>
      <c r="I23" s="357">
        <v>0.2</v>
      </c>
      <c r="J23" s="358">
        <f t="shared" si="1"/>
        <v>777.60000000000014</v>
      </c>
      <c r="K23" s="365">
        <v>270</v>
      </c>
      <c r="L23" s="364">
        <v>410.4</v>
      </c>
      <c r="M23" s="360" t="s">
        <v>1565</v>
      </c>
    </row>
    <row r="24" spans="1:13" ht="22.5" customHeight="1">
      <c r="A24" s="333">
        <v>11</v>
      </c>
      <c r="B24" s="361" t="s">
        <v>1584</v>
      </c>
      <c r="C24" s="368" t="s">
        <v>1585</v>
      </c>
      <c r="D24" s="362" t="s">
        <v>112</v>
      </c>
      <c r="E24" s="363">
        <v>5</v>
      </c>
      <c r="F24" s="364">
        <v>720</v>
      </c>
      <c r="G24" s="364">
        <v>3600</v>
      </c>
      <c r="H24" s="364">
        <v>1800</v>
      </c>
      <c r="I24" s="357">
        <v>0.2</v>
      </c>
      <c r="J24" s="358">
        <f t="shared" si="1"/>
        <v>1440</v>
      </c>
      <c r="K24" s="369">
        <v>700</v>
      </c>
      <c r="L24" s="356">
        <v>560</v>
      </c>
      <c r="M24" s="360" t="s">
        <v>1565</v>
      </c>
    </row>
    <row r="25" spans="1:13" ht="22.5" customHeight="1">
      <c r="A25" s="333">
        <v>12</v>
      </c>
      <c r="B25" s="361" t="s">
        <v>1586</v>
      </c>
      <c r="C25" s="368" t="s">
        <v>1587</v>
      </c>
      <c r="D25" s="362" t="s">
        <v>113</v>
      </c>
      <c r="E25" s="363">
        <v>2.7</v>
      </c>
      <c r="F25" s="364">
        <v>720</v>
      </c>
      <c r="G25" s="364">
        <v>1944.0000000000002</v>
      </c>
      <c r="H25" s="364">
        <v>972.00000000000011</v>
      </c>
      <c r="I25" s="357">
        <v>0.2</v>
      </c>
      <c r="J25" s="358">
        <f t="shared" si="1"/>
        <v>777.60000000000014</v>
      </c>
      <c r="K25" s="369">
        <v>270</v>
      </c>
      <c r="L25" s="356">
        <v>410.40000000000009</v>
      </c>
      <c r="M25" s="360" t="s">
        <v>1565</v>
      </c>
    </row>
    <row r="26" spans="1:13" ht="22.5" customHeight="1">
      <c r="A26" s="333">
        <v>13</v>
      </c>
      <c r="B26" s="361" t="s">
        <v>1588</v>
      </c>
      <c r="C26" s="367" t="s">
        <v>1589</v>
      </c>
      <c r="D26" s="362" t="s">
        <v>112</v>
      </c>
      <c r="E26" s="363">
        <v>5</v>
      </c>
      <c r="F26" s="370">
        <v>720</v>
      </c>
      <c r="G26" s="370">
        <v>3600</v>
      </c>
      <c r="H26" s="370">
        <v>1800</v>
      </c>
      <c r="I26" s="357">
        <v>0.2</v>
      </c>
      <c r="J26" s="358">
        <f t="shared" si="1"/>
        <v>1440</v>
      </c>
      <c r="K26" s="365">
        <v>700</v>
      </c>
      <c r="L26" s="364">
        <v>560</v>
      </c>
      <c r="M26" s="360" t="s">
        <v>1565</v>
      </c>
    </row>
    <row r="27" spans="1:13" ht="22.5" customHeight="1">
      <c r="A27" s="333">
        <v>14</v>
      </c>
      <c r="B27" s="361" t="s">
        <v>1590</v>
      </c>
      <c r="C27" s="367" t="s">
        <v>1591</v>
      </c>
      <c r="D27" s="362" t="s">
        <v>113</v>
      </c>
      <c r="E27" s="363">
        <v>5</v>
      </c>
      <c r="F27" s="370">
        <v>720</v>
      </c>
      <c r="G27" s="370">
        <v>3600</v>
      </c>
      <c r="H27" s="370">
        <v>1800</v>
      </c>
      <c r="I27" s="357">
        <v>0.2</v>
      </c>
      <c r="J27" s="358">
        <f t="shared" si="1"/>
        <v>1440</v>
      </c>
      <c r="K27" s="365">
        <v>500</v>
      </c>
      <c r="L27" s="364">
        <v>760</v>
      </c>
      <c r="M27" s="360" t="s">
        <v>1565</v>
      </c>
    </row>
    <row r="28" spans="1:13" ht="22.5" customHeight="1">
      <c r="A28" s="333">
        <v>15</v>
      </c>
      <c r="B28" s="361" t="s">
        <v>1592</v>
      </c>
      <c r="C28" s="367" t="s">
        <v>1593</v>
      </c>
      <c r="D28" s="362" t="s">
        <v>112</v>
      </c>
      <c r="E28" s="363">
        <v>5</v>
      </c>
      <c r="F28" s="364">
        <v>720</v>
      </c>
      <c r="G28" s="364">
        <v>3600</v>
      </c>
      <c r="H28" s="364">
        <v>1800</v>
      </c>
      <c r="I28" s="357">
        <v>0.2</v>
      </c>
      <c r="J28" s="358">
        <f t="shared" si="1"/>
        <v>1440</v>
      </c>
      <c r="K28" s="365">
        <v>700</v>
      </c>
      <c r="L28" s="364">
        <v>560</v>
      </c>
      <c r="M28" s="360" t="s">
        <v>1565</v>
      </c>
    </row>
    <row r="29" spans="1:13" ht="22.5" customHeight="1">
      <c r="A29" s="333">
        <v>16</v>
      </c>
      <c r="B29" s="361" t="s">
        <v>1594</v>
      </c>
      <c r="C29" s="367" t="s">
        <v>1595</v>
      </c>
      <c r="D29" s="362" t="s">
        <v>114</v>
      </c>
      <c r="E29" s="363">
        <v>5</v>
      </c>
      <c r="F29" s="364">
        <v>720</v>
      </c>
      <c r="G29" s="364">
        <v>3600</v>
      </c>
      <c r="H29" s="364">
        <v>1800</v>
      </c>
      <c r="I29" s="357">
        <v>0.2</v>
      </c>
      <c r="J29" s="358">
        <f t="shared" si="1"/>
        <v>1440</v>
      </c>
      <c r="K29" s="365">
        <v>700</v>
      </c>
      <c r="L29" s="364">
        <v>560</v>
      </c>
      <c r="M29" s="360" t="s">
        <v>1565</v>
      </c>
    </row>
    <row r="30" spans="1:13" ht="22.5" customHeight="1">
      <c r="A30" s="333">
        <v>17</v>
      </c>
      <c r="B30" s="361" t="s">
        <v>1596</v>
      </c>
      <c r="C30" s="367" t="s">
        <v>1597</v>
      </c>
      <c r="D30" s="366" t="s">
        <v>112</v>
      </c>
      <c r="E30" s="363">
        <v>5</v>
      </c>
      <c r="F30" s="364">
        <v>720</v>
      </c>
      <c r="G30" s="364">
        <v>3600</v>
      </c>
      <c r="H30" s="364">
        <v>1800</v>
      </c>
      <c r="I30" s="357">
        <v>0.2</v>
      </c>
      <c r="J30" s="358">
        <f t="shared" si="1"/>
        <v>1440</v>
      </c>
      <c r="K30" s="365">
        <v>587.5</v>
      </c>
      <c r="L30" s="364">
        <v>672.5</v>
      </c>
      <c r="M30" s="360" t="s">
        <v>1565</v>
      </c>
    </row>
    <row r="31" spans="1:13" ht="22.5" customHeight="1">
      <c r="A31" s="333">
        <v>18</v>
      </c>
      <c r="B31" s="361" t="s">
        <v>1598</v>
      </c>
      <c r="C31" s="367" t="s">
        <v>1599</v>
      </c>
      <c r="D31" s="362" t="s">
        <v>113</v>
      </c>
      <c r="E31" s="363">
        <v>5</v>
      </c>
      <c r="F31" s="364">
        <v>720</v>
      </c>
      <c r="G31" s="364">
        <v>3600</v>
      </c>
      <c r="H31" s="364">
        <v>1800</v>
      </c>
      <c r="I31" s="357">
        <v>0.2</v>
      </c>
      <c r="J31" s="358">
        <f t="shared" si="1"/>
        <v>1440</v>
      </c>
      <c r="K31" s="365">
        <v>487.5</v>
      </c>
      <c r="L31" s="364">
        <v>772.5</v>
      </c>
      <c r="M31" s="360" t="s">
        <v>1565</v>
      </c>
    </row>
    <row r="32" spans="1:13" ht="22.5" customHeight="1">
      <c r="A32" s="333">
        <v>19</v>
      </c>
      <c r="B32" s="361" t="s">
        <v>1600</v>
      </c>
      <c r="C32" s="367" t="s">
        <v>1601</v>
      </c>
      <c r="D32" s="366" t="s">
        <v>112</v>
      </c>
      <c r="E32" s="363">
        <v>5</v>
      </c>
      <c r="F32" s="364">
        <v>720</v>
      </c>
      <c r="G32" s="364">
        <v>3600</v>
      </c>
      <c r="H32" s="364">
        <v>1800</v>
      </c>
      <c r="I32" s="357">
        <v>0.2</v>
      </c>
      <c r="J32" s="358">
        <f t="shared" si="1"/>
        <v>1440</v>
      </c>
      <c r="K32" s="365">
        <v>587.5</v>
      </c>
      <c r="L32" s="364">
        <v>672.5</v>
      </c>
      <c r="M32" s="360" t="s">
        <v>1565</v>
      </c>
    </row>
    <row r="33" spans="1:13" ht="22.5" customHeight="1">
      <c r="A33" s="333">
        <v>20</v>
      </c>
      <c r="B33" s="361" t="s">
        <v>1602</v>
      </c>
      <c r="C33" s="367" t="s">
        <v>1603</v>
      </c>
      <c r="D33" s="362" t="s">
        <v>113</v>
      </c>
      <c r="E33" s="363">
        <v>5</v>
      </c>
      <c r="F33" s="364">
        <v>720</v>
      </c>
      <c r="G33" s="364">
        <v>3600</v>
      </c>
      <c r="H33" s="364">
        <v>1800</v>
      </c>
      <c r="I33" s="357">
        <v>0.2</v>
      </c>
      <c r="J33" s="358">
        <f t="shared" si="1"/>
        <v>1440</v>
      </c>
      <c r="K33" s="365">
        <v>487.5</v>
      </c>
      <c r="L33" s="364">
        <v>772.5</v>
      </c>
      <c r="M33" s="360" t="s">
        <v>1565</v>
      </c>
    </row>
    <row r="34" spans="1:13" ht="22.5" customHeight="1">
      <c r="A34" s="333">
        <v>21</v>
      </c>
      <c r="B34" s="361" t="s">
        <v>1604</v>
      </c>
      <c r="C34" s="367" t="s">
        <v>1605</v>
      </c>
      <c r="D34" s="366" t="s">
        <v>112</v>
      </c>
      <c r="E34" s="363">
        <v>5</v>
      </c>
      <c r="F34" s="364">
        <v>720</v>
      </c>
      <c r="G34" s="364">
        <v>3600</v>
      </c>
      <c r="H34" s="364">
        <v>1800</v>
      </c>
      <c r="I34" s="357">
        <v>0.2</v>
      </c>
      <c r="J34" s="358">
        <f t="shared" si="1"/>
        <v>1440</v>
      </c>
      <c r="K34" s="365">
        <v>587.5</v>
      </c>
      <c r="L34" s="364">
        <v>672.5</v>
      </c>
      <c r="M34" s="360" t="s">
        <v>1565</v>
      </c>
    </row>
    <row r="35" spans="1:13" ht="22.5" customHeight="1">
      <c r="A35" s="333">
        <v>22</v>
      </c>
      <c r="B35" s="361" t="s">
        <v>1606</v>
      </c>
      <c r="C35" s="367" t="s">
        <v>1607</v>
      </c>
      <c r="D35" s="366" t="s">
        <v>112</v>
      </c>
      <c r="E35" s="363">
        <v>5</v>
      </c>
      <c r="F35" s="364">
        <v>720</v>
      </c>
      <c r="G35" s="364">
        <v>3600</v>
      </c>
      <c r="H35" s="364">
        <v>1800</v>
      </c>
      <c r="I35" s="357">
        <v>0.2</v>
      </c>
      <c r="J35" s="358">
        <f t="shared" si="1"/>
        <v>1440</v>
      </c>
      <c r="K35" s="365">
        <v>587.5</v>
      </c>
      <c r="L35" s="364">
        <v>852.5</v>
      </c>
      <c r="M35" s="360" t="s">
        <v>1565</v>
      </c>
    </row>
    <row r="36" spans="1:13" ht="22.5" customHeight="1">
      <c r="A36" s="333">
        <v>23</v>
      </c>
      <c r="B36" s="361" t="s">
        <v>1608</v>
      </c>
      <c r="C36" s="367" t="s">
        <v>1609</v>
      </c>
      <c r="D36" s="366" t="s">
        <v>112</v>
      </c>
      <c r="E36" s="363">
        <v>5</v>
      </c>
      <c r="F36" s="364">
        <v>720</v>
      </c>
      <c r="G36" s="364">
        <v>3600</v>
      </c>
      <c r="H36" s="364">
        <v>1800</v>
      </c>
      <c r="I36" s="357">
        <v>0.2</v>
      </c>
      <c r="J36" s="358">
        <f t="shared" si="1"/>
        <v>1440</v>
      </c>
      <c r="K36" s="365">
        <v>725</v>
      </c>
      <c r="L36" s="364">
        <v>715</v>
      </c>
      <c r="M36" s="360" t="s">
        <v>1565</v>
      </c>
    </row>
    <row r="37" spans="1:13" ht="22.5" customHeight="1">
      <c r="A37" s="333">
        <v>24</v>
      </c>
      <c r="B37" s="361" t="s">
        <v>1610</v>
      </c>
      <c r="C37" s="367" t="s">
        <v>1611</v>
      </c>
      <c r="D37" s="362" t="s">
        <v>113</v>
      </c>
      <c r="E37" s="363">
        <v>2.7</v>
      </c>
      <c r="F37" s="364">
        <v>720</v>
      </c>
      <c r="G37" s="364">
        <v>1944.0000000000002</v>
      </c>
      <c r="H37" s="364">
        <v>972.00000000000011</v>
      </c>
      <c r="I37" s="357">
        <v>0.2</v>
      </c>
      <c r="J37" s="358">
        <f t="shared" si="1"/>
        <v>777.60000000000014</v>
      </c>
      <c r="K37" s="365">
        <v>337.5</v>
      </c>
      <c r="L37" s="364">
        <v>440.10000000000014</v>
      </c>
      <c r="M37" s="360" t="s">
        <v>1565</v>
      </c>
    </row>
    <row r="38" spans="1:13" ht="22.5" customHeight="1">
      <c r="A38" s="333">
        <v>25</v>
      </c>
      <c r="B38" s="361" t="s">
        <v>1612</v>
      </c>
      <c r="C38" s="367" t="s">
        <v>1613</v>
      </c>
      <c r="D38" s="366" t="s">
        <v>112</v>
      </c>
      <c r="E38" s="363">
        <v>5</v>
      </c>
      <c r="F38" s="364">
        <v>720</v>
      </c>
      <c r="G38" s="364">
        <v>3600</v>
      </c>
      <c r="H38" s="364">
        <v>1800</v>
      </c>
      <c r="I38" s="357">
        <v>0.2</v>
      </c>
      <c r="J38" s="358">
        <f t="shared" si="1"/>
        <v>1440</v>
      </c>
      <c r="K38" s="365">
        <v>725</v>
      </c>
      <c r="L38" s="364">
        <v>715</v>
      </c>
      <c r="M38" s="360" t="s">
        <v>1565</v>
      </c>
    </row>
    <row r="39" spans="1:13" ht="22.5" customHeight="1">
      <c r="A39" s="333">
        <v>26</v>
      </c>
      <c r="B39" s="361" t="s">
        <v>1614</v>
      </c>
      <c r="C39" s="367" t="s">
        <v>1615</v>
      </c>
      <c r="D39" s="362" t="s">
        <v>113</v>
      </c>
      <c r="E39" s="363">
        <v>2.7</v>
      </c>
      <c r="F39" s="364">
        <v>720</v>
      </c>
      <c r="G39" s="364">
        <v>1944.0000000000002</v>
      </c>
      <c r="H39" s="364">
        <v>972.00000000000011</v>
      </c>
      <c r="I39" s="357">
        <v>0.2</v>
      </c>
      <c r="J39" s="358">
        <f t="shared" si="1"/>
        <v>777.60000000000014</v>
      </c>
      <c r="K39" s="365">
        <v>337.5</v>
      </c>
      <c r="L39" s="364">
        <v>440.10000000000014</v>
      </c>
      <c r="M39" s="360" t="s">
        <v>1565</v>
      </c>
    </row>
    <row r="40" spans="1:13" ht="22.5" customHeight="1">
      <c r="A40" s="333">
        <v>27</v>
      </c>
      <c r="B40" s="361" t="s">
        <v>1616</v>
      </c>
      <c r="C40" s="367" t="s">
        <v>1617</v>
      </c>
      <c r="D40" s="366" t="s">
        <v>112</v>
      </c>
      <c r="E40" s="363">
        <v>5</v>
      </c>
      <c r="F40" s="364">
        <v>720</v>
      </c>
      <c r="G40" s="364">
        <v>3600</v>
      </c>
      <c r="H40" s="364">
        <v>1800</v>
      </c>
      <c r="I40" s="357">
        <v>0.2</v>
      </c>
      <c r="J40" s="358">
        <f t="shared" si="1"/>
        <v>1440</v>
      </c>
      <c r="K40" s="365">
        <v>725</v>
      </c>
      <c r="L40" s="364">
        <v>715</v>
      </c>
      <c r="M40" s="360" t="s">
        <v>1565</v>
      </c>
    </row>
    <row r="41" spans="1:13" ht="22.5" customHeight="1">
      <c r="A41" s="333">
        <v>28</v>
      </c>
      <c r="B41" s="361" t="s">
        <v>1618</v>
      </c>
      <c r="C41" s="367" t="s">
        <v>1619</v>
      </c>
      <c r="D41" s="362" t="s">
        <v>113</v>
      </c>
      <c r="E41" s="363">
        <v>2.7</v>
      </c>
      <c r="F41" s="364">
        <v>720</v>
      </c>
      <c r="G41" s="364">
        <v>1944.0000000000002</v>
      </c>
      <c r="H41" s="364">
        <v>972.00000000000011</v>
      </c>
      <c r="I41" s="357">
        <v>0.2</v>
      </c>
      <c r="J41" s="358">
        <f t="shared" si="1"/>
        <v>777.60000000000014</v>
      </c>
      <c r="K41" s="365">
        <v>337.5</v>
      </c>
      <c r="L41" s="364">
        <v>440.10000000000014</v>
      </c>
      <c r="M41" s="360" t="s">
        <v>1565</v>
      </c>
    </row>
    <row r="42" spans="1:13" ht="22.5" customHeight="1">
      <c r="A42" s="333">
        <v>29</v>
      </c>
      <c r="B42" s="361" t="s">
        <v>1620</v>
      </c>
      <c r="C42" s="367" t="s">
        <v>1621</v>
      </c>
      <c r="D42" s="362" t="s">
        <v>115</v>
      </c>
      <c r="E42" s="363">
        <v>5.5</v>
      </c>
      <c r="F42" s="364">
        <v>800</v>
      </c>
      <c r="G42" s="364">
        <v>4400</v>
      </c>
      <c r="H42" s="364">
        <v>2200</v>
      </c>
      <c r="I42" s="357">
        <v>0.2</v>
      </c>
      <c r="J42" s="358">
        <f t="shared" si="1"/>
        <v>1760</v>
      </c>
      <c r="K42" s="365">
        <v>632.5</v>
      </c>
      <c r="L42" s="364">
        <v>1127.5</v>
      </c>
      <c r="M42" s="360" t="s">
        <v>1565</v>
      </c>
    </row>
    <row r="43" spans="1:13" ht="22.5" customHeight="1">
      <c r="A43" s="333">
        <v>30</v>
      </c>
      <c r="B43" s="361" t="s">
        <v>1622</v>
      </c>
      <c r="C43" s="367" t="s">
        <v>1623</v>
      </c>
      <c r="D43" s="362" t="s">
        <v>114</v>
      </c>
      <c r="E43" s="363">
        <v>6</v>
      </c>
      <c r="F43" s="364">
        <v>720</v>
      </c>
      <c r="G43" s="364">
        <v>4320</v>
      </c>
      <c r="H43" s="364">
        <v>2160</v>
      </c>
      <c r="I43" s="357">
        <v>0.2</v>
      </c>
      <c r="J43" s="358">
        <f t="shared" si="1"/>
        <v>1728</v>
      </c>
      <c r="K43" s="365">
        <v>570</v>
      </c>
      <c r="L43" s="364">
        <v>1158</v>
      </c>
      <c r="M43" s="360" t="s">
        <v>1565</v>
      </c>
    </row>
    <row r="44" spans="1:13" ht="22.5" customHeight="1">
      <c r="A44" s="333">
        <v>31</v>
      </c>
      <c r="B44" s="361" t="s">
        <v>1624</v>
      </c>
      <c r="C44" s="367" t="s">
        <v>1625</v>
      </c>
      <c r="D44" s="366" t="s">
        <v>112</v>
      </c>
      <c r="E44" s="363">
        <v>5</v>
      </c>
      <c r="F44" s="364">
        <v>720</v>
      </c>
      <c r="G44" s="364">
        <v>3600</v>
      </c>
      <c r="H44" s="364">
        <v>1800</v>
      </c>
      <c r="I44" s="357">
        <v>0.2</v>
      </c>
      <c r="J44" s="358">
        <f t="shared" si="1"/>
        <v>1440</v>
      </c>
      <c r="K44" s="365">
        <v>575</v>
      </c>
      <c r="L44" s="364">
        <v>865</v>
      </c>
      <c r="M44" s="360" t="s">
        <v>1565</v>
      </c>
    </row>
    <row r="45" spans="1:13" ht="22.5" customHeight="1">
      <c r="A45" s="333">
        <v>32</v>
      </c>
      <c r="B45" s="361" t="s">
        <v>1626</v>
      </c>
      <c r="C45" s="367" t="s">
        <v>1627</v>
      </c>
      <c r="D45" s="362" t="s">
        <v>113</v>
      </c>
      <c r="E45" s="363">
        <v>5</v>
      </c>
      <c r="F45" s="364">
        <v>720</v>
      </c>
      <c r="G45" s="364">
        <v>3600</v>
      </c>
      <c r="H45" s="364">
        <v>1800</v>
      </c>
      <c r="I45" s="357">
        <v>0.2</v>
      </c>
      <c r="J45" s="358">
        <f t="shared" si="1"/>
        <v>1440</v>
      </c>
      <c r="K45" s="365">
        <v>475</v>
      </c>
      <c r="L45" s="364">
        <v>965</v>
      </c>
      <c r="M45" s="360" t="s">
        <v>1565</v>
      </c>
    </row>
    <row r="46" spans="1:13" ht="22.5" customHeight="1">
      <c r="A46" s="333">
        <v>33</v>
      </c>
      <c r="B46" s="361" t="s">
        <v>1628</v>
      </c>
      <c r="C46" s="367" t="s">
        <v>1629</v>
      </c>
      <c r="D46" s="366" t="s">
        <v>112</v>
      </c>
      <c r="E46" s="363">
        <v>5</v>
      </c>
      <c r="F46" s="364">
        <v>720</v>
      </c>
      <c r="G46" s="364">
        <v>3600</v>
      </c>
      <c r="H46" s="364">
        <v>1800</v>
      </c>
      <c r="I46" s="357">
        <v>0.2</v>
      </c>
      <c r="J46" s="358">
        <f t="shared" si="1"/>
        <v>1440</v>
      </c>
      <c r="K46" s="365">
        <v>700</v>
      </c>
      <c r="L46" s="364">
        <v>740</v>
      </c>
      <c r="M46" s="360" t="s">
        <v>1565</v>
      </c>
    </row>
    <row r="47" spans="1:13" ht="22.5" customHeight="1">
      <c r="A47" s="333">
        <v>34</v>
      </c>
      <c r="B47" s="361" t="s">
        <v>1630</v>
      </c>
      <c r="C47" s="367" t="s">
        <v>1631</v>
      </c>
      <c r="D47" s="362" t="s">
        <v>113</v>
      </c>
      <c r="E47" s="363">
        <v>5</v>
      </c>
      <c r="F47" s="364">
        <v>720</v>
      </c>
      <c r="G47" s="364">
        <v>3600</v>
      </c>
      <c r="H47" s="364">
        <v>1800</v>
      </c>
      <c r="I47" s="357">
        <v>0.2</v>
      </c>
      <c r="J47" s="358">
        <f t="shared" si="1"/>
        <v>1440</v>
      </c>
      <c r="K47" s="365">
        <v>500</v>
      </c>
      <c r="L47" s="364">
        <v>940</v>
      </c>
      <c r="M47" s="360" t="s">
        <v>1565</v>
      </c>
    </row>
    <row r="48" spans="1:13" ht="22.5" customHeight="1">
      <c r="A48" s="333">
        <v>35</v>
      </c>
      <c r="B48" s="361" t="s">
        <v>1632</v>
      </c>
      <c r="C48" s="367" t="s">
        <v>1633</v>
      </c>
      <c r="D48" s="362" t="s">
        <v>112</v>
      </c>
      <c r="E48" s="363">
        <v>4.5999999999999996</v>
      </c>
      <c r="F48" s="370">
        <v>720</v>
      </c>
      <c r="G48" s="371">
        <v>3311.9999999999995</v>
      </c>
      <c r="H48" s="372">
        <v>1655.9999999999998</v>
      </c>
      <c r="I48" s="357">
        <v>0.2</v>
      </c>
      <c r="J48" s="358">
        <f t="shared" si="1"/>
        <v>1324.8</v>
      </c>
      <c r="K48" s="365">
        <v>644</v>
      </c>
      <c r="L48" s="364">
        <v>680.8</v>
      </c>
      <c r="M48" s="360" t="s">
        <v>1565</v>
      </c>
    </row>
    <row r="49" spans="1:13" ht="22.5" customHeight="1">
      <c r="A49" s="333">
        <v>36</v>
      </c>
      <c r="B49" s="361" t="s">
        <v>1634</v>
      </c>
      <c r="C49" s="367" t="s">
        <v>1635</v>
      </c>
      <c r="D49" s="362" t="s">
        <v>113</v>
      </c>
      <c r="E49" s="363">
        <v>5</v>
      </c>
      <c r="F49" s="370">
        <v>144</v>
      </c>
      <c r="G49" s="370">
        <v>720</v>
      </c>
      <c r="H49" s="370">
        <v>720</v>
      </c>
      <c r="I49" s="373">
        <v>0</v>
      </c>
      <c r="J49" s="358">
        <f t="shared" si="1"/>
        <v>720</v>
      </c>
      <c r="K49" s="365">
        <v>475</v>
      </c>
      <c r="L49" s="364">
        <v>245</v>
      </c>
      <c r="M49" s="360" t="s">
        <v>1636</v>
      </c>
    </row>
    <row r="50" spans="1:13" ht="22.5" customHeight="1">
      <c r="A50" s="333">
        <v>37</v>
      </c>
      <c r="B50" s="361" t="s">
        <v>1637</v>
      </c>
      <c r="C50" s="367" t="s">
        <v>1638</v>
      </c>
      <c r="D50" s="362" t="s">
        <v>113</v>
      </c>
      <c r="E50" s="363">
        <v>5</v>
      </c>
      <c r="F50" s="370">
        <v>144</v>
      </c>
      <c r="G50" s="370">
        <v>720</v>
      </c>
      <c r="H50" s="370">
        <v>720</v>
      </c>
      <c r="I50" s="373">
        <v>0</v>
      </c>
      <c r="J50" s="358">
        <f t="shared" si="1"/>
        <v>720</v>
      </c>
      <c r="K50" s="365">
        <v>475</v>
      </c>
      <c r="L50" s="364">
        <v>245</v>
      </c>
      <c r="M50" s="360" t="s">
        <v>1636</v>
      </c>
    </row>
    <row r="51" spans="1:13" ht="22.5" customHeight="1">
      <c r="A51" s="333">
        <v>38</v>
      </c>
      <c r="B51" s="361" t="s">
        <v>1639</v>
      </c>
      <c r="C51" s="367" t="s">
        <v>1640</v>
      </c>
      <c r="D51" s="362" t="s">
        <v>113</v>
      </c>
      <c r="E51" s="363">
        <v>5</v>
      </c>
      <c r="F51" s="370">
        <v>144</v>
      </c>
      <c r="G51" s="370">
        <v>720</v>
      </c>
      <c r="H51" s="370">
        <v>720</v>
      </c>
      <c r="I51" s="373">
        <v>0</v>
      </c>
      <c r="J51" s="358">
        <f t="shared" si="1"/>
        <v>720</v>
      </c>
      <c r="K51" s="365">
        <v>487.5</v>
      </c>
      <c r="L51" s="364">
        <v>232.5</v>
      </c>
      <c r="M51" s="360" t="s">
        <v>1636</v>
      </c>
    </row>
    <row r="52" spans="1:13" ht="22.5" customHeight="1">
      <c r="A52" s="333">
        <v>39</v>
      </c>
      <c r="B52" s="361" t="s">
        <v>1641</v>
      </c>
      <c r="C52" s="367" t="s">
        <v>1642</v>
      </c>
      <c r="D52" s="366" t="s">
        <v>112</v>
      </c>
      <c r="E52" s="363">
        <v>5</v>
      </c>
      <c r="F52" s="364">
        <v>720</v>
      </c>
      <c r="G52" s="364">
        <v>3600</v>
      </c>
      <c r="H52" s="364">
        <v>1800</v>
      </c>
      <c r="I52" s="373">
        <v>0.2</v>
      </c>
      <c r="J52" s="358">
        <f t="shared" si="1"/>
        <v>1440</v>
      </c>
      <c r="K52" s="365">
        <v>587.5</v>
      </c>
      <c r="L52" s="364">
        <v>852.5</v>
      </c>
      <c r="M52" s="360" t="s">
        <v>1565</v>
      </c>
    </row>
    <row r="53" spans="1:13" ht="22.5" customHeight="1">
      <c r="A53" s="333">
        <v>40</v>
      </c>
      <c r="B53" s="361" t="s">
        <v>1643</v>
      </c>
      <c r="C53" s="367" t="s">
        <v>1644</v>
      </c>
      <c r="D53" s="362" t="s">
        <v>113</v>
      </c>
      <c r="E53" s="363">
        <v>5</v>
      </c>
      <c r="F53" s="370">
        <v>144</v>
      </c>
      <c r="G53" s="370">
        <v>720</v>
      </c>
      <c r="H53" s="370">
        <v>720</v>
      </c>
      <c r="I53" s="373">
        <v>0</v>
      </c>
      <c r="J53" s="358">
        <f t="shared" si="1"/>
        <v>720</v>
      </c>
      <c r="K53" s="365">
        <v>487.5</v>
      </c>
      <c r="L53" s="364">
        <v>232.5</v>
      </c>
      <c r="M53" s="360" t="s">
        <v>1636</v>
      </c>
    </row>
    <row r="54" spans="1:13" ht="22.5" customHeight="1">
      <c r="A54" s="333">
        <v>41</v>
      </c>
      <c r="B54" s="361" t="s">
        <v>1645</v>
      </c>
      <c r="C54" s="367" t="s">
        <v>1646</v>
      </c>
      <c r="D54" s="362" t="s">
        <v>113</v>
      </c>
      <c r="E54" s="363">
        <v>5</v>
      </c>
      <c r="F54" s="370">
        <v>144</v>
      </c>
      <c r="G54" s="370">
        <v>720</v>
      </c>
      <c r="H54" s="370">
        <v>720</v>
      </c>
      <c r="I54" s="373">
        <v>0</v>
      </c>
      <c r="J54" s="358">
        <f t="shared" si="1"/>
        <v>720</v>
      </c>
      <c r="K54" s="365">
        <v>487.5</v>
      </c>
      <c r="L54" s="364">
        <v>232.5</v>
      </c>
      <c r="M54" s="360" t="s">
        <v>1636</v>
      </c>
    </row>
    <row r="55" spans="1:13" ht="22.5" customHeight="1">
      <c r="A55" s="333">
        <v>42</v>
      </c>
      <c r="B55" s="361" t="s">
        <v>1647</v>
      </c>
      <c r="C55" s="367" t="s">
        <v>1648</v>
      </c>
      <c r="D55" s="362" t="s">
        <v>113</v>
      </c>
      <c r="E55" s="363">
        <v>5</v>
      </c>
      <c r="F55" s="370">
        <v>144</v>
      </c>
      <c r="G55" s="370">
        <v>720</v>
      </c>
      <c r="H55" s="370">
        <v>720</v>
      </c>
      <c r="I55" s="373">
        <v>0</v>
      </c>
      <c r="J55" s="358">
        <f t="shared" si="1"/>
        <v>720</v>
      </c>
      <c r="K55" s="365">
        <v>487.5</v>
      </c>
      <c r="L55" s="364">
        <v>232.5</v>
      </c>
      <c r="M55" s="360" t="s">
        <v>1636</v>
      </c>
    </row>
    <row r="56" spans="1:13" ht="22.5" customHeight="1">
      <c r="A56" s="333">
        <v>43</v>
      </c>
      <c r="B56" s="361" t="s">
        <v>1649</v>
      </c>
      <c r="C56" s="367" t="s">
        <v>1650</v>
      </c>
      <c r="D56" s="362" t="s">
        <v>113</v>
      </c>
      <c r="E56" s="363">
        <v>5.5</v>
      </c>
      <c r="F56" s="370">
        <v>144</v>
      </c>
      <c r="G56" s="372">
        <v>792</v>
      </c>
      <c r="H56" s="372">
        <v>792</v>
      </c>
      <c r="I56" s="373">
        <v>0</v>
      </c>
      <c r="J56" s="358">
        <f t="shared" si="1"/>
        <v>792</v>
      </c>
      <c r="K56" s="365">
        <v>605</v>
      </c>
      <c r="L56" s="364">
        <v>187</v>
      </c>
      <c r="M56" s="360" t="s">
        <v>1636</v>
      </c>
    </row>
    <row r="57" spans="1:13" ht="22.5" customHeight="1">
      <c r="A57" s="333">
        <v>44</v>
      </c>
      <c r="B57" s="374" t="s">
        <v>1651</v>
      </c>
      <c r="C57" s="367" t="s">
        <v>1652</v>
      </c>
      <c r="D57" s="362" t="s">
        <v>112</v>
      </c>
      <c r="E57" s="363">
        <v>6.3</v>
      </c>
      <c r="F57" s="371">
        <v>390</v>
      </c>
      <c r="G57" s="370">
        <v>2457</v>
      </c>
      <c r="H57" s="370">
        <v>2457</v>
      </c>
      <c r="I57" s="373">
        <v>0.2</v>
      </c>
      <c r="J57" s="358">
        <f t="shared" si="1"/>
        <v>1965.6000000000001</v>
      </c>
      <c r="K57" s="365">
        <v>882</v>
      </c>
      <c r="L57" s="364">
        <v>1575</v>
      </c>
      <c r="M57" s="360" t="s">
        <v>1653</v>
      </c>
    </row>
    <row r="58" spans="1:13" ht="22.5" customHeight="1">
      <c r="A58" s="333">
        <v>45</v>
      </c>
      <c r="B58" s="374" t="s">
        <v>1654</v>
      </c>
      <c r="C58" s="367" t="s">
        <v>1655</v>
      </c>
      <c r="D58" s="362" t="s">
        <v>113</v>
      </c>
      <c r="E58" s="363">
        <v>5.4</v>
      </c>
      <c r="F58" s="371">
        <v>300</v>
      </c>
      <c r="G58" s="370">
        <v>1620</v>
      </c>
      <c r="H58" s="370">
        <v>1620</v>
      </c>
      <c r="I58" s="373">
        <v>0.2</v>
      </c>
      <c r="J58" s="358">
        <f t="shared" si="1"/>
        <v>1296</v>
      </c>
      <c r="K58" s="365">
        <v>594</v>
      </c>
      <c r="L58" s="364">
        <v>1026</v>
      </c>
      <c r="M58" s="360" t="s">
        <v>1653</v>
      </c>
    </row>
    <row r="59" spans="1:13" ht="22.5" customHeight="1">
      <c r="A59" s="333">
        <v>46</v>
      </c>
      <c r="B59" s="375" t="s">
        <v>1656</v>
      </c>
      <c r="C59" s="368" t="s">
        <v>1657</v>
      </c>
      <c r="D59" s="362" t="s">
        <v>112</v>
      </c>
      <c r="E59" s="363">
        <v>5.4</v>
      </c>
      <c r="F59" s="370">
        <v>720</v>
      </c>
      <c r="G59" s="364">
        <v>3888.0000000000005</v>
      </c>
      <c r="H59" s="364">
        <v>1944.0000000000002</v>
      </c>
      <c r="I59" s="373">
        <v>0.2</v>
      </c>
      <c r="J59" s="358">
        <f t="shared" si="1"/>
        <v>1555.2000000000003</v>
      </c>
      <c r="K59" s="365">
        <v>756</v>
      </c>
      <c r="L59" s="364">
        <v>799.20000000000027</v>
      </c>
      <c r="M59" s="360" t="s">
        <v>1565</v>
      </c>
    </row>
    <row r="60" spans="1:13" ht="22.5" customHeight="1">
      <c r="A60" s="333">
        <v>47</v>
      </c>
      <c r="B60" s="375" t="s">
        <v>1658</v>
      </c>
      <c r="C60" s="368" t="s">
        <v>1659</v>
      </c>
      <c r="D60" s="362" t="s">
        <v>112</v>
      </c>
      <c r="E60" s="363">
        <v>4.4000000000000004</v>
      </c>
      <c r="F60" s="370">
        <v>720</v>
      </c>
      <c r="G60" s="364">
        <v>3168.0000000000005</v>
      </c>
      <c r="H60" s="364">
        <v>1584.0000000000002</v>
      </c>
      <c r="I60" s="373">
        <v>0.2</v>
      </c>
      <c r="J60" s="358">
        <f t="shared" si="1"/>
        <v>1267.2000000000003</v>
      </c>
      <c r="K60" s="365">
        <v>616</v>
      </c>
      <c r="L60" s="364">
        <v>651.20000000000027</v>
      </c>
      <c r="M60" s="360" t="s">
        <v>1565</v>
      </c>
    </row>
    <row r="61" spans="1:13" ht="22.5" customHeight="1">
      <c r="A61" s="333">
        <v>48</v>
      </c>
      <c r="B61" s="375" t="s">
        <v>1660</v>
      </c>
      <c r="C61" s="368" t="s">
        <v>1661</v>
      </c>
      <c r="D61" s="362" t="s">
        <v>113</v>
      </c>
      <c r="E61" s="363">
        <v>5</v>
      </c>
      <c r="F61" s="370">
        <v>720</v>
      </c>
      <c r="G61" s="364">
        <v>3600</v>
      </c>
      <c r="H61" s="364">
        <v>1800</v>
      </c>
      <c r="I61" s="373">
        <v>0.2</v>
      </c>
      <c r="J61" s="358">
        <f t="shared" si="1"/>
        <v>1440</v>
      </c>
      <c r="K61" s="365">
        <v>550</v>
      </c>
      <c r="L61" s="364">
        <v>890</v>
      </c>
      <c r="M61" s="360" t="s">
        <v>1565</v>
      </c>
    </row>
    <row r="62" spans="1:13" ht="22.5" customHeight="1">
      <c r="A62" s="333">
        <v>49</v>
      </c>
      <c r="B62" s="375" t="s">
        <v>1662</v>
      </c>
      <c r="C62" s="368" t="s">
        <v>1663</v>
      </c>
      <c r="D62" s="366" t="s">
        <v>112</v>
      </c>
      <c r="E62" s="363">
        <v>5</v>
      </c>
      <c r="F62" s="370">
        <v>720</v>
      </c>
      <c r="G62" s="364">
        <v>3600</v>
      </c>
      <c r="H62" s="364">
        <v>1800</v>
      </c>
      <c r="I62" s="373">
        <v>0.15</v>
      </c>
      <c r="J62" s="358">
        <f t="shared" si="1"/>
        <v>1530</v>
      </c>
      <c r="K62" s="365">
        <v>575</v>
      </c>
      <c r="L62" s="364">
        <v>955</v>
      </c>
      <c r="M62" s="360" t="s">
        <v>1565</v>
      </c>
    </row>
    <row r="63" spans="1:13" ht="22.5" customHeight="1">
      <c r="A63" s="333">
        <v>50</v>
      </c>
      <c r="B63" s="376" t="s">
        <v>1664</v>
      </c>
      <c r="C63" s="377" t="s">
        <v>1665</v>
      </c>
      <c r="D63" s="333" t="s">
        <v>114</v>
      </c>
      <c r="E63" s="378">
        <v>5</v>
      </c>
      <c r="F63" s="379">
        <v>720</v>
      </c>
      <c r="G63" s="380">
        <v>3600</v>
      </c>
      <c r="H63" s="380">
        <v>1800</v>
      </c>
      <c r="I63" s="381">
        <v>0.15</v>
      </c>
      <c r="J63" s="358">
        <f t="shared" si="1"/>
        <v>1530</v>
      </c>
      <c r="K63" s="382">
        <v>475</v>
      </c>
      <c r="L63" s="380">
        <v>1055</v>
      </c>
      <c r="M63" s="383" t="s">
        <v>1565</v>
      </c>
    </row>
    <row r="64" spans="1:13" ht="22.5" customHeight="1">
      <c r="A64" s="333">
        <v>51</v>
      </c>
      <c r="B64" s="376" t="s">
        <v>1666</v>
      </c>
      <c r="C64" s="377" t="s">
        <v>1667</v>
      </c>
      <c r="D64" s="384" t="s">
        <v>112</v>
      </c>
      <c r="E64" s="378">
        <v>5</v>
      </c>
      <c r="F64" s="379">
        <v>720</v>
      </c>
      <c r="G64" s="385">
        <v>3600</v>
      </c>
      <c r="H64" s="380">
        <v>1800</v>
      </c>
      <c r="I64" s="381">
        <v>0.2</v>
      </c>
      <c r="J64" s="358">
        <v>1440</v>
      </c>
      <c r="K64" s="382">
        <v>700</v>
      </c>
      <c r="L64" s="380">
        <v>740</v>
      </c>
      <c r="M64" s="383" t="s">
        <v>1565</v>
      </c>
    </row>
    <row r="65" spans="1:13" ht="22.5" customHeight="1">
      <c r="A65" s="333">
        <v>52</v>
      </c>
      <c r="B65" s="376" t="s">
        <v>1668</v>
      </c>
      <c r="C65" s="377" t="s">
        <v>1669</v>
      </c>
      <c r="D65" s="333" t="s">
        <v>113</v>
      </c>
      <c r="E65" s="378">
        <v>2.7</v>
      </c>
      <c r="F65" s="379">
        <v>720</v>
      </c>
      <c r="G65" s="385">
        <v>1944.0000000000002</v>
      </c>
      <c r="H65" s="380">
        <v>972.00000000000011</v>
      </c>
      <c r="I65" s="381">
        <v>0.2</v>
      </c>
      <c r="J65" s="358">
        <v>777.60000000000014</v>
      </c>
      <c r="K65" s="382">
        <v>297</v>
      </c>
      <c r="L65" s="380">
        <v>480.60000000000014</v>
      </c>
      <c r="M65" s="383" t="s">
        <v>1565</v>
      </c>
    </row>
    <row r="66" spans="1:13" ht="22.5" customHeight="1">
      <c r="A66" s="333">
        <v>53</v>
      </c>
      <c r="B66" s="376" t="s">
        <v>1670</v>
      </c>
      <c r="C66" s="377" t="s">
        <v>1671</v>
      </c>
      <c r="D66" s="333" t="s">
        <v>112</v>
      </c>
      <c r="E66" s="378">
        <v>5.5</v>
      </c>
      <c r="F66" s="379">
        <v>720</v>
      </c>
      <c r="G66" s="385">
        <v>3960</v>
      </c>
      <c r="H66" s="380">
        <v>1980</v>
      </c>
      <c r="I66" s="381">
        <v>0.2</v>
      </c>
      <c r="J66" s="358">
        <v>1584</v>
      </c>
      <c r="K66" s="382">
        <v>770</v>
      </c>
      <c r="L66" s="380">
        <v>814</v>
      </c>
      <c r="M66" s="383" t="s">
        <v>1565</v>
      </c>
    </row>
    <row r="67" spans="1:13" ht="22.5" customHeight="1">
      <c r="A67" s="333">
        <v>54</v>
      </c>
      <c r="B67" s="376" t="s">
        <v>1672</v>
      </c>
      <c r="C67" s="377" t="s">
        <v>1673</v>
      </c>
      <c r="D67" s="333" t="s">
        <v>113</v>
      </c>
      <c r="E67" s="378">
        <v>5</v>
      </c>
      <c r="F67" s="379">
        <v>720</v>
      </c>
      <c r="G67" s="385">
        <v>3600</v>
      </c>
      <c r="H67" s="380">
        <v>1800</v>
      </c>
      <c r="I67" s="381">
        <v>0.2</v>
      </c>
      <c r="J67" s="358">
        <v>1440</v>
      </c>
      <c r="K67" s="382">
        <v>550</v>
      </c>
      <c r="L67" s="380">
        <v>890</v>
      </c>
      <c r="M67" s="383" t="s">
        <v>1565</v>
      </c>
    </row>
    <row r="68" spans="1:13" ht="22.5" customHeight="1">
      <c r="A68" s="333">
        <v>55</v>
      </c>
      <c r="B68" s="376" t="s">
        <v>1674</v>
      </c>
      <c r="C68" s="377" t="s">
        <v>1675</v>
      </c>
      <c r="D68" s="333" t="s">
        <v>112</v>
      </c>
      <c r="E68" s="378">
        <v>5.5</v>
      </c>
      <c r="F68" s="379">
        <v>720</v>
      </c>
      <c r="G68" s="385">
        <v>3960</v>
      </c>
      <c r="H68" s="379">
        <v>1980</v>
      </c>
      <c r="I68" s="381">
        <v>0.2</v>
      </c>
      <c r="J68" s="358">
        <v>1584</v>
      </c>
      <c r="K68" s="382">
        <v>770</v>
      </c>
      <c r="L68" s="380">
        <v>814</v>
      </c>
      <c r="M68" s="383" t="s">
        <v>1565</v>
      </c>
    </row>
    <row r="69" spans="1:13" ht="22.5" customHeight="1">
      <c r="A69" s="333">
        <v>56</v>
      </c>
      <c r="B69" s="376" t="s">
        <v>1676</v>
      </c>
      <c r="C69" s="376" t="s">
        <v>1677</v>
      </c>
      <c r="D69" s="385" t="s">
        <v>113</v>
      </c>
      <c r="E69" s="378">
        <v>4.9000000000000004</v>
      </c>
      <c r="F69" s="380">
        <v>220</v>
      </c>
      <c r="G69" s="380">
        <v>1078</v>
      </c>
      <c r="H69" s="380">
        <v>862.40000000000009</v>
      </c>
      <c r="I69" s="381">
        <v>0</v>
      </c>
      <c r="J69" s="358">
        <v>862.40000000000009</v>
      </c>
      <c r="K69" s="382">
        <v>539</v>
      </c>
      <c r="L69" s="380">
        <v>323.40000000000009</v>
      </c>
      <c r="M69" s="383" t="s">
        <v>1636</v>
      </c>
    </row>
    <row r="70" spans="1:13" ht="22.5" customHeight="1">
      <c r="A70" s="333">
        <v>57</v>
      </c>
      <c r="B70" s="376" t="s">
        <v>1678</v>
      </c>
      <c r="C70" s="376" t="s">
        <v>1679</v>
      </c>
      <c r="D70" s="385" t="s">
        <v>113</v>
      </c>
      <c r="E70" s="378">
        <v>6</v>
      </c>
      <c r="F70" s="380">
        <v>220</v>
      </c>
      <c r="G70" s="380">
        <v>1320</v>
      </c>
      <c r="H70" s="380">
        <v>1056</v>
      </c>
      <c r="I70" s="381">
        <v>0</v>
      </c>
      <c r="J70" s="358">
        <v>1056</v>
      </c>
      <c r="K70" s="382">
        <v>660</v>
      </c>
      <c r="L70" s="380">
        <v>396</v>
      </c>
      <c r="M70" s="383" t="s">
        <v>1636</v>
      </c>
    </row>
    <row r="71" spans="1:13" ht="22.5" customHeight="1">
      <c r="A71" s="333">
        <v>58</v>
      </c>
      <c r="B71" s="376" t="s">
        <v>1680</v>
      </c>
      <c r="C71" s="376" t="s">
        <v>1681</v>
      </c>
      <c r="D71" s="385" t="s">
        <v>113</v>
      </c>
      <c r="E71" s="378">
        <v>5</v>
      </c>
      <c r="F71" s="380">
        <v>220</v>
      </c>
      <c r="G71" s="380">
        <v>1100</v>
      </c>
      <c r="H71" s="380">
        <v>880</v>
      </c>
      <c r="I71" s="381">
        <v>0</v>
      </c>
      <c r="J71" s="358">
        <v>880</v>
      </c>
      <c r="K71" s="382">
        <v>550</v>
      </c>
      <c r="L71" s="380">
        <v>330</v>
      </c>
      <c r="M71" s="383" t="s">
        <v>1636</v>
      </c>
    </row>
    <row r="72" spans="1:13" ht="22.5" customHeight="1">
      <c r="A72" s="333">
        <v>59</v>
      </c>
      <c r="B72" s="376" t="s">
        <v>1682</v>
      </c>
      <c r="C72" s="376" t="s">
        <v>1683</v>
      </c>
      <c r="D72" s="385" t="s">
        <v>112</v>
      </c>
      <c r="E72" s="378">
        <v>5</v>
      </c>
      <c r="F72" s="379">
        <v>250</v>
      </c>
      <c r="G72" s="379">
        <v>1250</v>
      </c>
      <c r="H72" s="379">
        <v>1000</v>
      </c>
      <c r="I72" s="381">
        <v>0</v>
      </c>
      <c r="J72" s="386">
        <v>1000</v>
      </c>
      <c r="K72" s="382">
        <v>700</v>
      </c>
      <c r="L72" s="387">
        <v>300</v>
      </c>
      <c r="M72" s="383" t="s">
        <v>1636</v>
      </c>
    </row>
    <row r="73" spans="1:13" ht="22.5" customHeight="1">
      <c r="A73" s="333">
        <v>60</v>
      </c>
      <c r="B73" s="376" t="s">
        <v>1684</v>
      </c>
      <c r="C73" s="376" t="s">
        <v>1685</v>
      </c>
      <c r="D73" s="385" t="s">
        <v>113</v>
      </c>
      <c r="E73" s="378">
        <v>5.5</v>
      </c>
      <c r="F73" s="379">
        <v>220</v>
      </c>
      <c r="G73" s="379">
        <v>1210</v>
      </c>
      <c r="H73" s="379">
        <v>968</v>
      </c>
      <c r="I73" s="381">
        <v>0</v>
      </c>
      <c r="J73" s="386">
        <v>968</v>
      </c>
      <c r="K73" s="382">
        <v>605</v>
      </c>
      <c r="L73" s="387">
        <v>363</v>
      </c>
      <c r="M73" s="383" t="s">
        <v>1636</v>
      </c>
    </row>
    <row r="74" spans="1:13" ht="22.5" customHeight="1">
      <c r="A74" s="333">
        <v>61</v>
      </c>
      <c r="B74" s="376" t="s">
        <v>1686</v>
      </c>
      <c r="C74" s="377" t="s">
        <v>1687</v>
      </c>
      <c r="D74" s="333" t="s">
        <v>113</v>
      </c>
      <c r="E74" s="378">
        <v>5</v>
      </c>
      <c r="F74" s="379">
        <v>220</v>
      </c>
      <c r="G74" s="379">
        <v>1100</v>
      </c>
      <c r="H74" s="379">
        <v>880</v>
      </c>
      <c r="I74" s="381">
        <v>0</v>
      </c>
      <c r="J74" s="388">
        <v>880</v>
      </c>
      <c r="K74" s="382">
        <v>400</v>
      </c>
      <c r="L74" s="387">
        <v>480</v>
      </c>
      <c r="M74" s="383" t="s">
        <v>1636</v>
      </c>
    </row>
    <row r="75" spans="1:13" ht="22.5" customHeight="1">
      <c r="A75" s="333">
        <v>62</v>
      </c>
      <c r="B75" s="376" t="s">
        <v>1688</v>
      </c>
      <c r="C75" s="376" t="s">
        <v>1689</v>
      </c>
      <c r="D75" s="385" t="s">
        <v>113</v>
      </c>
      <c r="E75" s="378">
        <v>5</v>
      </c>
      <c r="F75" s="379">
        <v>220</v>
      </c>
      <c r="G75" s="379">
        <v>1100</v>
      </c>
      <c r="H75" s="379">
        <v>880</v>
      </c>
      <c r="I75" s="381">
        <v>0</v>
      </c>
      <c r="J75" s="388">
        <v>880</v>
      </c>
      <c r="K75" s="382">
        <v>487.5</v>
      </c>
      <c r="L75" s="387">
        <v>392.5</v>
      </c>
      <c r="M75" s="383" t="s">
        <v>1636</v>
      </c>
    </row>
    <row r="76" spans="1:13" ht="22.5" customHeight="1">
      <c r="A76" s="333">
        <v>63</v>
      </c>
      <c r="B76" s="376" t="s">
        <v>1690</v>
      </c>
      <c r="C76" s="376" t="s">
        <v>1691</v>
      </c>
      <c r="D76" s="385" t="s">
        <v>113</v>
      </c>
      <c r="E76" s="378">
        <v>5</v>
      </c>
      <c r="F76" s="379">
        <v>220</v>
      </c>
      <c r="G76" s="379">
        <v>1100</v>
      </c>
      <c r="H76" s="379">
        <v>880</v>
      </c>
      <c r="I76" s="381">
        <v>0</v>
      </c>
      <c r="J76" s="388">
        <v>880</v>
      </c>
      <c r="K76" s="382">
        <v>550</v>
      </c>
      <c r="L76" s="387">
        <v>330</v>
      </c>
      <c r="M76" s="383" t="s">
        <v>1636</v>
      </c>
    </row>
    <row r="77" spans="1:13" ht="22.5" customHeight="1">
      <c r="A77" s="333">
        <v>64</v>
      </c>
      <c r="B77" s="389" t="s">
        <v>1692</v>
      </c>
      <c r="C77" s="389" t="s">
        <v>1693</v>
      </c>
      <c r="D77" s="353" t="s">
        <v>112</v>
      </c>
      <c r="E77" s="355">
        <v>5</v>
      </c>
      <c r="F77" s="356">
        <v>720</v>
      </c>
      <c r="G77" s="390">
        <f t="shared" ref="G77:G78" si="2">E77*F77</f>
        <v>3600</v>
      </c>
      <c r="H77" s="356">
        <v>1800</v>
      </c>
      <c r="I77" s="357">
        <v>0.2</v>
      </c>
      <c r="J77" s="391">
        <v>1440</v>
      </c>
      <c r="K77" s="382">
        <v>700</v>
      </c>
      <c r="L77" s="380">
        <v>740</v>
      </c>
      <c r="M77" s="383" t="s">
        <v>1565</v>
      </c>
    </row>
    <row r="78" spans="1:13" ht="22.5" customHeight="1">
      <c r="A78" s="333">
        <v>65</v>
      </c>
      <c r="B78" s="389" t="s">
        <v>1694</v>
      </c>
      <c r="C78" s="389" t="s">
        <v>1695</v>
      </c>
      <c r="D78" s="353" t="s">
        <v>112</v>
      </c>
      <c r="E78" s="355">
        <v>6</v>
      </c>
      <c r="F78" s="356">
        <v>720</v>
      </c>
      <c r="G78" s="390">
        <f t="shared" si="2"/>
        <v>4320</v>
      </c>
      <c r="H78" s="356">
        <v>2160</v>
      </c>
      <c r="I78" s="357">
        <v>0.2</v>
      </c>
      <c r="J78" s="391">
        <v>1728</v>
      </c>
      <c r="K78" s="382">
        <v>660</v>
      </c>
      <c r="L78" s="380">
        <v>1068</v>
      </c>
      <c r="M78" s="383" t="s">
        <v>1565</v>
      </c>
    </row>
    <row r="79" spans="1:13" ht="22.5" customHeight="1">
      <c r="A79" s="392"/>
      <c r="B79" s="393" t="s">
        <v>26</v>
      </c>
      <c r="C79" s="393">
        <f>COUNTA(C14:C78)</f>
        <v>65</v>
      </c>
      <c r="D79" s="393"/>
      <c r="E79" s="394">
        <f>SUM(E12:E78)</f>
        <v>315.39999999999998</v>
      </c>
      <c r="F79" s="393"/>
      <c r="G79" s="393"/>
      <c r="H79" s="393"/>
      <c r="I79" s="393"/>
      <c r="J79" s="393"/>
      <c r="K79" s="395">
        <f>SUM(K14:K78)</f>
        <v>37198</v>
      </c>
      <c r="L79" s="950">
        <f>SUBTOTAL(9,L14:L78)</f>
        <v>41540.199999999997</v>
      </c>
      <c r="M79" s="932"/>
    </row>
    <row r="80" spans="1:13" ht="13.2">
      <c r="A80" s="346"/>
      <c r="B80" s="346"/>
      <c r="C80" s="346"/>
      <c r="D80" s="346"/>
      <c r="E80" s="346"/>
      <c r="F80" s="346"/>
      <c r="G80" s="346"/>
      <c r="H80" s="346"/>
      <c r="I80" s="346"/>
      <c r="J80" s="346"/>
      <c r="K80" s="346"/>
      <c r="L80" s="346"/>
      <c r="M80" s="346"/>
    </row>
    <row r="81" spans="1:13" ht="13.2">
      <c r="A81" s="346"/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</row>
    <row r="82" spans="1:13" ht="13.2">
      <c r="A82" s="346"/>
      <c r="B82" s="346"/>
      <c r="C82" s="346"/>
      <c r="D82" s="346"/>
      <c r="E82" s="346"/>
      <c r="F82" s="346"/>
      <c r="G82" s="346"/>
      <c r="H82" s="346"/>
      <c r="I82" s="346"/>
      <c r="J82" s="346"/>
      <c r="K82" s="346"/>
      <c r="L82" s="346"/>
      <c r="M82" s="346"/>
    </row>
    <row r="83" spans="1:13" ht="13.2">
      <c r="A83" s="346"/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</row>
    <row r="84" spans="1:13" ht="13.2">
      <c r="A84" s="970" t="s">
        <v>1696</v>
      </c>
      <c r="B84" s="953"/>
      <c r="C84" s="953"/>
      <c r="D84" s="953"/>
      <c r="E84" s="953"/>
      <c r="F84" s="953"/>
      <c r="G84" s="953"/>
      <c r="H84" s="953"/>
      <c r="I84" s="953"/>
      <c r="J84" s="953"/>
      <c r="K84" s="953"/>
      <c r="L84" s="953"/>
      <c r="M84" s="941"/>
    </row>
    <row r="85" spans="1:13" ht="22.5" customHeight="1">
      <c r="A85" s="396" t="s">
        <v>165</v>
      </c>
      <c r="B85" s="396" t="s">
        <v>166</v>
      </c>
      <c r="C85" s="396" t="s">
        <v>1556</v>
      </c>
      <c r="D85" s="334" t="s">
        <v>168</v>
      </c>
      <c r="E85" s="397" t="s">
        <v>169</v>
      </c>
      <c r="F85" s="396" t="s">
        <v>1557</v>
      </c>
      <c r="G85" s="396" t="s">
        <v>1558</v>
      </c>
      <c r="H85" s="396" t="s">
        <v>1559</v>
      </c>
      <c r="I85" s="396" t="s">
        <v>1560</v>
      </c>
      <c r="J85" s="398" t="s">
        <v>1697</v>
      </c>
      <c r="K85" s="334" t="s">
        <v>1562</v>
      </c>
      <c r="L85" s="399" t="s">
        <v>1563</v>
      </c>
      <c r="M85" s="400" t="s">
        <v>177</v>
      </c>
    </row>
    <row r="86" spans="1:13" ht="22.5" customHeight="1">
      <c r="A86" s="333">
        <v>66</v>
      </c>
      <c r="B86" s="333" t="s">
        <v>1698</v>
      </c>
      <c r="C86" s="333" t="s">
        <v>1699</v>
      </c>
      <c r="D86" s="333" t="s">
        <v>112</v>
      </c>
      <c r="E86" s="401">
        <v>5</v>
      </c>
      <c r="F86" s="380">
        <v>720</v>
      </c>
      <c r="G86" s="380">
        <f t="shared" ref="G86:G97" si="3">F86*E86</f>
        <v>3600</v>
      </c>
      <c r="H86" s="380">
        <v>1800</v>
      </c>
      <c r="I86" s="381">
        <v>0.2</v>
      </c>
      <c r="J86" s="358">
        <f t="shared" ref="J86:J97" si="4">H86*(1-I86)</f>
        <v>1440</v>
      </c>
      <c r="K86" s="380">
        <v>700</v>
      </c>
      <c r="L86" s="380">
        <f t="shared" ref="L86:L97" si="5">J86-K86</f>
        <v>740</v>
      </c>
      <c r="M86" s="396" t="s">
        <v>1565</v>
      </c>
    </row>
    <row r="87" spans="1:13" ht="22.5" customHeight="1">
      <c r="A87" s="333">
        <v>67</v>
      </c>
      <c r="B87" s="333" t="s">
        <v>1700</v>
      </c>
      <c r="C87" s="333" t="s">
        <v>1701</v>
      </c>
      <c r="D87" s="333" t="s">
        <v>112</v>
      </c>
      <c r="E87" s="401">
        <v>5</v>
      </c>
      <c r="F87" s="380">
        <v>720</v>
      </c>
      <c r="G87" s="380">
        <f t="shared" si="3"/>
        <v>3600</v>
      </c>
      <c r="H87" s="380">
        <v>1800</v>
      </c>
      <c r="I87" s="381">
        <v>0.2</v>
      </c>
      <c r="J87" s="358">
        <f t="shared" si="4"/>
        <v>1440</v>
      </c>
      <c r="K87" s="380">
        <v>700</v>
      </c>
      <c r="L87" s="380">
        <f t="shared" si="5"/>
        <v>740</v>
      </c>
      <c r="M87" s="396" t="s">
        <v>1565</v>
      </c>
    </row>
    <row r="88" spans="1:13" ht="22.5" customHeight="1">
      <c r="A88" s="333">
        <v>68</v>
      </c>
      <c r="B88" s="333" t="s">
        <v>1702</v>
      </c>
      <c r="C88" s="333" t="s">
        <v>1703</v>
      </c>
      <c r="D88" s="333" t="s">
        <v>112</v>
      </c>
      <c r="E88" s="401">
        <v>5.5</v>
      </c>
      <c r="F88" s="380">
        <v>720</v>
      </c>
      <c r="G88" s="380">
        <f t="shared" si="3"/>
        <v>3960</v>
      </c>
      <c r="H88" s="380">
        <v>1980</v>
      </c>
      <c r="I88" s="381">
        <v>0.2</v>
      </c>
      <c r="J88" s="358">
        <f t="shared" si="4"/>
        <v>1584</v>
      </c>
      <c r="K88" s="380">
        <v>935</v>
      </c>
      <c r="L88" s="380">
        <f t="shared" si="5"/>
        <v>649</v>
      </c>
      <c r="M88" s="396" t="s">
        <v>1565</v>
      </c>
    </row>
    <row r="89" spans="1:13" ht="22.5" customHeight="1">
      <c r="A89" s="333">
        <v>69</v>
      </c>
      <c r="B89" s="333" t="s">
        <v>1704</v>
      </c>
      <c r="C89" s="384" t="s">
        <v>1705</v>
      </c>
      <c r="D89" s="333" t="s">
        <v>112</v>
      </c>
      <c r="E89" s="401">
        <v>5</v>
      </c>
      <c r="F89" s="380">
        <v>720</v>
      </c>
      <c r="G89" s="380">
        <f t="shared" si="3"/>
        <v>3600</v>
      </c>
      <c r="H89" s="380">
        <v>1800</v>
      </c>
      <c r="I89" s="381">
        <v>0.2</v>
      </c>
      <c r="J89" s="358">
        <f t="shared" si="4"/>
        <v>1440</v>
      </c>
      <c r="K89" s="380">
        <v>700</v>
      </c>
      <c r="L89" s="380">
        <f t="shared" si="5"/>
        <v>740</v>
      </c>
      <c r="M89" s="396" t="s">
        <v>1565</v>
      </c>
    </row>
    <row r="90" spans="1:13" ht="22.5" customHeight="1">
      <c r="A90" s="333">
        <v>70</v>
      </c>
      <c r="B90" s="333" t="s">
        <v>1706</v>
      </c>
      <c r="C90" s="333" t="s">
        <v>1707</v>
      </c>
      <c r="D90" s="333" t="s">
        <v>112</v>
      </c>
      <c r="E90" s="401">
        <v>5</v>
      </c>
      <c r="F90" s="380">
        <v>720</v>
      </c>
      <c r="G90" s="380">
        <f t="shared" si="3"/>
        <v>3600</v>
      </c>
      <c r="H90" s="380">
        <v>1800</v>
      </c>
      <c r="I90" s="381">
        <v>0.2</v>
      </c>
      <c r="J90" s="358">
        <f t="shared" si="4"/>
        <v>1440</v>
      </c>
      <c r="K90" s="380">
        <v>700</v>
      </c>
      <c r="L90" s="380">
        <f t="shared" si="5"/>
        <v>740</v>
      </c>
      <c r="M90" s="396" t="s">
        <v>1565</v>
      </c>
    </row>
    <row r="91" spans="1:13" ht="22.5" customHeight="1">
      <c r="A91" s="333">
        <v>71</v>
      </c>
      <c r="B91" s="396" t="s">
        <v>521</v>
      </c>
      <c r="C91" s="396" t="s">
        <v>522</v>
      </c>
      <c r="D91" s="396" t="s">
        <v>113</v>
      </c>
      <c r="E91" s="402">
        <v>2.5</v>
      </c>
      <c r="F91" s="403">
        <v>720</v>
      </c>
      <c r="G91" s="403">
        <f t="shared" si="3"/>
        <v>1800</v>
      </c>
      <c r="H91" s="403">
        <v>900</v>
      </c>
      <c r="I91" s="404">
        <v>0.2</v>
      </c>
      <c r="J91" s="405">
        <f t="shared" si="4"/>
        <v>720</v>
      </c>
      <c r="K91" s="403">
        <v>275</v>
      </c>
      <c r="L91" s="403">
        <f t="shared" si="5"/>
        <v>445</v>
      </c>
      <c r="M91" s="396" t="s">
        <v>1565</v>
      </c>
    </row>
    <row r="92" spans="1:13" ht="22.5" customHeight="1">
      <c r="A92" s="333">
        <v>72</v>
      </c>
      <c r="B92" s="333" t="s">
        <v>1708</v>
      </c>
      <c r="C92" s="333" t="s">
        <v>1709</v>
      </c>
      <c r="D92" s="333" t="s">
        <v>112</v>
      </c>
      <c r="E92" s="401">
        <v>5</v>
      </c>
      <c r="F92" s="380">
        <v>720</v>
      </c>
      <c r="G92" s="380">
        <f t="shared" si="3"/>
        <v>3600</v>
      </c>
      <c r="H92" s="380">
        <v>1800</v>
      </c>
      <c r="I92" s="381">
        <v>0.2</v>
      </c>
      <c r="J92" s="358">
        <f t="shared" si="4"/>
        <v>1440</v>
      </c>
      <c r="K92" s="380">
        <v>700</v>
      </c>
      <c r="L92" s="380">
        <f t="shared" si="5"/>
        <v>740</v>
      </c>
      <c r="M92" s="396" t="s">
        <v>1565</v>
      </c>
    </row>
    <row r="93" spans="1:13" ht="22.5" customHeight="1">
      <c r="A93" s="333">
        <v>73</v>
      </c>
      <c r="B93" s="333" t="s">
        <v>1710</v>
      </c>
      <c r="C93" s="333" t="s">
        <v>1711</v>
      </c>
      <c r="D93" s="333" t="s">
        <v>117</v>
      </c>
      <c r="E93" s="401">
        <v>5</v>
      </c>
      <c r="F93" s="380">
        <v>240</v>
      </c>
      <c r="G93" s="380">
        <f t="shared" si="3"/>
        <v>1200</v>
      </c>
      <c r="H93" s="380">
        <v>1200</v>
      </c>
      <c r="I93" s="381">
        <v>0</v>
      </c>
      <c r="J93" s="358">
        <f t="shared" si="4"/>
        <v>1200</v>
      </c>
      <c r="K93" s="380">
        <v>850</v>
      </c>
      <c r="L93" s="380">
        <f t="shared" si="5"/>
        <v>350</v>
      </c>
      <c r="M93" s="396" t="s">
        <v>1636</v>
      </c>
    </row>
    <row r="94" spans="1:13" ht="22.5" customHeight="1">
      <c r="A94" s="333">
        <v>74</v>
      </c>
      <c r="B94" s="333" t="s">
        <v>1712</v>
      </c>
      <c r="C94" s="333" t="s">
        <v>1713</v>
      </c>
      <c r="D94" s="333" t="s">
        <v>112</v>
      </c>
      <c r="E94" s="401">
        <v>5</v>
      </c>
      <c r="F94" s="380">
        <v>390</v>
      </c>
      <c r="G94" s="380">
        <f t="shared" si="3"/>
        <v>1950</v>
      </c>
      <c r="H94" s="380">
        <v>1950</v>
      </c>
      <c r="I94" s="381">
        <v>0.2</v>
      </c>
      <c r="J94" s="358">
        <f t="shared" si="4"/>
        <v>1560</v>
      </c>
      <c r="K94" s="380">
        <v>700</v>
      </c>
      <c r="L94" s="380">
        <f t="shared" si="5"/>
        <v>860</v>
      </c>
      <c r="M94" s="396" t="s">
        <v>1653</v>
      </c>
    </row>
    <row r="95" spans="1:13" ht="22.5" customHeight="1">
      <c r="A95" s="333">
        <v>75</v>
      </c>
      <c r="B95" s="385" t="s">
        <v>1714</v>
      </c>
      <c r="C95" s="384" t="s">
        <v>1715</v>
      </c>
      <c r="D95" s="333" t="s">
        <v>112</v>
      </c>
      <c r="E95" s="401">
        <v>5.5</v>
      </c>
      <c r="F95" s="379">
        <v>720</v>
      </c>
      <c r="G95" s="380">
        <f t="shared" si="3"/>
        <v>3960</v>
      </c>
      <c r="H95" s="380">
        <v>1980</v>
      </c>
      <c r="I95" s="381">
        <v>0.2</v>
      </c>
      <c r="J95" s="358">
        <f t="shared" si="4"/>
        <v>1584</v>
      </c>
      <c r="K95" s="380">
        <v>770</v>
      </c>
      <c r="L95" s="380">
        <f t="shared" si="5"/>
        <v>814</v>
      </c>
      <c r="M95" s="396" t="s">
        <v>1565</v>
      </c>
    </row>
    <row r="96" spans="1:13" ht="22.5" customHeight="1">
      <c r="A96" s="333">
        <v>76</v>
      </c>
      <c r="B96" s="385" t="s">
        <v>1716</v>
      </c>
      <c r="C96" s="384" t="s">
        <v>1717</v>
      </c>
      <c r="D96" s="333" t="s">
        <v>112</v>
      </c>
      <c r="E96" s="401">
        <v>5.5</v>
      </c>
      <c r="F96" s="379">
        <v>720</v>
      </c>
      <c r="G96" s="380">
        <f t="shared" si="3"/>
        <v>3960</v>
      </c>
      <c r="H96" s="380">
        <v>1980</v>
      </c>
      <c r="I96" s="381">
        <v>0.2</v>
      </c>
      <c r="J96" s="358">
        <f t="shared" si="4"/>
        <v>1584</v>
      </c>
      <c r="K96" s="380">
        <v>770</v>
      </c>
      <c r="L96" s="380">
        <f t="shared" si="5"/>
        <v>814</v>
      </c>
      <c r="M96" s="396" t="s">
        <v>1565</v>
      </c>
    </row>
    <row r="97" spans="1:13" ht="22.5" customHeight="1">
      <c r="A97" s="333">
        <v>77</v>
      </c>
      <c r="B97" s="385" t="s">
        <v>1718</v>
      </c>
      <c r="C97" s="384" t="s">
        <v>1719</v>
      </c>
      <c r="D97" s="333" t="s">
        <v>112</v>
      </c>
      <c r="E97" s="401">
        <v>5.5</v>
      </c>
      <c r="F97" s="379">
        <v>720</v>
      </c>
      <c r="G97" s="380">
        <f t="shared" si="3"/>
        <v>3960</v>
      </c>
      <c r="H97" s="380">
        <v>1980</v>
      </c>
      <c r="I97" s="381">
        <v>0.2</v>
      </c>
      <c r="J97" s="358">
        <f t="shared" si="4"/>
        <v>1584</v>
      </c>
      <c r="K97" s="380">
        <v>770</v>
      </c>
      <c r="L97" s="380">
        <f t="shared" si="5"/>
        <v>814</v>
      </c>
      <c r="M97" s="396" t="s">
        <v>1565</v>
      </c>
    </row>
    <row r="98" spans="1:13" ht="22.5" customHeight="1">
      <c r="A98" s="333">
        <v>78</v>
      </c>
      <c r="B98" s="385" t="s">
        <v>1720</v>
      </c>
      <c r="C98" s="384" t="s">
        <v>1721</v>
      </c>
      <c r="D98" s="333" t="s">
        <v>112</v>
      </c>
      <c r="E98" s="401">
        <v>6</v>
      </c>
      <c r="F98" s="379">
        <v>720</v>
      </c>
      <c r="G98" s="385">
        <v>4320</v>
      </c>
      <c r="H98" s="380">
        <v>2160</v>
      </c>
      <c r="I98" s="381">
        <v>0.2</v>
      </c>
      <c r="J98" s="358">
        <v>1728</v>
      </c>
      <c r="K98" s="379">
        <v>840</v>
      </c>
      <c r="L98" s="380">
        <v>888</v>
      </c>
      <c r="M98" s="396" t="s">
        <v>1565</v>
      </c>
    </row>
    <row r="99" spans="1:13" ht="22.5" customHeight="1">
      <c r="A99" s="333">
        <v>79</v>
      </c>
      <c r="B99" s="385" t="s">
        <v>1722</v>
      </c>
      <c r="C99" s="384" t="s">
        <v>1723</v>
      </c>
      <c r="D99" s="385" t="s">
        <v>117</v>
      </c>
      <c r="E99" s="401">
        <v>4.8</v>
      </c>
      <c r="F99" s="406">
        <v>900</v>
      </c>
      <c r="G99" s="379">
        <v>900</v>
      </c>
      <c r="H99" s="379">
        <v>900</v>
      </c>
      <c r="I99" s="381">
        <v>0</v>
      </c>
      <c r="J99" s="358">
        <v>900</v>
      </c>
      <c r="K99" s="379">
        <v>816</v>
      </c>
      <c r="L99" s="380">
        <v>84</v>
      </c>
      <c r="M99" s="396" t="s">
        <v>1724</v>
      </c>
    </row>
    <row r="100" spans="1:13" ht="22.5" customHeight="1">
      <c r="A100" s="333">
        <v>80</v>
      </c>
      <c r="B100" s="385" t="s">
        <v>1725</v>
      </c>
      <c r="C100" s="384" t="s">
        <v>1726</v>
      </c>
      <c r="D100" s="385" t="s">
        <v>115</v>
      </c>
      <c r="E100" s="401">
        <v>5</v>
      </c>
      <c r="F100" s="406">
        <v>400</v>
      </c>
      <c r="G100" s="379">
        <v>800</v>
      </c>
      <c r="H100" s="379">
        <v>800</v>
      </c>
      <c r="I100" s="381">
        <v>0</v>
      </c>
      <c r="J100" s="358">
        <v>800</v>
      </c>
      <c r="K100" s="379">
        <v>700</v>
      </c>
      <c r="L100" s="380">
        <v>100</v>
      </c>
      <c r="M100" s="396" t="s">
        <v>1724</v>
      </c>
    </row>
    <row r="101" spans="1:13" ht="22.5" customHeight="1">
      <c r="A101" s="333">
        <v>81</v>
      </c>
      <c r="B101" s="385" t="s">
        <v>1727</v>
      </c>
      <c r="C101" s="384" t="s">
        <v>1728</v>
      </c>
      <c r="D101" s="385" t="s">
        <v>119</v>
      </c>
      <c r="E101" s="401">
        <v>5</v>
      </c>
      <c r="F101" s="406">
        <v>266.66666666666669</v>
      </c>
      <c r="G101" s="379">
        <v>800</v>
      </c>
      <c r="H101" s="379">
        <v>800</v>
      </c>
      <c r="I101" s="381">
        <v>0</v>
      </c>
      <c r="J101" s="358">
        <v>800</v>
      </c>
      <c r="K101" s="379">
        <v>700</v>
      </c>
      <c r="L101" s="380">
        <v>100</v>
      </c>
      <c r="M101" s="396" t="s">
        <v>1724</v>
      </c>
    </row>
    <row r="102" spans="1:13" ht="22.5" customHeight="1">
      <c r="A102" s="333">
        <v>82</v>
      </c>
      <c r="B102" s="385" t="s">
        <v>1729</v>
      </c>
      <c r="C102" s="384" t="s">
        <v>1730</v>
      </c>
      <c r="D102" s="385" t="s">
        <v>117</v>
      </c>
      <c r="E102" s="401">
        <v>5</v>
      </c>
      <c r="F102" s="385">
        <v>180</v>
      </c>
      <c r="G102" s="385">
        <v>900</v>
      </c>
      <c r="H102" s="385">
        <v>900</v>
      </c>
      <c r="I102" s="381">
        <v>0</v>
      </c>
      <c r="J102" s="358">
        <v>900</v>
      </c>
      <c r="K102" s="385">
        <v>850</v>
      </c>
      <c r="L102" s="380">
        <v>50</v>
      </c>
      <c r="M102" s="396" t="s">
        <v>1724</v>
      </c>
    </row>
    <row r="103" spans="1:13" ht="22.5" customHeight="1">
      <c r="A103" s="333">
        <v>83</v>
      </c>
      <c r="B103" s="385" t="s">
        <v>1731</v>
      </c>
      <c r="C103" s="384" t="s">
        <v>1732</v>
      </c>
      <c r="D103" s="385" t="s">
        <v>117</v>
      </c>
      <c r="E103" s="401">
        <v>5</v>
      </c>
      <c r="F103" s="385">
        <v>180</v>
      </c>
      <c r="G103" s="385">
        <v>900</v>
      </c>
      <c r="H103" s="385">
        <v>900</v>
      </c>
      <c r="I103" s="381">
        <v>0</v>
      </c>
      <c r="J103" s="358">
        <v>900</v>
      </c>
      <c r="K103" s="385">
        <v>850</v>
      </c>
      <c r="L103" s="380">
        <v>50</v>
      </c>
      <c r="M103" s="396" t="s">
        <v>1724</v>
      </c>
    </row>
    <row r="104" spans="1:13" ht="22.5" customHeight="1">
      <c r="A104" s="333">
        <v>84</v>
      </c>
      <c r="B104" s="385" t="s">
        <v>1733</v>
      </c>
      <c r="C104" s="384" t="s">
        <v>1734</v>
      </c>
      <c r="D104" s="333" t="s">
        <v>112</v>
      </c>
      <c r="E104" s="401">
        <v>5</v>
      </c>
      <c r="F104" s="406">
        <v>160</v>
      </c>
      <c r="G104" s="379">
        <v>800</v>
      </c>
      <c r="H104" s="385">
        <v>800</v>
      </c>
      <c r="I104" s="381">
        <v>0</v>
      </c>
      <c r="J104" s="358">
        <v>800</v>
      </c>
      <c r="K104" s="379">
        <v>700</v>
      </c>
      <c r="L104" s="380">
        <v>100</v>
      </c>
      <c r="M104" s="396" t="s">
        <v>1724</v>
      </c>
    </row>
    <row r="105" spans="1:13" ht="22.5" customHeight="1">
      <c r="A105" s="333">
        <v>85</v>
      </c>
      <c r="B105" s="385" t="s">
        <v>1735</v>
      </c>
      <c r="C105" s="384" t="s">
        <v>1736</v>
      </c>
      <c r="D105" s="333" t="s">
        <v>112</v>
      </c>
      <c r="E105" s="401">
        <v>6</v>
      </c>
      <c r="F105" s="379">
        <v>720</v>
      </c>
      <c r="G105" s="385">
        <v>4320</v>
      </c>
      <c r="H105" s="380">
        <v>2160</v>
      </c>
      <c r="I105" s="381">
        <v>0.2</v>
      </c>
      <c r="J105" s="358">
        <v>1728</v>
      </c>
      <c r="K105" s="379">
        <v>840</v>
      </c>
      <c r="L105" s="380">
        <v>888</v>
      </c>
      <c r="M105" s="396" t="s">
        <v>1565</v>
      </c>
    </row>
    <row r="106" spans="1:13" ht="22.5" customHeight="1">
      <c r="A106" s="333">
        <v>86</v>
      </c>
      <c r="B106" s="385" t="s">
        <v>1737</v>
      </c>
      <c r="C106" s="384" t="s">
        <v>1738</v>
      </c>
      <c r="D106" s="333" t="s">
        <v>112</v>
      </c>
      <c r="E106" s="401">
        <v>5.5</v>
      </c>
      <c r="F106" s="379">
        <v>720</v>
      </c>
      <c r="G106" s="385">
        <v>3960</v>
      </c>
      <c r="H106" s="379">
        <v>1980</v>
      </c>
      <c r="I106" s="381">
        <v>0.2</v>
      </c>
      <c r="J106" s="358">
        <v>1584</v>
      </c>
      <c r="K106" s="380">
        <v>770</v>
      </c>
      <c r="L106" s="380">
        <v>814</v>
      </c>
      <c r="M106" s="396" t="s">
        <v>1565</v>
      </c>
    </row>
    <row r="107" spans="1:13" ht="22.5" customHeight="1">
      <c r="A107" s="392"/>
      <c r="B107" s="392" t="s">
        <v>26</v>
      </c>
      <c r="C107" s="392">
        <f>COUNTA(C86:C106)</f>
        <v>21</v>
      </c>
      <c r="D107" s="392"/>
      <c r="E107" s="407">
        <f>SUM(E85:E106)</f>
        <v>106.8</v>
      </c>
      <c r="F107" s="392"/>
      <c r="G107" s="392"/>
      <c r="H107" s="392"/>
      <c r="I107" s="392"/>
      <c r="J107" s="392"/>
      <c r="K107" s="408">
        <f t="shared" ref="K107:L107" si="6">SUM(K86:K106)</f>
        <v>15636</v>
      </c>
      <c r="L107" s="950">
        <f t="shared" si="6"/>
        <v>11520</v>
      </c>
      <c r="M107" s="932"/>
    </row>
    <row r="108" spans="1:13" ht="13.2">
      <c r="A108" s="346"/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</row>
    <row r="109" spans="1:13" ht="13.2">
      <c r="A109" s="346"/>
      <c r="B109" s="346"/>
      <c r="C109" s="346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</row>
    <row r="110" spans="1:13" ht="13.2">
      <c r="A110" s="970" t="s">
        <v>1739</v>
      </c>
      <c r="B110" s="953"/>
      <c r="C110" s="953"/>
      <c r="D110" s="953"/>
      <c r="E110" s="953"/>
      <c r="F110" s="953"/>
      <c r="G110" s="953"/>
      <c r="H110" s="953"/>
      <c r="I110" s="953"/>
      <c r="J110" s="953"/>
      <c r="K110" s="953"/>
      <c r="L110" s="953"/>
      <c r="M110" s="941"/>
    </row>
    <row r="111" spans="1:13" ht="22.5" customHeight="1">
      <c r="A111" s="347" t="s">
        <v>165</v>
      </c>
      <c r="B111" s="348" t="s">
        <v>166</v>
      </c>
      <c r="C111" s="348" t="s">
        <v>1556</v>
      </c>
      <c r="D111" s="334" t="s">
        <v>168</v>
      </c>
      <c r="E111" s="334" t="s">
        <v>169</v>
      </c>
      <c r="F111" s="348" t="s">
        <v>1557</v>
      </c>
      <c r="G111" s="348" t="s">
        <v>1558</v>
      </c>
      <c r="H111" s="348" t="s">
        <v>1559</v>
      </c>
      <c r="I111" s="348" t="s">
        <v>1740</v>
      </c>
      <c r="J111" s="349" t="s">
        <v>1741</v>
      </c>
      <c r="K111" s="334" t="s">
        <v>1562</v>
      </c>
      <c r="L111" s="350" t="s">
        <v>1563</v>
      </c>
      <c r="M111" s="351" t="s">
        <v>177</v>
      </c>
    </row>
    <row r="112" spans="1:13" ht="22.5" customHeight="1">
      <c r="A112" s="409">
        <v>87</v>
      </c>
      <c r="B112" s="333" t="s">
        <v>1742</v>
      </c>
      <c r="C112" s="389" t="s">
        <v>1743</v>
      </c>
      <c r="D112" s="389" t="s">
        <v>112</v>
      </c>
      <c r="E112" s="355">
        <v>5.5</v>
      </c>
      <c r="F112" s="390">
        <v>720</v>
      </c>
      <c r="G112" s="390">
        <f t="shared" ref="G112:G144" si="7">E112*F112</f>
        <v>3960</v>
      </c>
      <c r="H112" s="390">
        <v>1980</v>
      </c>
      <c r="I112" s="381">
        <v>0.2</v>
      </c>
      <c r="J112" s="358">
        <f t="shared" ref="J112:J149" si="8">H112*(1-I112)</f>
        <v>1584</v>
      </c>
      <c r="K112" s="391">
        <v>522.5</v>
      </c>
      <c r="L112" s="356">
        <f t="shared" ref="L112:L149" si="9">J112-K112</f>
        <v>1061.5</v>
      </c>
      <c r="M112" s="360" t="s">
        <v>1565</v>
      </c>
    </row>
    <row r="113" spans="1:13" ht="22.5" customHeight="1">
      <c r="A113" s="409">
        <v>88</v>
      </c>
      <c r="B113" s="409" t="s">
        <v>1744</v>
      </c>
      <c r="C113" s="367" t="s">
        <v>1745</v>
      </c>
      <c r="D113" s="367" t="s">
        <v>113</v>
      </c>
      <c r="E113" s="363">
        <v>5</v>
      </c>
      <c r="F113" s="370">
        <v>720</v>
      </c>
      <c r="G113" s="390">
        <f t="shared" si="7"/>
        <v>3600</v>
      </c>
      <c r="H113" s="370">
        <v>1800</v>
      </c>
      <c r="I113" s="381">
        <v>0.2</v>
      </c>
      <c r="J113" s="358">
        <f t="shared" si="8"/>
        <v>1440</v>
      </c>
      <c r="K113" s="410">
        <v>400</v>
      </c>
      <c r="L113" s="356">
        <f t="shared" si="9"/>
        <v>1040</v>
      </c>
      <c r="M113" s="411" t="s">
        <v>1565</v>
      </c>
    </row>
    <row r="114" spans="1:13" ht="22.5" customHeight="1">
      <c r="A114" s="409">
        <v>89</v>
      </c>
      <c r="B114" s="409" t="s">
        <v>1746</v>
      </c>
      <c r="C114" s="367" t="s">
        <v>1747</v>
      </c>
      <c r="D114" s="367" t="s">
        <v>112</v>
      </c>
      <c r="E114" s="363">
        <v>6.5</v>
      </c>
      <c r="F114" s="370">
        <v>720</v>
      </c>
      <c r="G114" s="390">
        <f t="shared" si="7"/>
        <v>4680</v>
      </c>
      <c r="H114" s="370">
        <v>2340</v>
      </c>
      <c r="I114" s="381">
        <v>0.2</v>
      </c>
      <c r="J114" s="358">
        <f t="shared" si="8"/>
        <v>1872</v>
      </c>
      <c r="K114" s="410">
        <v>617.5</v>
      </c>
      <c r="L114" s="356">
        <f t="shared" si="9"/>
        <v>1254.5</v>
      </c>
      <c r="M114" s="411" t="s">
        <v>1565</v>
      </c>
    </row>
    <row r="115" spans="1:13" ht="22.5" customHeight="1">
      <c r="A115" s="409">
        <v>90</v>
      </c>
      <c r="B115" s="409" t="s">
        <v>1748</v>
      </c>
      <c r="C115" s="367" t="s">
        <v>1749</v>
      </c>
      <c r="D115" s="367" t="s">
        <v>113</v>
      </c>
      <c r="E115" s="363">
        <v>5</v>
      </c>
      <c r="F115" s="370">
        <v>720</v>
      </c>
      <c r="G115" s="390">
        <f t="shared" si="7"/>
        <v>3600</v>
      </c>
      <c r="H115" s="370">
        <v>1800</v>
      </c>
      <c r="I115" s="381">
        <v>0.2</v>
      </c>
      <c r="J115" s="358">
        <f t="shared" si="8"/>
        <v>1440</v>
      </c>
      <c r="K115" s="410">
        <v>400</v>
      </c>
      <c r="L115" s="356">
        <f t="shared" si="9"/>
        <v>1040</v>
      </c>
      <c r="M115" s="411" t="s">
        <v>1565</v>
      </c>
    </row>
    <row r="116" spans="1:13" ht="22.5" customHeight="1">
      <c r="A116" s="409">
        <v>91</v>
      </c>
      <c r="B116" s="409" t="s">
        <v>1750</v>
      </c>
      <c r="C116" s="367" t="s">
        <v>1751</v>
      </c>
      <c r="D116" s="367" t="s">
        <v>112</v>
      </c>
      <c r="E116" s="363">
        <v>5</v>
      </c>
      <c r="F116" s="370">
        <v>720</v>
      </c>
      <c r="G116" s="390">
        <f t="shared" si="7"/>
        <v>3600</v>
      </c>
      <c r="H116" s="370">
        <v>1800</v>
      </c>
      <c r="I116" s="381">
        <v>0.2</v>
      </c>
      <c r="J116" s="358">
        <f t="shared" si="8"/>
        <v>1440</v>
      </c>
      <c r="K116" s="410">
        <v>475</v>
      </c>
      <c r="L116" s="356">
        <f t="shared" si="9"/>
        <v>965</v>
      </c>
      <c r="M116" s="411" t="s">
        <v>1565</v>
      </c>
    </row>
    <row r="117" spans="1:13" ht="22.5" customHeight="1">
      <c r="A117" s="409">
        <v>92</v>
      </c>
      <c r="B117" s="409" t="s">
        <v>727</v>
      </c>
      <c r="C117" s="367" t="s">
        <v>728</v>
      </c>
      <c r="D117" s="367" t="s">
        <v>113</v>
      </c>
      <c r="E117" s="363">
        <v>5</v>
      </c>
      <c r="F117" s="370">
        <v>720</v>
      </c>
      <c r="G117" s="390">
        <f t="shared" si="7"/>
        <v>3600</v>
      </c>
      <c r="H117" s="370">
        <v>1800</v>
      </c>
      <c r="I117" s="381">
        <v>0.2</v>
      </c>
      <c r="J117" s="358">
        <f t="shared" si="8"/>
        <v>1440</v>
      </c>
      <c r="K117" s="410">
        <v>400</v>
      </c>
      <c r="L117" s="356">
        <f t="shared" si="9"/>
        <v>1040</v>
      </c>
      <c r="M117" s="411" t="s">
        <v>1565</v>
      </c>
    </row>
    <row r="118" spans="1:13" ht="22.5" customHeight="1">
      <c r="A118" s="409">
        <v>93</v>
      </c>
      <c r="B118" s="333" t="s">
        <v>1752</v>
      </c>
      <c r="C118" s="333" t="s">
        <v>1753</v>
      </c>
      <c r="D118" s="333" t="s">
        <v>112</v>
      </c>
      <c r="E118" s="401">
        <v>5</v>
      </c>
      <c r="F118" s="379">
        <v>720</v>
      </c>
      <c r="G118" s="390">
        <f t="shared" si="7"/>
        <v>3600</v>
      </c>
      <c r="H118" s="379">
        <v>1800</v>
      </c>
      <c r="I118" s="381">
        <v>0.2</v>
      </c>
      <c r="J118" s="358">
        <f t="shared" si="8"/>
        <v>1440</v>
      </c>
      <c r="K118" s="380">
        <v>700</v>
      </c>
      <c r="L118" s="356">
        <f t="shared" si="9"/>
        <v>740</v>
      </c>
      <c r="M118" s="411" t="s">
        <v>1565</v>
      </c>
    </row>
    <row r="119" spans="1:13" ht="22.5" customHeight="1">
      <c r="A119" s="409">
        <v>94</v>
      </c>
      <c r="B119" s="333" t="s">
        <v>1754</v>
      </c>
      <c r="C119" s="333" t="s">
        <v>1755</v>
      </c>
      <c r="D119" s="333" t="s">
        <v>112</v>
      </c>
      <c r="E119" s="401">
        <v>5</v>
      </c>
      <c r="F119" s="380">
        <v>720</v>
      </c>
      <c r="G119" s="390">
        <f t="shared" si="7"/>
        <v>3600</v>
      </c>
      <c r="H119" s="380">
        <v>1800</v>
      </c>
      <c r="I119" s="381">
        <v>0.2</v>
      </c>
      <c r="J119" s="358">
        <f t="shared" si="8"/>
        <v>1440</v>
      </c>
      <c r="K119" s="380">
        <v>550</v>
      </c>
      <c r="L119" s="356">
        <f t="shared" si="9"/>
        <v>890</v>
      </c>
      <c r="M119" s="411" t="s">
        <v>1565</v>
      </c>
    </row>
    <row r="120" spans="1:13" ht="22.5" customHeight="1">
      <c r="A120" s="409">
        <v>95</v>
      </c>
      <c r="B120" s="333" t="s">
        <v>1756</v>
      </c>
      <c r="C120" s="352" t="s">
        <v>1757</v>
      </c>
      <c r="D120" s="352" t="s">
        <v>112</v>
      </c>
      <c r="E120" s="378">
        <v>6.6</v>
      </c>
      <c r="F120" s="380">
        <v>720</v>
      </c>
      <c r="G120" s="390">
        <f t="shared" si="7"/>
        <v>4752</v>
      </c>
      <c r="H120" s="380">
        <v>2376</v>
      </c>
      <c r="I120" s="381">
        <v>0.2</v>
      </c>
      <c r="J120" s="358">
        <f t="shared" si="8"/>
        <v>1900.8000000000002</v>
      </c>
      <c r="K120" s="358">
        <v>825</v>
      </c>
      <c r="L120" s="356">
        <f t="shared" si="9"/>
        <v>1075.8000000000002</v>
      </c>
      <c r="M120" s="411" t="s">
        <v>1565</v>
      </c>
    </row>
    <row r="121" spans="1:13" ht="22.5" customHeight="1">
      <c r="A121" s="409">
        <v>96</v>
      </c>
      <c r="B121" s="333" t="s">
        <v>560</v>
      </c>
      <c r="C121" s="352" t="s">
        <v>561</v>
      </c>
      <c r="D121" s="352" t="s">
        <v>113</v>
      </c>
      <c r="E121" s="378">
        <v>2.5</v>
      </c>
      <c r="F121" s="380">
        <v>720</v>
      </c>
      <c r="G121" s="390">
        <f t="shared" si="7"/>
        <v>1800</v>
      </c>
      <c r="H121" s="380">
        <v>900</v>
      </c>
      <c r="I121" s="381">
        <v>0.2</v>
      </c>
      <c r="J121" s="358">
        <f t="shared" si="8"/>
        <v>720</v>
      </c>
      <c r="K121" s="358">
        <v>250</v>
      </c>
      <c r="L121" s="356">
        <f t="shared" si="9"/>
        <v>470</v>
      </c>
      <c r="M121" s="411" t="s">
        <v>1565</v>
      </c>
    </row>
    <row r="122" spans="1:13" ht="22.5" customHeight="1">
      <c r="A122" s="409">
        <v>97</v>
      </c>
      <c r="B122" s="333" t="s">
        <v>1758</v>
      </c>
      <c r="C122" s="352" t="s">
        <v>1759</v>
      </c>
      <c r="D122" s="352" t="s">
        <v>112</v>
      </c>
      <c r="E122" s="378">
        <v>4.7</v>
      </c>
      <c r="F122" s="380">
        <v>720</v>
      </c>
      <c r="G122" s="390">
        <f t="shared" si="7"/>
        <v>3384</v>
      </c>
      <c r="H122" s="380">
        <v>1692</v>
      </c>
      <c r="I122" s="381">
        <v>0.2</v>
      </c>
      <c r="J122" s="358">
        <f t="shared" si="8"/>
        <v>1353.6000000000001</v>
      </c>
      <c r="K122" s="358">
        <v>517</v>
      </c>
      <c r="L122" s="356">
        <f t="shared" si="9"/>
        <v>836.60000000000014</v>
      </c>
      <c r="M122" s="411" t="s">
        <v>1565</v>
      </c>
    </row>
    <row r="123" spans="1:13" ht="22.5" customHeight="1">
      <c r="A123" s="409">
        <v>98</v>
      </c>
      <c r="B123" s="333" t="s">
        <v>1760</v>
      </c>
      <c r="C123" s="352" t="s">
        <v>1761</v>
      </c>
      <c r="D123" s="352" t="s">
        <v>113</v>
      </c>
      <c r="E123" s="378">
        <v>5</v>
      </c>
      <c r="F123" s="379">
        <v>144</v>
      </c>
      <c r="G123" s="390">
        <f t="shared" si="7"/>
        <v>720</v>
      </c>
      <c r="H123" s="379">
        <v>720</v>
      </c>
      <c r="I123" s="381">
        <v>0</v>
      </c>
      <c r="J123" s="358">
        <f t="shared" si="8"/>
        <v>720</v>
      </c>
      <c r="K123" s="358">
        <v>400</v>
      </c>
      <c r="L123" s="356">
        <f t="shared" si="9"/>
        <v>320</v>
      </c>
      <c r="M123" s="383" t="s">
        <v>1636</v>
      </c>
    </row>
    <row r="124" spans="1:13" ht="22.5" customHeight="1">
      <c r="A124" s="409">
        <v>99</v>
      </c>
      <c r="B124" s="409" t="s">
        <v>1762</v>
      </c>
      <c r="C124" s="367" t="s">
        <v>1763</v>
      </c>
      <c r="D124" s="367" t="s">
        <v>113</v>
      </c>
      <c r="E124" s="363">
        <v>5</v>
      </c>
      <c r="F124" s="370">
        <v>144</v>
      </c>
      <c r="G124" s="390">
        <f t="shared" si="7"/>
        <v>720</v>
      </c>
      <c r="H124" s="370">
        <v>720</v>
      </c>
      <c r="I124" s="381">
        <v>0</v>
      </c>
      <c r="J124" s="358">
        <f t="shared" si="8"/>
        <v>720</v>
      </c>
      <c r="K124" s="410">
        <v>400</v>
      </c>
      <c r="L124" s="356">
        <f t="shared" si="9"/>
        <v>320</v>
      </c>
      <c r="M124" s="383" t="s">
        <v>1636</v>
      </c>
    </row>
    <row r="125" spans="1:13" ht="22.5" customHeight="1">
      <c r="A125" s="409">
        <v>100</v>
      </c>
      <c r="B125" s="333" t="s">
        <v>1764</v>
      </c>
      <c r="C125" s="389" t="s">
        <v>1765</v>
      </c>
      <c r="D125" s="389" t="s">
        <v>112</v>
      </c>
      <c r="E125" s="355">
        <v>5</v>
      </c>
      <c r="F125" s="390">
        <v>192</v>
      </c>
      <c r="G125" s="390">
        <f t="shared" si="7"/>
        <v>960</v>
      </c>
      <c r="H125" s="370">
        <v>960</v>
      </c>
      <c r="I125" s="381">
        <v>0</v>
      </c>
      <c r="J125" s="358">
        <f t="shared" si="8"/>
        <v>960</v>
      </c>
      <c r="K125" s="410">
        <v>475</v>
      </c>
      <c r="L125" s="356">
        <f t="shared" si="9"/>
        <v>485</v>
      </c>
      <c r="M125" s="383" t="s">
        <v>1636</v>
      </c>
    </row>
    <row r="126" spans="1:13" ht="22.5" customHeight="1">
      <c r="A126" s="409">
        <v>101</v>
      </c>
      <c r="B126" s="409" t="s">
        <v>1766</v>
      </c>
      <c r="C126" s="367" t="s">
        <v>1767</v>
      </c>
      <c r="D126" s="367" t="s">
        <v>112</v>
      </c>
      <c r="E126" s="363">
        <v>5.5</v>
      </c>
      <c r="F126" s="370">
        <v>192</v>
      </c>
      <c r="G126" s="390">
        <f t="shared" si="7"/>
        <v>1056</v>
      </c>
      <c r="H126" s="372">
        <v>1056</v>
      </c>
      <c r="I126" s="381">
        <v>0</v>
      </c>
      <c r="J126" s="358">
        <f t="shared" si="8"/>
        <v>1056</v>
      </c>
      <c r="K126" s="410">
        <v>880</v>
      </c>
      <c r="L126" s="356">
        <f t="shared" si="9"/>
        <v>176</v>
      </c>
      <c r="M126" s="383" t="s">
        <v>1636</v>
      </c>
    </row>
    <row r="127" spans="1:13" ht="22.5" customHeight="1">
      <c r="A127" s="409">
        <v>102</v>
      </c>
      <c r="B127" s="409" t="s">
        <v>1768</v>
      </c>
      <c r="C127" s="367" t="s">
        <v>1769</v>
      </c>
      <c r="D127" s="367" t="s">
        <v>113</v>
      </c>
      <c r="E127" s="363">
        <v>5</v>
      </c>
      <c r="F127" s="370">
        <v>144</v>
      </c>
      <c r="G127" s="390">
        <f t="shared" si="7"/>
        <v>720</v>
      </c>
      <c r="H127" s="372">
        <v>720</v>
      </c>
      <c r="I127" s="381">
        <v>0</v>
      </c>
      <c r="J127" s="358">
        <f t="shared" si="8"/>
        <v>720</v>
      </c>
      <c r="K127" s="410">
        <v>550</v>
      </c>
      <c r="L127" s="356">
        <f t="shared" si="9"/>
        <v>170</v>
      </c>
      <c r="M127" s="383" t="s">
        <v>1636</v>
      </c>
    </row>
    <row r="128" spans="1:13" ht="22.5" customHeight="1">
      <c r="A128" s="409">
        <v>103</v>
      </c>
      <c r="B128" s="409" t="s">
        <v>1770</v>
      </c>
      <c r="C128" s="367" t="s">
        <v>1771</v>
      </c>
      <c r="D128" s="367" t="s">
        <v>113</v>
      </c>
      <c r="E128" s="363">
        <v>6</v>
      </c>
      <c r="F128" s="370">
        <v>144</v>
      </c>
      <c r="G128" s="390">
        <f t="shared" si="7"/>
        <v>864</v>
      </c>
      <c r="H128" s="372">
        <v>864</v>
      </c>
      <c r="I128" s="381">
        <v>0</v>
      </c>
      <c r="J128" s="358">
        <f t="shared" si="8"/>
        <v>864</v>
      </c>
      <c r="K128" s="410">
        <v>660</v>
      </c>
      <c r="L128" s="356">
        <f t="shared" si="9"/>
        <v>204</v>
      </c>
      <c r="M128" s="383" t="s">
        <v>1636</v>
      </c>
    </row>
    <row r="129" spans="1:13" ht="22.5" customHeight="1">
      <c r="A129" s="409">
        <v>104</v>
      </c>
      <c r="B129" s="409" t="s">
        <v>1772</v>
      </c>
      <c r="C129" s="367" t="s">
        <v>1773</v>
      </c>
      <c r="D129" s="367" t="s">
        <v>113</v>
      </c>
      <c r="E129" s="363">
        <v>5</v>
      </c>
      <c r="F129" s="370">
        <v>144</v>
      </c>
      <c r="G129" s="390">
        <f t="shared" si="7"/>
        <v>720</v>
      </c>
      <c r="H129" s="372">
        <v>720</v>
      </c>
      <c r="I129" s="381">
        <v>0</v>
      </c>
      <c r="J129" s="358">
        <f t="shared" si="8"/>
        <v>720</v>
      </c>
      <c r="K129" s="410">
        <v>550</v>
      </c>
      <c r="L129" s="356">
        <f t="shared" si="9"/>
        <v>170</v>
      </c>
      <c r="M129" s="383" t="s">
        <v>1636</v>
      </c>
    </row>
    <row r="130" spans="1:13" ht="22.5" customHeight="1">
      <c r="A130" s="409">
        <v>105</v>
      </c>
      <c r="B130" s="409" t="s">
        <v>1774</v>
      </c>
      <c r="C130" s="367" t="s">
        <v>1775</v>
      </c>
      <c r="D130" s="367" t="s">
        <v>113</v>
      </c>
      <c r="E130" s="363">
        <v>4.7</v>
      </c>
      <c r="F130" s="370">
        <v>144</v>
      </c>
      <c r="G130" s="390">
        <f t="shared" si="7"/>
        <v>676.80000000000007</v>
      </c>
      <c r="H130" s="372">
        <v>676.80000000000007</v>
      </c>
      <c r="I130" s="381">
        <v>0</v>
      </c>
      <c r="J130" s="358">
        <f t="shared" si="8"/>
        <v>676.80000000000007</v>
      </c>
      <c r="K130" s="410">
        <v>470</v>
      </c>
      <c r="L130" s="356">
        <f t="shared" si="9"/>
        <v>206.80000000000007</v>
      </c>
      <c r="M130" s="383" t="s">
        <v>1636</v>
      </c>
    </row>
    <row r="131" spans="1:13" ht="22.5" customHeight="1">
      <c r="A131" s="409">
        <v>106</v>
      </c>
      <c r="B131" s="409" t="s">
        <v>1776</v>
      </c>
      <c r="C131" s="367" t="s">
        <v>618</v>
      </c>
      <c r="D131" s="368" t="s">
        <v>113</v>
      </c>
      <c r="E131" s="363">
        <v>5</v>
      </c>
      <c r="F131" s="370">
        <v>144</v>
      </c>
      <c r="G131" s="390">
        <f t="shared" si="7"/>
        <v>720</v>
      </c>
      <c r="H131" s="372">
        <v>720</v>
      </c>
      <c r="I131" s="381">
        <v>0</v>
      </c>
      <c r="J131" s="358">
        <f t="shared" si="8"/>
        <v>720</v>
      </c>
      <c r="K131" s="410">
        <v>550</v>
      </c>
      <c r="L131" s="356">
        <f t="shared" si="9"/>
        <v>170</v>
      </c>
      <c r="M131" s="383" t="s">
        <v>1636</v>
      </c>
    </row>
    <row r="132" spans="1:13" ht="22.5" customHeight="1">
      <c r="A132" s="409">
        <v>107</v>
      </c>
      <c r="B132" s="409" t="s">
        <v>1777</v>
      </c>
      <c r="C132" s="367" t="s">
        <v>1778</v>
      </c>
      <c r="D132" s="368" t="s">
        <v>114</v>
      </c>
      <c r="E132" s="363">
        <v>5</v>
      </c>
      <c r="F132" s="370">
        <v>150</v>
      </c>
      <c r="G132" s="390">
        <f t="shared" si="7"/>
        <v>750</v>
      </c>
      <c r="H132" s="372">
        <v>750</v>
      </c>
      <c r="I132" s="412">
        <v>0.1</v>
      </c>
      <c r="J132" s="358">
        <f t="shared" si="8"/>
        <v>675</v>
      </c>
      <c r="K132" s="410">
        <v>550</v>
      </c>
      <c r="L132" s="356">
        <f t="shared" si="9"/>
        <v>125</v>
      </c>
      <c r="M132" s="383" t="s">
        <v>1779</v>
      </c>
    </row>
    <row r="133" spans="1:13" ht="22.5" customHeight="1">
      <c r="A133" s="409">
        <v>108</v>
      </c>
      <c r="B133" s="409" t="s">
        <v>1780</v>
      </c>
      <c r="C133" s="368" t="s">
        <v>1781</v>
      </c>
      <c r="D133" s="368" t="s">
        <v>117</v>
      </c>
      <c r="E133" s="363">
        <v>5.4</v>
      </c>
      <c r="F133" s="364">
        <v>180</v>
      </c>
      <c r="G133" s="390">
        <f t="shared" si="7"/>
        <v>972.00000000000011</v>
      </c>
      <c r="H133" s="364">
        <v>900</v>
      </c>
      <c r="I133" s="413">
        <v>0</v>
      </c>
      <c r="J133" s="358">
        <f t="shared" si="8"/>
        <v>900</v>
      </c>
      <c r="K133" s="410">
        <v>669.6</v>
      </c>
      <c r="L133" s="356">
        <f t="shared" si="9"/>
        <v>230.39999999999998</v>
      </c>
      <c r="M133" s="383" t="s">
        <v>1724</v>
      </c>
    </row>
    <row r="134" spans="1:13" ht="22.5" customHeight="1">
      <c r="A134" s="409">
        <v>109</v>
      </c>
      <c r="B134" s="352" t="s">
        <v>1782</v>
      </c>
      <c r="C134" s="353" t="s">
        <v>1783</v>
      </c>
      <c r="D134" s="354" t="s">
        <v>117</v>
      </c>
      <c r="E134" s="414">
        <v>5</v>
      </c>
      <c r="F134" s="370">
        <v>180</v>
      </c>
      <c r="G134" s="390">
        <f t="shared" si="7"/>
        <v>900</v>
      </c>
      <c r="H134" s="380">
        <v>900</v>
      </c>
      <c r="I134" s="413">
        <v>0</v>
      </c>
      <c r="J134" s="358">
        <f t="shared" si="8"/>
        <v>900</v>
      </c>
      <c r="K134" s="410">
        <v>620</v>
      </c>
      <c r="L134" s="356">
        <f t="shared" si="9"/>
        <v>280</v>
      </c>
      <c r="M134" s="383" t="s">
        <v>1724</v>
      </c>
    </row>
    <row r="135" spans="1:13" ht="22.5" customHeight="1">
      <c r="A135" s="409">
        <v>110</v>
      </c>
      <c r="B135" s="361" t="s">
        <v>1782</v>
      </c>
      <c r="C135" s="362" t="s">
        <v>1784</v>
      </c>
      <c r="D135" s="366" t="s">
        <v>117</v>
      </c>
      <c r="E135" s="415">
        <v>5</v>
      </c>
      <c r="F135" s="370">
        <v>180</v>
      </c>
      <c r="G135" s="390">
        <f t="shared" si="7"/>
        <v>900</v>
      </c>
      <c r="H135" s="416">
        <v>900</v>
      </c>
      <c r="I135" s="413">
        <v>0</v>
      </c>
      <c r="J135" s="358">
        <f t="shared" si="8"/>
        <v>900</v>
      </c>
      <c r="K135" s="410">
        <v>620</v>
      </c>
      <c r="L135" s="356">
        <f t="shared" si="9"/>
        <v>280</v>
      </c>
      <c r="M135" s="383" t="s">
        <v>1724</v>
      </c>
    </row>
    <row r="136" spans="1:13" ht="22.5" customHeight="1">
      <c r="A136" s="409">
        <v>111</v>
      </c>
      <c r="B136" s="409" t="s">
        <v>623</v>
      </c>
      <c r="C136" s="367" t="s">
        <v>624</v>
      </c>
      <c r="D136" s="368" t="s">
        <v>112</v>
      </c>
      <c r="E136" s="363">
        <v>5.4</v>
      </c>
      <c r="F136" s="370">
        <v>148.14814814814815</v>
      </c>
      <c r="G136" s="390">
        <f t="shared" si="7"/>
        <v>800.00000000000011</v>
      </c>
      <c r="H136" s="364">
        <v>800</v>
      </c>
      <c r="I136" s="413">
        <v>0</v>
      </c>
      <c r="J136" s="358">
        <f t="shared" si="8"/>
        <v>800</v>
      </c>
      <c r="K136" s="410">
        <v>669.6</v>
      </c>
      <c r="L136" s="356">
        <f t="shared" si="9"/>
        <v>130.39999999999998</v>
      </c>
      <c r="M136" s="383" t="s">
        <v>1724</v>
      </c>
    </row>
    <row r="137" spans="1:13" ht="22.5" customHeight="1">
      <c r="A137" s="409">
        <v>112</v>
      </c>
      <c r="B137" s="409" t="s">
        <v>1785</v>
      </c>
      <c r="C137" s="368" t="s">
        <v>1786</v>
      </c>
      <c r="D137" s="368" t="s">
        <v>112</v>
      </c>
      <c r="E137" s="363">
        <v>5</v>
      </c>
      <c r="F137" s="370">
        <v>160</v>
      </c>
      <c r="G137" s="390">
        <f t="shared" si="7"/>
        <v>800</v>
      </c>
      <c r="H137" s="364">
        <v>800</v>
      </c>
      <c r="I137" s="413">
        <v>0</v>
      </c>
      <c r="J137" s="358">
        <f t="shared" si="8"/>
        <v>800</v>
      </c>
      <c r="K137" s="410">
        <v>620</v>
      </c>
      <c r="L137" s="356">
        <f t="shared" si="9"/>
        <v>180</v>
      </c>
      <c r="M137" s="383" t="s">
        <v>1724</v>
      </c>
    </row>
    <row r="138" spans="1:13" ht="22.5" customHeight="1">
      <c r="A138" s="409">
        <v>113</v>
      </c>
      <c r="B138" s="409" t="s">
        <v>1787</v>
      </c>
      <c r="C138" s="367" t="s">
        <v>1788</v>
      </c>
      <c r="D138" s="368" t="s">
        <v>112</v>
      </c>
      <c r="E138" s="363">
        <v>5</v>
      </c>
      <c r="F138" s="370">
        <v>160</v>
      </c>
      <c r="G138" s="390">
        <f t="shared" si="7"/>
        <v>800</v>
      </c>
      <c r="H138" s="364">
        <v>800</v>
      </c>
      <c r="I138" s="413">
        <v>0</v>
      </c>
      <c r="J138" s="358">
        <f t="shared" si="8"/>
        <v>800</v>
      </c>
      <c r="K138" s="410">
        <v>620</v>
      </c>
      <c r="L138" s="356">
        <f t="shared" si="9"/>
        <v>180</v>
      </c>
      <c r="M138" s="383" t="s">
        <v>1724</v>
      </c>
    </row>
    <row r="139" spans="1:13" ht="22.5" customHeight="1">
      <c r="A139" s="409">
        <v>114</v>
      </c>
      <c r="B139" s="333" t="s">
        <v>1789</v>
      </c>
      <c r="C139" s="353" t="s">
        <v>1790</v>
      </c>
      <c r="D139" s="354" t="s">
        <v>113</v>
      </c>
      <c r="E139" s="414">
        <v>5</v>
      </c>
      <c r="F139" s="370">
        <v>100</v>
      </c>
      <c r="G139" s="390">
        <f t="shared" si="7"/>
        <v>500</v>
      </c>
      <c r="H139" s="370">
        <v>500</v>
      </c>
      <c r="I139" s="413">
        <v>0</v>
      </c>
      <c r="J139" s="358">
        <f t="shared" si="8"/>
        <v>500</v>
      </c>
      <c r="K139" s="410">
        <v>375</v>
      </c>
      <c r="L139" s="356">
        <f t="shared" si="9"/>
        <v>125</v>
      </c>
      <c r="M139" s="383" t="s">
        <v>1724</v>
      </c>
    </row>
    <row r="140" spans="1:13" ht="22.5" customHeight="1">
      <c r="A140" s="409">
        <v>115</v>
      </c>
      <c r="B140" s="409" t="s">
        <v>1791</v>
      </c>
      <c r="C140" s="368" t="s">
        <v>1792</v>
      </c>
      <c r="D140" s="368" t="s">
        <v>113</v>
      </c>
      <c r="E140" s="363">
        <v>5.0999999999999996</v>
      </c>
      <c r="F140" s="370">
        <v>98.039215686274517</v>
      </c>
      <c r="G140" s="390">
        <f t="shared" si="7"/>
        <v>500</v>
      </c>
      <c r="H140" s="370">
        <v>500</v>
      </c>
      <c r="I140" s="413">
        <v>0</v>
      </c>
      <c r="J140" s="358">
        <f t="shared" si="8"/>
        <v>500</v>
      </c>
      <c r="K140" s="410">
        <v>375</v>
      </c>
      <c r="L140" s="356">
        <f t="shared" si="9"/>
        <v>125</v>
      </c>
      <c r="M140" s="383" t="s">
        <v>1724</v>
      </c>
    </row>
    <row r="141" spans="1:13" ht="22.5" customHeight="1">
      <c r="A141" s="409">
        <v>116</v>
      </c>
      <c r="B141" s="409" t="s">
        <v>1793</v>
      </c>
      <c r="C141" s="367" t="s">
        <v>1794</v>
      </c>
      <c r="D141" s="368" t="s">
        <v>117</v>
      </c>
      <c r="E141" s="363">
        <v>5.4</v>
      </c>
      <c r="F141" s="370">
        <v>166.66666666666666</v>
      </c>
      <c r="G141" s="390">
        <f t="shared" si="7"/>
        <v>900</v>
      </c>
      <c r="H141" s="370">
        <v>900</v>
      </c>
      <c r="I141" s="413">
        <v>0</v>
      </c>
      <c r="J141" s="358">
        <f t="shared" si="8"/>
        <v>900</v>
      </c>
      <c r="K141" s="410">
        <v>620</v>
      </c>
      <c r="L141" s="356">
        <f t="shared" si="9"/>
        <v>280</v>
      </c>
      <c r="M141" s="383" t="s">
        <v>1724</v>
      </c>
    </row>
    <row r="142" spans="1:13" ht="22.5" customHeight="1">
      <c r="A142" s="409">
        <v>117</v>
      </c>
      <c r="B142" s="409" t="s">
        <v>1795</v>
      </c>
      <c r="C142" s="367" t="s">
        <v>1796</v>
      </c>
      <c r="D142" s="368" t="s">
        <v>115</v>
      </c>
      <c r="E142" s="363">
        <v>5</v>
      </c>
      <c r="F142" s="370">
        <v>180</v>
      </c>
      <c r="G142" s="390">
        <f t="shared" si="7"/>
        <v>900</v>
      </c>
      <c r="H142" s="370">
        <v>900</v>
      </c>
      <c r="I142" s="413">
        <v>0</v>
      </c>
      <c r="J142" s="358">
        <f t="shared" si="8"/>
        <v>900</v>
      </c>
      <c r="K142" s="410">
        <v>620</v>
      </c>
      <c r="L142" s="356">
        <f t="shared" si="9"/>
        <v>280</v>
      </c>
      <c r="M142" s="383" t="s">
        <v>1724</v>
      </c>
    </row>
    <row r="143" spans="1:13" ht="22.5" customHeight="1">
      <c r="A143" s="409">
        <v>118</v>
      </c>
      <c r="B143" s="409" t="s">
        <v>1797</v>
      </c>
      <c r="C143" s="368" t="s">
        <v>1798</v>
      </c>
      <c r="D143" s="368" t="s">
        <v>117</v>
      </c>
      <c r="E143" s="363">
        <v>5.5</v>
      </c>
      <c r="F143" s="370">
        <v>163.63636363636363</v>
      </c>
      <c r="G143" s="390">
        <f t="shared" si="7"/>
        <v>900</v>
      </c>
      <c r="H143" s="370">
        <v>900</v>
      </c>
      <c r="I143" s="413">
        <v>0</v>
      </c>
      <c r="J143" s="358">
        <f t="shared" si="8"/>
        <v>900</v>
      </c>
      <c r="K143" s="410">
        <v>620</v>
      </c>
      <c r="L143" s="356">
        <f t="shared" si="9"/>
        <v>280</v>
      </c>
      <c r="M143" s="383" t="s">
        <v>1724</v>
      </c>
    </row>
    <row r="144" spans="1:13" ht="22.5" customHeight="1">
      <c r="A144" s="409">
        <v>119</v>
      </c>
      <c r="B144" s="409" t="s">
        <v>1799</v>
      </c>
      <c r="C144" s="367" t="s">
        <v>1800</v>
      </c>
      <c r="D144" s="368" t="s">
        <v>117</v>
      </c>
      <c r="E144" s="363">
        <v>5.4</v>
      </c>
      <c r="F144" s="370">
        <v>166.66666666666666</v>
      </c>
      <c r="G144" s="390">
        <f t="shared" si="7"/>
        <v>900</v>
      </c>
      <c r="H144" s="370">
        <v>900</v>
      </c>
      <c r="I144" s="413">
        <v>0</v>
      </c>
      <c r="J144" s="358">
        <f t="shared" si="8"/>
        <v>900</v>
      </c>
      <c r="K144" s="410">
        <v>700</v>
      </c>
      <c r="L144" s="356">
        <f t="shared" si="9"/>
        <v>200</v>
      </c>
      <c r="M144" s="383" t="s">
        <v>1724</v>
      </c>
    </row>
    <row r="145" spans="1:13" ht="22.5" customHeight="1">
      <c r="A145" s="409">
        <v>120</v>
      </c>
      <c r="B145" s="409" t="s">
        <v>1801</v>
      </c>
      <c r="C145" s="367" t="s">
        <v>1802</v>
      </c>
      <c r="D145" s="368" t="s">
        <v>113</v>
      </c>
      <c r="E145" s="363">
        <v>5</v>
      </c>
      <c r="F145" s="958" t="s">
        <v>1803</v>
      </c>
      <c r="G145" s="954"/>
      <c r="H145" s="943"/>
      <c r="I145" s="413">
        <v>0</v>
      </c>
      <c r="J145" s="405">
        <f t="shared" si="8"/>
        <v>0</v>
      </c>
      <c r="K145" s="417">
        <v>550</v>
      </c>
      <c r="L145" s="418">
        <f t="shared" si="9"/>
        <v>-550</v>
      </c>
      <c r="M145" s="383" t="s">
        <v>1724</v>
      </c>
    </row>
    <row r="146" spans="1:13" ht="22.5" customHeight="1">
      <c r="A146" s="409">
        <v>121</v>
      </c>
      <c r="B146" s="372" t="s">
        <v>1804</v>
      </c>
      <c r="C146" s="368" t="s">
        <v>1805</v>
      </c>
      <c r="D146" s="367" t="s">
        <v>112</v>
      </c>
      <c r="E146" s="363">
        <v>5</v>
      </c>
      <c r="F146" s="370">
        <v>720</v>
      </c>
      <c r="G146" s="364">
        <f t="shared" ref="G146:G149" si="10">E146*F146</f>
        <v>3600</v>
      </c>
      <c r="H146" s="364">
        <f t="shared" ref="H146:H149" si="11">G146/2</f>
        <v>1800</v>
      </c>
      <c r="I146" s="381">
        <v>0.2</v>
      </c>
      <c r="J146" s="358">
        <f t="shared" si="8"/>
        <v>1440</v>
      </c>
      <c r="K146" s="380">
        <v>550</v>
      </c>
      <c r="L146" s="356">
        <f t="shared" si="9"/>
        <v>890</v>
      </c>
      <c r="M146" s="383" t="s">
        <v>1565</v>
      </c>
    </row>
    <row r="147" spans="1:13" ht="22.5" customHeight="1">
      <c r="A147" s="409">
        <v>122</v>
      </c>
      <c r="B147" s="385" t="s">
        <v>1806</v>
      </c>
      <c r="C147" s="384" t="s">
        <v>1807</v>
      </c>
      <c r="D147" s="333" t="s">
        <v>112</v>
      </c>
      <c r="E147" s="401">
        <v>5.8</v>
      </c>
      <c r="F147" s="379">
        <v>720</v>
      </c>
      <c r="G147" s="364">
        <f t="shared" si="10"/>
        <v>4176</v>
      </c>
      <c r="H147" s="364">
        <f t="shared" si="11"/>
        <v>2088</v>
      </c>
      <c r="I147" s="381">
        <v>0.2</v>
      </c>
      <c r="J147" s="358">
        <f t="shared" si="8"/>
        <v>1670.4</v>
      </c>
      <c r="K147" s="380">
        <v>638</v>
      </c>
      <c r="L147" s="356">
        <f t="shared" si="9"/>
        <v>1032.4000000000001</v>
      </c>
      <c r="M147" s="383" t="s">
        <v>1565</v>
      </c>
    </row>
    <row r="148" spans="1:13" ht="22.5" customHeight="1">
      <c r="A148" s="409">
        <v>123</v>
      </c>
      <c r="B148" s="385" t="s">
        <v>1808</v>
      </c>
      <c r="C148" s="377" t="s">
        <v>1809</v>
      </c>
      <c r="D148" s="352" t="s">
        <v>113</v>
      </c>
      <c r="E148" s="378">
        <v>5.5</v>
      </c>
      <c r="F148" s="379">
        <v>720</v>
      </c>
      <c r="G148" s="364">
        <f t="shared" si="10"/>
        <v>3960</v>
      </c>
      <c r="H148" s="364">
        <f t="shared" si="11"/>
        <v>1980</v>
      </c>
      <c r="I148" s="381">
        <v>0.2</v>
      </c>
      <c r="J148" s="358">
        <f t="shared" si="8"/>
        <v>1584</v>
      </c>
      <c r="K148" s="380">
        <v>550</v>
      </c>
      <c r="L148" s="356">
        <f t="shared" si="9"/>
        <v>1034</v>
      </c>
      <c r="M148" s="383" t="s">
        <v>1565</v>
      </c>
    </row>
    <row r="149" spans="1:13" ht="22.5" customHeight="1">
      <c r="A149" s="409">
        <v>124</v>
      </c>
      <c r="B149" s="385" t="s">
        <v>1810</v>
      </c>
      <c r="C149" s="377" t="s">
        <v>1811</v>
      </c>
      <c r="D149" s="377" t="s">
        <v>112</v>
      </c>
      <c r="E149" s="378">
        <v>5.3</v>
      </c>
      <c r="F149" s="379">
        <v>720</v>
      </c>
      <c r="G149" s="364">
        <f t="shared" si="10"/>
        <v>3816</v>
      </c>
      <c r="H149" s="364">
        <f t="shared" si="11"/>
        <v>1908</v>
      </c>
      <c r="I149" s="381">
        <v>0.15</v>
      </c>
      <c r="J149" s="358">
        <f t="shared" si="8"/>
        <v>1621.8</v>
      </c>
      <c r="K149" s="380">
        <v>583</v>
      </c>
      <c r="L149" s="356">
        <f t="shared" si="9"/>
        <v>1038.8</v>
      </c>
      <c r="M149" s="383" t="s">
        <v>1565</v>
      </c>
    </row>
    <row r="150" spans="1:13" ht="22.5" customHeight="1">
      <c r="A150" s="409">
        <v>125</v>
      </c>
      <c r="B150" s="419" t="s">
        <v>1744</v>
      </c>
      <c r="C150" s="420" t="s">
        <v>1812</v>
      </c>
      <c r="D150" s="420" t="s">
        <v>113</v>
      </c>
      <c r="E150" s="355">
        <v>5</v>
      </c>
      <c r="F150" s="356">
        <v>220</v>
      </c>
      <c r="G150" s="364">
        <v>1100</v>
      </c>
      <c r="H150" s="364">
        <v>880</v>
      </c>
      <c r="I150" s="357">
        <v>0</v>
      </c>
      <c r="J150" s="391">
        <v>880</v>
      </c>
      <c r="K150" s="421">
        <v>550</v>
      </c>
      <c r="L150" s="356">
        <v>330</v>
      </c>
      <c r="M150" s="360" t="s">
        <v>1636</v>
      </c>
    </row>
    <row r="151" spans="1:13" ht="22.5" customHeight="1">
      <c r="A151" s="409">
        <v>126</v>
      </c>
      <c r="B151" s="419" t="s">
        <v>1813</v>
      </c>
      <c r="C151" s="422" t="s">
        <v>1814</v>
      </c>
      <c r="D151" s="420" t="s">
        <v>112</v>
      </c>
      <c r="E151" s="355">
        <v>5</v>
      </c>
      <c r="F151" s="390">
        <v>720</v>
      </c>
      <c r="G151" s="372">
        <v>3600</v>
      </c>
      <c r="H151" s="364">
        <v>1800</v>
      </c>
      <c r="I151" s="357">
        <v>0.2</v>
      </c>
      <c r="J151" s="391">
        <v>1440</v>
      </c>
      <c r="K151" s="423">
        <v>550</v>
      </c>
      <c r="L151" s="356">
        <v>890</v>
      </c>
      <c r="M151" s="383" t="s">
        <v>1565</v>
      </c>
    </row>
    <row r="152" spans="1:13" ht="22.5" customHeight="1">
      <c r="A152" s="409">
        <v>127</v>
      </c>
      <c r="B152" s="419" t="s">
        <v>1815</v>
      </c>
      <c r="C152" s="422" t="s">
        <v>1816</v>
      </c>
      <c r="D152" s="420" t="s">
        <v>112</v>
      </c>
      <c r="E152" s="355">
        <v>5.5</v>
      </c>
      <c r="F152" s="390">
        <v>720</v>
      </c>
      <c r="G152" s="372">
        <v>3960</v>
      </c>
      <c r="H152" s="364">
        <v>1980</v>
      </c>
      <c r="I152" s="357">
        <v>0.2</v>
      </c>
      <c r="J152" s="391">
        <v>1584</v>
      </c>
      <c r="K152" s="423">
        <v>605</v>
      </c>
      <c r="L152" s="356">
        <v>979</v>
      </c>
      <c r="M152" s="383" t="s">
        <v>1565</v>
      </c>
    </row>
    <row r="153" spans="1:13" ht="22.5" customHeight="1">
      <c r="A153" s="409">
        <v>128</v>
      </c>
      <c r="B153" s="419" t="s">
        <v>1817</v>
      </c>
      <c r="C153" s="422" t="s">
        <v>1818</v>
      </c>
      <c r="D153" s="420" t="s">
        <v>112</v>
      </c>
      <c r="E153" s="355">
        <v>5.9</v>
      </c>
      <c r="F153" s="390">
        <v>720</v>
      </c>
      <c r="G153" s="372">
        <v>4248</v>
      </c>
      <c r="H153" s="364">
        <v>2124</v>
      </c>
      <c r="I153" s="357">
        <v>0.2</v>
      </c>
      <c r="J153" s="391">
        <v>1699.2</v>
      </c>
      <c r="K153" s="423">
        <v>649</v>
      </c>
      <c r="L153" s="356">
        <v>1050.2</v>
      </c>
      <c r="M153" s="383" t="s">
        <v>1565</v>
      </c>
    </row>
    <row r="154" spans="1:13" ht="22.5" customHeight="1">
      <c r="A154" s="409">
        <v>129</v>
      </c>
      <c r="B154" s="419" t="s">
        <v>1819</v>
      </c>
      <c r="C154" s="422" t="s">
        <v>1820</v>
      </c>
      <c r="D154" s="420" t="s">
        <v>112</v>
      </c>
      <c r="E154" s="355">
        <v>6.3</v>
      </c>
      <c r="F154" s="390">
        <v>720</v>
      </c>
      <c r="G154" s="372">
        <v>4536</v>
      </c>
      <c r="H154" s="364">
        <v>2268</v>
      </c>
      <c r="I154" s="357">
        <v>0.2</v>
      </c>
      <c r="J154" s="391">
        <v>1814.4</v>
      </c>
      <c r="K154" s="424">
        <v>1121.4000000000001</v>
      </c>
      <c r="L154" s="390">
        <v>693</v>
      </c>
      <c r="M154" s="383" t="s">
        <v>1565</v>
      </c>
    </row>
    <row r="155" spans="1:13" ht="22.5" customHeight="1">
      <c r="A155" s="409">
        <v>130</v>
      </c>
      <c r="B155" s="419" t="s">
        <v>1821</v>
      </c>
      <c r="C155" s="422" t="s">
        <v>1822</v>
      </c>
      <c r="D155" s="420" t="s">
        <v>112</v>
      </c>
      <c r="E155" s="355">
        <v>5</v>
      </c>
      <c r="F155" s="390">
        <v>720</v>
      </c>
      <c r="G155" s="372">
        <v>3600</v>
      </c>
      <c r="H155" s="364">
        <v>1800</v>
      </c>
      <c r="I155" s="357">
        <v>0.2</v>
      </c>
      <c r="J155" s="391">
        <v>1440</v>
      </c>
      <c r="K155" s="424">
        <v>890</v>
      </c>
      <c r="L155" s="390">
        <v>550</v>
      </c>
      <c r="M155" s="383" t="s">
        <v>1565</v>
      </c>
    </row>
    <row r="156" spans="1:13" ht="22.5" customHeight="1">
      <c r="A156" s="409">
        <v>131</v>
      </c>
      <c r="B156" s="419" t="s">
        <v>1823</v>
      </c>
      <c r="C156" s="422" t="s">
        <v>1824</v>
      </c>
      <c r="D156" s="420" t="s">
        <v>112</v>
      </c>
      <c r="E156" s="355">
        <v>5.5</v>
      </c>
      <c r="F156" s="425">
        <v>400</v>
      </c>
      <c r="G156" s="370">
        <v>800</v>
      </c>
      <c r="H156" s="370">
        <v>800</v>
      </c>
      <c r="I156" s="357">
        <v>0</v>
      </c>
      <c r="J156" s="391">
        <v>800</v>
      </c>
      <c r="K156" s="423">
        <v>605</v>
      </c>
      <c r="L156" s="356">
        <v>195</v>
      </c>
      <c r="M156" s="360" t="s">
        <v>1724</v>
      </c>
    </row>
    <row r="157" spans="1:13" ht="22.5" customHeight="1">
      <c r="A157" s="409">
        <v>132</v>
      </c>
      <c r="B157" s="419" t="s">
        <v>1825</v>
      </c>
      <c r="C157" s="422" t="s">
        <v>1826</v>
      </c>
      <c r="D157" s="420" t="s">
        <v>117</v>
      </c>
      <c r="E157" s="355">
        <v>5.5</v>
      </c>
      <c r="F157" s="419">
        <v>163.63636363636363</v>
      </c>
      <c r="G157" s="372">
        <v>900</v>
      </c>
      <c r="H157" s="372">
        <v>900</v>
      </c>
      <c r="I157" s="357">
        <v>0</v>
      </c>
      <c r="J157" s="391">
        <v>900</v>
      </c>
      <c r="K157" s="421">
        <v>770</v>
      </c>
      <c r="L157" s="356">
        <v>130</v>
      </c>
      <c r="M157" s="360" t="s">
        <v>1724</v>
      </c>
    </row>
    <row r="158" spans="1:13" ht="22.5" customHeight="1">
      <c r="A158" s="409">
        <v>133</v>
      </c>
      <c r="B158" s="419" t="s">
        <v>1827</v>
      </c>
      <c r="C158" s="422" t="s">
        <v>1828</v>
      </c>
      <c r="D158" s="420" t="s">
        <v>112</v>
      </c>
      <c r="E158" s="355">
        <v>6.4</v>
      </c>
      <c r="F158" s="390">
        <v>720</v>
      </c>
      <c r="G158" s="372">
        <v>4608</v>
      </c>
      <c r="H158" s="364">
        <v>2304</v>
      </c>
      <c r="I158" s="357">
        <v>0.2</v>
      </c>
      <c r="J158" s="391">
        <v>1843.2</v>
      </c>
      <c r="K158" s="423">
        <v>704</v>
      </c>
      <c r="L158" s="356">
        <v>1139.2</v>
      </c>
      <c r="M158" s="360" t="s">
        <v>1565</v>
      </c>
    </row>
    <row r="159" spans="1:13" ht="22.5" customHeight="1">
      <c r="A159" s="409">
        <v>134</v>
      </c>
      <c r="B159" s="419" t="s">
        <v>1829</v>
      </c>
      <c r="C159" s="422" t="s">
        <v>1830</v>
      </c>
      <c r="D159" s="420" t="s">
        <v>115</v>
      </c>
      <c r="E159" s="355">
        <v>5</v>
      </c>
      <c r="F159" s="390">
        <v>800</v>
      </c>
      <c r="G159" s="372">
        <v>4000</v>
      </c>
      <c r="H159" s="364">
        <v>2000</v>
      </c>
      <c r="I159" s="357">
        <v>0.2</v>
      </c>
      <c r="J159" s="391">
        <v>1600</v>
      </c>
      <c r="K159" s="424">
        <v>550</v>
      </c>
      <c r="L159" s="356">
        <v>1050</v>
      </c>
      <c r="M159" s="360" t="s">
        <v>1565</v>
      </c>
    </row>
    <row r="160" spans="1:13" ht="22.5" customHeight="1">
      <c r="A160" s="409">
        <v>135</v>
      </c>
      <c r="B160" s="419" t="s">
        <v>1831</v>
      </c>
      <c r="C160" s="422" t="s">
        <v>1832</v>
      </c>
      <c r="D160" s="420" t="s">
        <v>112</v>
      </c>
      <c r="E160" s="355">
        <v>5</v>
      </c>
      <c r="F160" s="390">
        <v>720</v>
      </c>
      <c r="G160" s="372">
        <v>3600</v>
      </c>
      <c r="H160" s="370">
        <v>1800</v>
      </c>
      <c r="I160" s="357">
        <v>0.2</v>
      </c>
      <c r="J160" s="391">
        <v>1440</v>
      </c>
      <c r="K160" s="424">
        <v>550</v>
      </c>
      <c r="L160" s="356">
        <v>890</v>
      </c>
      <c r="M160" s="360" t="s">
        <v>1565</v>
      </c>
    </row>
    <row r="161" spans="1:13" ht="22.5" customHeight="1">
      <c r="A161" s="409">
        <v>136</v>
      </c>
      <c r="B161" s="419" t="s">
        <v>1833</v>
      </c>
      <c r="C161" s="420" t="s">
        <v>1834</v>
      </c>
      <c r="D161" s="420" t="s">
        <v>113</v>
      </c>
      <c r="E161" s="355">
        <v>5</v>
      </c>
      <c r="F161" s="356">
        <v>220</v>
      </c>
      <c r="G161" s="364">
        <v>1100</v>
      </c>
      <c r="H161" s="364">
        <v>880</v>
      </c>
      <c r="I161" s="357">
        <v>0</v>
      </c>
      <c r="J161" s="391">
        <v>880</v>
      </c>
      <c r="K161" s="421">
        <v>550</v>
      </c>
      <c r="L161" s="356">
        <v>330</v>
      </c>
      <c r="M161" s="360" t="s">
        <v>1636</v>
      </c>
    </row>
    <row r="162" spans="1:13" ht="22.5" customHeight="1">
      <c r="A162" s="409">
        <v>137</v>
      </c>
      <c r="B162" s="419" t="s">
        <v>1835</v>
      </c>
      <c r="C162" s="420" t="s">
        <v>1812</v>
      </c>
      <c r="D162" s="420" t="s">
        <v>113</v>
      </c>
      <c r="E162" s="355">
        <v>5</v>
      </c>
      <c r="F162" s="356">
        <v>220</v>
      </c>
      <c r="G162" s="364">
        <v>1100</v>
      </c>
      <c r="H162" s="364">
        <v>880</v>
      </c>
      <c r="I162" s="357">
        <v>0</v>
      </c>
      <c r="J162" s="391">
        <v>880</v>
      </c>
      <c r="K162" s="421">
        <v>550</v>
      </c>
      <c r="L162" s="356">
        <v>330</v>
      </c>
      <c r="M162" s="360" t="s">
        <v>1636</v>
      </c>
    </row>
    <row r="163" spans="1:13" ht="22.5" customHeight="1">
      <c r="A163" s="409">
        <v>138</v>
      </c>
      <c r="B163" s="419" t="s">
        <v>1836</v>
      </c>
      <c r="C163" s="420" t="s">
        <v>1837</v>
      </c>
      <c r="D163" s="420" t="s">
        <v>113</v>
      </c>
      <c r="E163" s="355">
        <v>6</v>
      </c>
      <c r="F163" s="356">
        <v>220</v>
      </c>
      <c r="G163" s="364">
        <v>1320</v>
      </c>
      <c r="H163" s="364">
        <v>1056</v>
      </c>
      <c r="I163" s="357">
        <v>0</v>
      </c>
      <c r="J163" s="391">
        <v>1056</v>
      </c>
      <c r="K163" s="421">
        <v>660</v>
      </c>
      <c r="L163" s="356">
        <v>396</v>
      </c>
      <c r="M163" s="360" t="s">
        <v>1636</v>
      </c>
    </row>
    <row r="164" spans="1:13" ht="22.5" customHeight="1">
      <c r="A164" s="409">
        <v>139</v>
      </c>
      <c r="B164" s="419" t="s">
        <v>1838</v>
      </c>
      <c r="C164" s="420" t="s">
        <v>1839</v>
      </c>
      <c r="D164" s="420" t="s">
        <v>113</v>
      </c>
      <c r="E164" s="355">
        <v>5.5</v>
      </c>
      <c r="F164" s="356">
        <v>220</v>
      </c>
      <c r="G164" s="364">
        <v>1210</v>
      </c>
      <c r="H164" s="364">
        <v>968</v>
      </c>
      <c r="I164" s="357">
        <v>0</v>
      </c>
      <c r="J164" s="391">
        <v>968</v>
      </c>
      <c r="K164" s="421">
        <v>605</v>
      </c>
      <c r="L164" s="356">
        <v>363</v>
      </c>
      <c r="M164" s="360" t="s">
        <v>1636</v>
      </c>
    </row>
    <row r="165" spans="1:13" ht="22.5" customHeight="1">
      <c r="A165" s="409">
        <v>140</v>
      </c>
      <c r="B165" s="419" t="s">
        <v>1840</v>
      </c>
      <c r="C165" s="420" t="s">
        <v>1841</v>
      </c>
      <c r="D165" s="420" t="s">
        <v>113</v>
      </c>
      <c r="E165" s="355">
        <v>4.5</v>
      </c>
      <c r="F165" s="356">
        <v>220</v>
      </c>
      <c r="G165" s="364">
        <v>990</v>
      </c>
      <c r="H165" s="364">
        <v>792</v>
      </c>
      <c r="I165" s="357">
        <v>0</v>
      </c>
      <c r="J165" s="391">
        <v>792</v>
      </c>
      <c r="K165" s="421">
        <v>495</v>
      </c>
      <c r="L165" s="356">
        <v>297</v>
      </c>
      <c r="M165" s="360" t="s">
        <v>1636</v>
      </c>
    </row>
    <row r="166" spans="1:13" ht="22.5" customHeight="1">
      <c r="A166" s="409">
        <v>141</v>
      </c>
      <c r="B166" s="419" t="s">
        <v>1842</v>
      </c>
      <c r="C166" s="420" t="s">
        <v>1843</v>
      </c>
      <c r="D166" s="420" t="s">
        <v>113</v>
      </c>
      <c r="E166" s="355">
        <v>5</v>
      </c>
      <c r="F166" s="390">
        <v>220</v>
      </c>
      <c r="G166" s="370">
        <v>1100</v>
      </c>
      <c r="H166" s="370">
        <v>880</v>
      </c>
      <c r="I166" s="357">
        <v>0</v>
      </c>
      <c r="J166" s="426">
        <v>880</v>
      </c>
      <c r="K166" s="421">
        <v>500</v>
      </c>
      <c r="L166" s="427">
        <v>380</v>
      </c>
      <c r="M166" s="360" t="s">
        <v>1636</v>
      </c>
    </row>
    <row r="167" spans="1:13" ht="22.5" customHeight="1">
      <c r="A167" s="409">
        <v>142</v>
      </c>
      <c r="B167" s="419" t="s">
        <v>1844</v>
      </c>
      <c r="C167" s="420" t="s">
        <v>1845</v>
      </c>
      <c r="D167" s="420" t="s">
        <v>113</v>
      </c>
      <c r="E167" s="355">
        <v>5</v>
      </c>
      <c r="F167" s="390">
        <v>220</v>
      </c>
      <c r="G167" s="370">
        <v>1100</v>
      </c>
      <c r="H167" s="370">
        <v>880</v>
      </c>
      <c r="I167" s="357">
        <v>0</v>
      </c>
      <c r="J167" s="426">
        <v>880</v>
      </c>
      <c r="K167" s="421">
        <v>500</v>
      </c>
      <c r="L167" s="427">
        <v>380</v>
      </c>
      <c r="M167" s="360" t="s">
        <v>1636</v>
      </c>
    </row>
    <row r="168" spans="1:13" ht="22.5" customHeight="1">
      <c r="A168" s="409">
        <v>143</v>
      </c>
      <c r="B168" s="419" t="s">
        <v>1846</v>
      </c>
      <c r="C168" s="420" t="s">
        <v>1847</v>
      </c>
      <c r="D168" s="420" t="s">
        <v>113</v>
      </c>
      <c r="E168" s="355">
        <v>5</v>
      </c>
      <c r="F168" s="390">
        <v>220</v>
      </c>
      <c r="G168" s="370">
        <v>1100</v>
      </c>
      <c r="H168" s="370">
        <v>880</v>
      </c>
      <c r="I168" s="357">
        <v>0</v>
      </c>
      <c r="J168" s="426">
        <v>880</v>
      </c>
      <c r="K168" s="421">
        <v>500</v>
      </c>
      <c r="L168" s="427">
        <v>380</v>
      </c>
      <c r="M168" s="360" t="s">
        <v>1636</v>
      </c>
    </row>
    <row r="169" spans="1:13" ht="22.5" customHeight="1">
      <c r="A169" s="409">
        <v>144</v>
      </c>
      <c r="B169" s="419" t="s">
        <v>1848</v>
      </c>
      <c r="C169" s="420" t="s">
        <v>1849</v>
      </c>
      <c r="D169" s="420" t="s">
        <v>113</v>
      </c>
      <c r="E169" s="355">
        <v>5</v>
      </c>
      <c r="F169" s="390">
        <v>220</v>
      </c>
      <c r="G169" s="370">
        <v>1100</v>
      </c>
      <c r="H169" s="370">
        <v>880</v>
      </c>
      <c r="I169" s="357">
        <v>0</v>
      </c>
      <c r="J169" s="426">
        <v>880</v>
      </c>
      <c r="K169" s="421">
        <v>550</v>
      </c>
      <c r="L169" s="427">
        <v>330</v>
      </c>
      <c r="M169" s="360" t="s">
        <v>1636</v>
      </c>
    </row>
    <row r="170" spans="1:13" ht="22.5" customHeight="1">
      <c r="A170" s="409">
        <v>145</v>
      </c>
      <c r="B170" s="419" t="s">
        <v>1850</v>
      </c>
      <c r="C170" s="422" t="s">
        <v>1851</v>
      </c>
      <c r="D170" s="420" t="s">
        <v>113</v>
      </c>
      <c r="E170" s="355">
        <v>5</v>
      </c>
      <c r="F170" s="390">
        <v>220</v>
      </c>
      <c r="G170" s="370">
        <v>1100</v>
      </c>
      <c r="H170" s="370">
        <v>880</v>
      </c>
      <c r="I170" s="357">
        <v>0</v>
      </c>
      <c r="J170" s="426">
        <v>880</v>
      </c>
      <c r="K170" s="421">
        <v>550</v>
      </c>
      <c r="L170" s="427">
        <v>330</v>
      </c>
      <c r="M170" s="360" t="s">
        <v>1636</v>
      </c>
    </row>
    <row r="171" spans="1:13" ht="22.5" customHeight="1">
      <c r="A171" s="392"/>
      <c r="B171" s="393" t="s">
        <v>26</v>
      </c>
      <c r="C171" s="393">
        <f>COUNTA(C112:C170)</f>
        <v>59</v>
      </c>
      <c r="D171" s="428"/>
      <c r="E171" s="394">
        <f>SUM(E112:E170)</f>
        <v>306.90000000000009</v>
      </c>
      <c r="F171" s="393"/>
      <c r="G171" s="393"/>
      <c r="H171" s="393"/>
      <c r="I171" s="393"/>
      <c r="J171" s="393"/>
      <c r="K171" s="429">
        <f t="shared" ref="K171:L171" si="12">SUM(K112:K170)</f>
        <v>34146.600000000006</v>
      </c>
      <c r="L171" s="948">
        <f t="shared" si="12"/>
        <v>30188.6</v>
      </c>
      <c r="M171" s="932"/>
    </row>
    <row r="172" spans="1:13" ht="13.2">
      <c r="A172" s="346"/>
      <c r="B172" s="346"/>
      <c r="C172" s="346"/>
      <c r="D172" s="346"/>
      <c r="E172" s="346"/>
      <c r="F172" s="346"/>
      <c r="G172" s="346"/>
      <c r="H172" s="346"/>
      <c r="I172" s="346"/>
      <c r="J172" s="346"/>
      <c r="K172" s="346"/>
      <c r="L172" s="346"/>
      <c r="M172" s="346"/>
    </row>
    <row r="173" spans="1:13" ht="13.2">
      <c r="A173" s="346"/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</row>
    <row r="174" spans="1:13" ht="13.2">
      <c r="A174" s="346"/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</row>
    <row r="175" spans="1:13" ht="13.2">
      <c r="A175" s="952" t="s">
        <v>1852</v>
      </c>
      <c r="B175" s="953"/>
      <c r="C175" s="953"/>
      <c r="D175" s="953"/>
      <c r="E175" s="953"/>
      <c r="F175" s="953"/>
      <c r="G175" s="953"/>
      <c r="H175" s="953"/>
      <c r="I175" s="953"/>
      <c r="J175" s="953"/>
      <c r="K175" s="953"/>
      <c r="L175" s="953"/>
      <c r="M175" s="941"/>
    </row>
    <row r="176" spans="1:13" ht="22.5" customHeight="1">
      <c r="A176" s="347" t="s">
        <v>165</v>
      </c>
      <c r="B176" s="348" t="s">
        <v>166</v>
      </c>
      <c r="C176" s="348" t="s">
        <v>1556</v>
      </c>
      <c r="D176" s="334" t="s">
        <v>168</v>
      </c>
      <c r="E176" s="334" t="s">
        <v>169</v>
      </c>
      <c r="F176" s="348" t="s">
        <v>1557</v>
      </c>
      <c r="G176" s="348" t="s">
        <v>1558</v>
      </c>
      <c r="H176" s="348" t="s">
        <v>1559</v>
      </c>
      <c r="I176" s="348" t="s">
        <v>1560</v>
      </c>
      <c r="J176" s="349" t="s">
        <v>1697</v>
      </c>
      <c r="K176" s="334" t="s">
        <v>1562</v>
      </c>
      <c r="L176" s="350" t="s">
        <v>1563</v>
      </c>
      <c r="M176" s="351" t="s">
        <v>177</v>
      </c>
    </row>
    <row r="177" spans="1:13" ht="22.5" customHeight="1">
      <c r="A177" s="333">
        <v>146</v>
      </c>
      <c r="B177" s="333" t="s">
        <v>1853</v>
      </c>
      <c r="C177" s="384" t="s">
        <v>1854</v>
      </c>
      <c r="D177" s="333" t="s">
        <v>112</v>
      </c>
      <c r="E177" s="401">
        <v>5</v>
      </c>
      <c r="F177" s="380">
        <v>720</v>
      </c>
      <c r="G177" s="380">
        <f t="shared" ref="G177:G220" si="13">F177*E177</f>
        <v>3600</v>
      </c>
      <c r="H177" s="380">
        <f>G177/2</f>
        <v>1800</v>
      </c>
      <c r="I177" s="381">
        <v>0.2</v>
      </c>
      <c r="J177" s="358">
        <f t="shared" ref="J177:J220" si="14">H177*(1-I177)</f>
        <v>1440</v>
      </c>
      <c r="K177" s="380">
        <v>575</v>
      </c>
      <c r="L177" s="380">
        <f t="shared" ref="L177:L220" si="15">J177-K177</f>
        <v>865</v>
      </c>
      <c r="M177" s="396" t="s">
        <v>1565</v>
      </c>
    </row>
    <row r="178" spans="1:13" ht="22.5" customHeight="1">
      <c r="A178" s="333">
        <v>147</v>
      </c>
      <c r="B178" s="333" t="s">
        <v>1782</v>
      </c>
      <c r="C178" s="384" t="s">
        <v>1855</v>
      </c>
      <c r="D178" s="333" t="s">
        <v>117</v>
      </c>
      <c r="E178" s="401">
        <v>5</v>
      </c>
      <c r="F178" s="380">
        <v>800</v>
      </c>
      <c r="G178" s="380">
        <f t="shared" si="13"/>
        <v>4000</v>
      </c>
      <c r="H178" s="380">
        <v>2000</v>
      </c>
      <c r="I178" s="381">
        <v>0.2</v>
      </c>
      <c r="J178" s="358">
        <f t="shared" si="14"/>
        <v>1600</v>
      </c>
      <c r="K178" s="380">
        <v>850</v>
      </c>
      <c r="L178" s="380">
        <f t="shared" si="15"/>
        <v>750</v>
      </c>
      <c r="M178" s="396" t="s">
        <v>1565</v>
      </c>
    </row>
    <row r="179" spans="1:13" ht="22.5" customHeight="1">
      <c r="A179" s="333">
        <v>148</v>
      </c>
      <c r="B179" s="333" t="s">
        <v>1853</v>
      </c>
      <c r="C179" s="384" t="s">
        <v>1856</v>
      </c>
      <c r="D179" s="333" t="s">
        <v>112</v>
      </c>
      <c r="E179" s="401">
        <v>5</v>
      </c>
      <c r="F179" s="380">
        <v>720</v>
      </c>
      <c r="G179" s="380">
        <f t="shared" si="13"/>
        <v>3600</v>
      </c>
      <c r="H179" s="380">
        <v>1800</v>
      </c>
      <c r="I179" s="381">
        <v>0.2</v>
      </c>
      <c r="J179" s="358">
        <f t="shared" si="14"/>
        <v>1440</v>
      </c>
      <c r="K179" s="380">
        <v>575</v>
      </c>
      <c r="L179" s="380">
        <f t="shared" si="15"/>
        <v>865</v>
      </c>
      <c r="M179" s="396" t="s">
        <v>1565</v>
      </c>
    </row>
    <row r="180" spans="1:13" ht="22.5" customHeight="1">
      <c r="A180" s="333">
        <v>149</v>
      </c>
      <c r="B180" s="333" t="s">
        <v>1782</v>
      </c>
      <c r="C180" s="384" t="s">
        <v>1857</v>
      </c>
      <c r="D180" s="333" t="s">
        <v>117</v>
      </c>
      <c r="E180" s="401">
        <v>5</v>
      </c>
      <c r="F180" s="380">
        <v>800</v>
      </c>
      <c r="G180" s="380">
        <f t="shared" si="13"/>
        <v>4000</v>
      </c>
      <c r="H180" s="380">
        <v>2000</v>
      </c>
      <c r="I180" s="381">
        <v>0.2</v>
      </c>
      <c r="J180" s="358">
        <f t="shared" si="14"/>
        <v>1600</v>
      </c>
      <c r="K180" s="380">
        <v>850</v>
      </c>
      <c r="L180" s="380">
        <f t="shared" si="15"/>
        <v>750</v>
      </c>
      <c r="M180" s="396" t="s">
        <v>1565</v>
      </c>
    </row>
    <row r="181" spans="1:13" ht="22.5" customHeight="1">
      <c r="A181" s="333">
        <v>150</v>
      </c>
      <c r="B181" s="333" t="s">
        <v>1853</v>
      </c>
      <c r="C181" s="384" t="s">
        <v>1858</v>
      </c>
      <c r="D181" s="333" t="s">
        <v>112</v>
      </c>
      <c r="E181" s="401">
        <v>5</v>
      </c>
      <c r="F181" s="380">
        <v>720</v>
      </c>
      <c r="G181" s="380">
        <f t="shared" si="13"/>
        <v>3600</v>
      </c>
      <c r="H181" s="380">
        <v>1800</v>
      </c>
      <c r="I181" s="381">
        <v>0.2</v>
      </c>
      <c r="J181" s="358">
        <f t="shared" si="14"/>
        <v>1440</v>
      </c>
      <c r="K181" s="380">
        <v>575</v>
      </c>
      <c r="L181" s="380">
        <f t="shared" si="15"/>
        <v>865</v>
      </c>
      <c r="M181" s="396" t="s">
        <v>1565</v>
      </c>
    </row>
    <row r="182" spans="1:13" ht="22.5" customHeight="1">
      <c r="A182" s="333">
        <v>151</v>
      </c>
      <c r="B182" s="333" t="s">
        <v>1782</v>
      </c>
      <c r="C182" s="384" t="s">
        <v>1859</v>
      </c>
      <c r="D182" s="333" t="s">
        <v>117</v>
      </c>
      <c r="E182" s="401">
        <v>5</v>
      </c>
      <c r="F182" s="380">
        <v>800</v>
      </c>
      <c r="G182" s="380">
        <f t="shared" si="13"/>
        <v>4000</v>
      </c>
      <c r="H182" s="380">
        <v>2000</v>
      </c>
      <c r="I182" s="381">
        <v>0.2</v>
      </c>
      <c r="J182" s="358">
        <f t="shared" si="14"/>
        <v>1600</v>
      </c>
      <c r="K182" s="380">
        <v>850</v>
      </c>
      <c r="L182" s="380">
        <f t="shared" si="15"/>
        <v>750</v>
      </c>
      <c r="M182" s="396" t="s">
        <v>1565</v>
      </c>
    </row>
    <row r="183" spans="1:13" ht="22.5" customHeight="1">
      <c r="A183" s="333">
        <v>152</v>
      </c>
      <c r="B183" s="333" t="s">
        <v>1860</v>
      </c>
      <c r="C183" s="384" t="s">
        <v>1861</v>
      </c>
      <c r="D183" s="333" t="s">
        <v>112</v>
      </c>
      <c r="E183" s="401">
        <v>5</v>
      </c>
      <c r="F183" s="380">
        <v>720</v>
      </c>
      <c r="G183" s="380">
        <f t="shared" si="13"/>
        <v>3600</v>
      </c>
      <c r="H183" s="380">
        <v>1800</v>
      </c>
      <c r="I183" s="381">
        <v>0.2</v>
      </c>
      <c r="J183" s="358">
        <f t="shared" si="14"/>
        <v>1440</v>
      </c>
      <c r="K183" s="380">
        <v>575</v>
      </c>
      <c r="L183" s="380">
        <f t="shared" si="15"/>
        <v>865</v>
      </c>
      <c r="M183" s="396" t="s">
        <v>1565</v>
      </c>
    </row>
    <row r="184" spans="1:13" ht="22.5" customHeight="1">
      <c r="A184" s="333">
        <v>153</v>
      </c>
      <c r="B184" s="333" t="s">
        <v>1862</v>
      </c>
      <c r="C184" s="384" t="s">
        <v>1863</v>
      </c>
      <c r="D184" s="333" t="s">
        <v>117</v>
      </c>
      <c r="E184" s="401">
        <v>5</v>
      </c>
      <c r="F184" s="380">
        <v>800</v>
      </c>
      <c r="G184" s="380">
        <f t="shared" si="13"/>
        <v>4000</v>
      </c>
      <c r="H184" s="380">
        <v>2000</v>
      </c>
      <c r="I184" s="381">
        <v>0.2</v>
      </c>
      <c r="J184" s="358">
        <f t="shared" si="14"/>
        <v>1600</v>
      </c>
      <c r="K184" s="380">
        <v>850</v>
      </c>
      <c r="L184" s="380">
        <f t="shared" si="15"/>
        <v>750</v>
      </c>
      <c r="M184" s="396" t="s">
        <v>1565</v>
      </c>
    </row>
    <row r="185" spans="1:13" ht="22.5" customHeight="1">
      <c r="A185" s="333">
        <v>154</v>
      </c>
      <c r="B185" s="333" t="s">
        <v>1864</v>
      </c>
      <c r="C185" s="384" t="s">
        <v>1865</v>
      </c>
      <c r="D185" s="333" t="s">
        <v>117</v>
      </c>
      <c r="E185" s="401">
        <v>5</v>
      </c>
      <c r="F185" s="380">
        <v>800</v>
      </c>
      <c r="G185" s="380">
        <f t="shared" si="13"/>
        <v>4000</v>
      </c>
      <c r="H185" s="380">
        <v>2000</v>
      </c>
      <c r="I185" s="381">
        <v>0.2</v>
      </c>
      <c r="J185" s="358">
        <f t="shared" si="14"/>
        <v>1600</v>
      </c>
      <c r="K185" s="380">
        <v>850</v>
      </c>
      <c r="L185" s="380">
        <f t="shared" si="15"/>
        <v>750</v>
      </c>
      <c r="M185" s="396" t="s">
        <v>1565</v>
      </c>
    </row>
    <row r="186" spans="1:13" ht="22.5" customHeight="1">
      <c r="A186" s="333">
        <v>155</v>
      </c>
      <c r="B186" s="333" t="s">
        <v>1866</v>
      </c>
      <c r="C186" s="384" t="s">
        <v>1867</v>
      </c>
      <c r="D186" s="333" t="s">
        <v>112</v>
      </c>
      <c r="E186" s="401">
        <v>5</v>
      </c>
      <c r="F186" s="380">
        <v>720</v>
      </c>
      <c r="G186" s="380">
        <f t="shared" si="13"/>
        <v>3600</v>
      </c>
      <c r="H186" s="380">
        <v>1800</v>
      </c>
      <c r="I186" s="381">
        <v>0.2</v>
      </c>
      <c r="J186" s="358">
        <f t="shared" si="14"/>
        <v>1440</v>
      </c>
      <c r="K186" s="380">
        <v>575</v>
      </c>
      <c r="L186" s="380">
        <f t="shared" si="15"/>
        <v>865</v>
      </c>
      <c r="M186" s="396" t="s">
        <v>1565</v>
      </c>
    </row>
    <row r="187" spans="1:13" ht="22.5" customHeight="1">
      <c r="A187" s="333">
        <v>156</v>
      </c>
      <c r="B187" s="333" t="s">
        <v>1868</v>
      </c>
      <c r="C187" s="384" t="s">
        <v>1869</v>
      </c>
      <c r="D187" s="333" t="s">
        <v>112</v>
      </c>
      <c r="E187" s="401">
        <v>5</v>
      </c>
      <c r="F187" s="380">
        <v>720</v>
      </c>
      <c r="G187" s="380">
        <f t="shared" si="13"/>
        <v>3600</v>
      </c>
      <c r="H187" s="380">
        <v>1800</v>
      </c>
      <c r="I187" s="381">
        <v>0.2</v>
      </c>
      <c r="J187" s="358">
        <f t="shared" si="14"/>
        <v>1440</v>
      </c>
      <c r="K187" s="380">
        <v>575</v>
      </c>
      <c r="L187" s="380">
        <f t="shared" si="15"/>
        <v>865</v>
      </c>
      <c r="M187" s="396" t="s">
        <v>1565</v>
      </c>
    </row>
    <row r="188" spans="1:13" ht="22.5" customHeight="1">
      <c r="A188" s="333">
        <v>157</v>
      </c>
      <c r="B188" s="333" t="s">
        <v>1870</v>
      </c>
      <c r="C188" s="384" t="s">
        <v>1871</v>
      </c>
      <c r="D188" s="333" t="s">
        <v>113</v>
      </c>
      <c r="E188" s="401">
        <v>5.9</v>
      </c>
      <c r="F188" s="380">
        <v>720</v>
      </c>
      <c r="G188" s="380">
        <f t="shared" si="13"/>
        <v>4248</v>
      </c>
      <c r="H188" s="380">
        <v>2124</v>
      </c>
      <c r="I188" s="381">
        <v>0.2</v>
      </c>
      <c r="J188" s="358">
        <f t="shared" si="14"/>
        <v>1699.2</v>
      </c>
      <c r="K188" s="380">
        <v>413</v>
      </c>
      <c r="L188" s="380">
        <f t="shared" si="15"/>
        <v>1286.2</v>
      </c>
      <c r="M188" s="396" t="s">
        <v>1565</v>
      </c>
    </row>
    <row r="189" spans="1:13" ht="22.5" customHeight="1">
      <c r="A189" s="333">
        <v>158</v>
      </c>
      <c r="B189" s="333" t="s">
        <v>1872</v>
      </c>
      <c r="C189" s="384" t="s">
        <v>1873</v>
      </c>
      <c r="D189" s="333" t="s">
        <v>112</v>
      </c>
      <c r="E189" s="401">
        <v>5</v>
      </c>
      <c r="F189" s="380">
        <v>720</v>
      </c>
      <c r="G189" s="380">
        <f t="shared" si="13"/>
        <v>3600</v>
      </c>
      <c r="H189" s="380">
        <v>1800</v>
      </c>
      <c r="I189" s="381">
        <v>0.2</v>
      </c>
      <c r="J189" s="358">
        <f t="shared" si="14"/>
        <v>1440</v>
      </c>
      <c r="K189" s="380">
        <v>575</v>
      </c>
      <c r="L189" s="380">
        <f t="shared" si="15"/>
        <v>865</v>
      </c>
      <c r="M189" s="396" t="s">
        <v>1565</v>
      </c>
    </row>
    <row r="190" spans="1:13" ht="22.5" customHeight="1">
      <c r="A190" s="333">
        <v>159</v>
      </c>
      <c r="B190" s="333" t="s">
        <v>1874</v>
      </c>
      <c r="C190" s="384" t="s">
        <v>1875</v>
      </c>
      <c r="D190" s="333" t="s">
        <v>117</v>
      </c>
      <c r="E190" s="401">
        <v>5</v>
      </c>
      <c r="F190" s="380">
        <v>720</v>
      </c>
      <c r="G190" s="380">
        <f t="shared" si="13"/>
        <v>3600</v>
      </c>
      <c r="H190" s="380">
        <v>1800</v>
      </c>
      <c r="I190" s="381">
        <v>0.2</v>
      </c>
      <c r="J190" s="358">
        <f t="shared" si="14"/>
        <v>1440</v>
      </c>
      <c r="K190" s="380">
        <v>850</v>
      </c>
      <c r="L190" s="380">
        <f t="shared" si="15"/>
        <v>590</v>
      </c>
      <c r="M190" s="396" t="s">
        <v>1565</v>
      </c>
    </row>
    <row r="191" spans="1:13" ht="22.5" customHeight="1">
      <c r="A191" s="333">
        <v>160</v>
      </c>
      <c r="B191" s="333" t="s">
        <v>1876</v>
      </c>
      <c r="C191" s="384" t="s">
        <v>1877</v>
      </c>
      <c r="D191" s="333" t="s">
        <v>112</v>
      </c>
      <c r="E191" s="401">
        <v>5</v>
      </c>
      <c r="F191" s="380">
        <v>720</v>
      </c>
      <c r="G191" s="380">
        <f t="shared" si="13"/>
        <v>3600</v>
      </c>
      <c r="H191" s="380">
        <v>1800</v>
      </c>
      <c r="I191" s="381">
        <v>0.2</v>
      </c>
      <c r="J191" s="358">
        <f t="shared" si="14"/>
        <v>1440</v>
      </c>
      <c r="K191" s="380">
        <v>575</v>
      </c>
      <c r="L191" s="380">
        <f t="shared" si="15"/>
        <v>865</v>
      </c>
      <c r="M191" s="396" t="s">
        <v>1565</v>
      </c>
    </row>
    <row r="192" spans="1:13" ht="22.5" customHeight="1">
      <c r="A192" s="333">
        <v>161</v>
      </c>
      <c r="B192" s="333" t="s">
        <v>1878</v>
      </c>
      <c r="C192" s="384" t="s">
        <v>1873</v>
      </c>
      <c r="D192" s="333" t="s">
        <v>112</v>
      </c>
      <c r="E192" s="401">
        <v>5</v>
      </c>
      <c r="F192" s="380">
        <v>720</v>
      </c>
      <c r="G192" s="380">
        <f t="shared" si="13"/>
        <v>3600</v>
      </c>
      <c r="H192" s="380">
        <v>1800</v>
      </c>
      <c r="I192" s="381">
        <v>0.2</v>
      </c>
      <c r="J192" s="358">
        <f t="shared" si="14"/>
        <v>1440</v>
      </c>
      <c r="K192" s="380">
        <v>575</v>
      </c>
      <c r="L192" s="380">
        <f t="shared" si="15"/>
        <v>865</v>
      </c>
      <c r="M192" s="396" t="s">
        <v>1565</v>
      </c>
    </row>
    <row r="193" spans="1:13" ht="22.5" customHeight="1">
      <c r="A193" s="333">
        <v>162</v>
      </c>
      <c r="B193" s="333" t="s">
        <v>1879</v>
      </c>
      <c r="C193" s="384" t="s">
        <v>1880</v>
      </c>
      <c r="D193" s="333" t="s">
        <v>112</v>
      </c>
      <c r="E193" s="401">
        <v>5</v>
      </c>
      <c r="F193" s="380">
        <v>720</v>
      </c>
      <c r="G193" s="380">
        <f t="shared" si="13"/>
        <v>3600</v>
      </c>
      <c r="H193" s="380">
        <v>1800</v>
      </c>
      <c r="I193" s="381">
        <v>0.2</v>
      </c>
      <c r="J193" s="358">
        <f t="shared" si="14"/>
        <v>1440</v>
      </c>
      <c r="K193" s="380">
        <v>625</v>
      </c>
      <c r="L193" s="380">
        <f t="shared" si="15"/>
        <v>815</v>
      </c>
      <c r="M193" s="396" t="s">
        <v>1565</v>
      </c>
    </row>
    <row r="194" spans="1:13" ht="22.5" customHeight="1">
      <c r="A194" s="333">
        <v>163</v>
      </c>
      <c r="B194" s="333" t="s">
        <v>1881</v>
      </c>
      <c r="C194" s="384" t="s">
        <v>1882</v>
      </c>
      <c r="D194" s="333" t="s">
        <v>112</v>
      </c>
      <c r="E194" s="401">
        <v>5</v>
      </c>
      <c r="F194" s="380">
        <v>720</v>
      </c>
      <c r="G194" s="380">
        <f t="shared" si="13"/>
        <v>3600</v>
      </c>
      <c r="H194" s="380">
        <v>1800</v>
      </c>
      <c r="I194" s="381">
        <v>0.2</v>
      </c>
      <c r="J194" s="358">
        <f t="shared" si="14"/>
        <v>1440</v>
      </c>
      <c r="K194" s="380">
        <v>575</v>
      </c>
      <c r="L194" s="380">
        <f t="shared" si="15"/>
        <v>865</v>
      </c>
      <c r="M194" s="396" t="s">
        <v>1565</v>
      </c>
    </row>
    <row r="195" spans="1:13" ht="22.5" customHeight="1">
      <c r="A195" s="333">
        <v>164</v>
      </c>
      <c r="B195" s="333" t="s">
        <v>1883</v>
      </c>
      <c r="C195" s="384" t="s">
        <v>1884</v>
      </c>
      <c r="D195" s="333" t="s">
        <v>112</v>
      </c>
      <c r="E195" s="401">
        <v>5</v>
      </c>
      <c r="F195" s="380">
        <v>720</v>
      </c>
      <c r="G195" s="380">
        <f t="shared" si="13"/>
        <v>3600</v>
      </c>
      <c r="H195" s="380">
        <v>1800</v>
      </c>
      <c r="I195" s="381">
        <v>0.2</v>
      </c>
      <c r="J195" s="358">
        <f t="shared" si="14"/>
        <v>1440</v>
      </c>
      <c r="K195" s="380">
        <v>575</v>
      </c>
      <c r="L195" s="380">
        <f t="shared" si="15"/>
        <v>865</v>
      </c>
      <c r="M195" s="396" t="s">
        <v>1565</v>
      </c>
    </row>
    <row r="196" spans="1:13" ht="22.5" customHeight="1">
      <c r="A196" s="333">
        <v>165</v>
      </c>
      <c r="B196" s="333" t="s">
        <v>1885</v>
      </c>
      <c r="C196" s="384" t="s">
        <v>1886</v>
      </c>
      <c r="D196" s="333" t="s">
        <v>113</v>
      </c>
      <c r="E196" s="401">
        <v>2.7</v>
      </c>
      <c r="F196" s="380">
        <v>144</v>
      </c>
      <c r="G196" s="380">
        <f t="shared" si="13"/>
        <v>388.8</v>
      </c>
      <c r="H196" s="380">
        <v>388.8</v>
      </c>
      <c r="I196" s="381">
        <v>0</v>
      </c>
      <c r="J196" s="358">
        <f t="shared" si="14"/>
        <v>388.8</v>
      </c>
      <c r="K196" s="380">
        <v>243.00000000000003</v>
      </c>
      <c r="L196" s="380">
        <f t="shared" si="15"/>
        <v>145.79999999999998</v>
      </c>
      <c r="M196" s="396" t="s">
        <v>1636</v>
      </c>
    </row>
    <row r="197" spans="1:13" ht="22.5" customHeight="1">
      <c r="A197" s="333">
        <v>166</v>
      </c>
      <c r="B197" s="333" t="s">
        <v>1887</v>
      </c>
      <c r="C197" s="384" t="s">
        <v>1888</v>
      </c>
      <c r="D197" s="333" t="s">
        <v>117</v>
      </c>
      <c r="E197" s="401">
        <v>5</v>
      </c>
      <c r="F197" s="380">
        <v>240</v>
      </c>
      <c r="G197" s="380">
        <f t="shared" si="13"/>
        <v>1200</v>
      </c>
      <c r="H197" s="380">
        <v>1200</v>
      </c>
      <c r="I197" s="381">
        <v>0</v>
      </c>
      <c r="J197" s="358">
        <f t="shared" si="14"/>
        <v>1200</v>
      </c>
      <c r="K197" s="416">
        <v>850</v>
      </c>
      <c r="L197" s="380">
        <f t="shared" si="15"/>
        <v>350</v>
      </c>
      <c r="M197" s="396" t="s">
        <v>1636</v>
      </c>
    </row>
    <row r="198" spans="1:13" ht="22.5" customHeight="1">
      <c r="A198" s="333">
        <v>167</v>
      </c>
      <c r="B198" s="333" t="s">
        <v>1889</v>
      </c>
      <c r="C198" s="384" t="s">
        <v>1890</v>
      </c>
      <c r="D198" s="333" t="s">
        <v>112</v>
      </c>
      <c r="E198" s="401">
        <v>5</v>
      </c>
      <c r="F198" s="380">
        <v>192</v>
      </c>
      <c r="G198" s="380">
        <f t="shared" si="13"/>
        <v>960</v>
      </c>
      <c r="H198" s="380">
        <v>960</v>
      </c>
      <c r="I198" s="381">
        <v>0</v>
      </c>
      <c r="J198" s="358">
        <f t="shared" si="14"/>
        <v>960</v>
      </c>
      <c r="K198" s="380">
        <v>575</v>
      </c>
      <c r="L198" s="380">
        <f t="shared" si="15"/>
        <v>385</v>
      </c>
      <c r="M198" s="396" t="s">
        <v>1636</v>
      </c>
    </row>
    <row r="199" spans="1:13" ht="22.5" customHeight="1">
      <c r="A199" s="333">
        <v>168</v>
      </c>
      <c r="B199" s="333" t="s">
        <v>1891</v>
      </c>
      <c r="C199" s="384" t="s">
        <v>1892</v>
      </c>
      <c r="D199" s="333" t="s">
        <v>117</v>
      </c>
      <c r="E199" s="401">
        <v>5</v>
      </c>
      <c r="F199" s="380">
        <v>240</v>
      </c>
      <c r="G199" s="380">
        <f t="shared" si="13"/>
        <v>1200</v>
      </c>
      <c r="H199" s="380">
        <v>1200</v>
      </c>
      <c r="I199" s="381">
        <v>0</v>
      </c>
      <c r="J199" s="358">
        <f t="shared" si="14"/>
        <v>1200</v>
      </c>
      <c r="K199" s="416">
        <v>850</v>
      </c>
      <c r="L199" s="380">
        <f t="shared" si="15"/>
        <v>350</v>
      </c>
      <c r="M199" s="396" t="s">
        <v>1636</v>
      </c>
    </row>
    <row r="200" spans="1:13" ht="22.5" customHeight="1">
      <c r="A200" s="333">
        <v>169</v>
      </c>
      <c r="B200" s="333" t="s">
        <v>1893</v>
      </c>
      <c r="C200" s="384" t="s">
        <v>1894</v>
      </c>
      <c r="D200" s="333" t="s">
        <v>117</v>
      </c>
      <c r="E200" s="401">
        <v>5</v>
      </c>
      <c r="F200" s="380">
        <v>240</v>
      </c>
      <c r="G200" s="380">
        <f t="shared" si="13"/>
        <v>1200</v>
      </c>
      <c r="H200" s="380">
        <v>1080</v>
      </c>
      <c r="I200" s="381">
        <v>0.1</v>
      </c>
      <c r="J200" s="358">
        <f t="shared" si="14"/>
        <v>972</v>
      </c>
      <c r="K200" s="380">
        <v>825</v>
      </c>
      <c r="L200" s="380">
        <f t="shared" si="15"/>
        <v>147</v>
      </c>
      <c r="M200" s="396" t="s">
        <v>1779</v>
      </c>
    </row>
    <row r="201" spans="1:13" ht="22.5" customHeight="1">
      <c r="A201" s="333">
        <v>170</v>
      </c>
      <c r="B201" s="333" t="s">
        <v>1895</v>
      </c>
      <c r="C201" s="384" t="s">
        <v>1896</v>
      </c>
      <c r="D201" s="384" t="s">
        <v>117</v>
      </c>
      <c r="E201" s="401">
        <v>5</v>
      </c>
      <c r="F201" s="380">
        <v>300</v>
      </c>
      <c r="G201" s="380">
        <f t="shared" si="13"/>
        <v>1500</v>
      </c>
      <c r="H201" s="380">
        <v>1500</v>
      </c>
      <c r="I201" s="381">
        <v>0.1</v>
      </c>
      <c r="J201" s="358">
        <f t="shared" si="14"/>
        <v>1350</v>
      </c>
      <c r="K201" s="380">
        <v>850</v>
      </c>
      <c r="L201" s="380">
        <f t="shared" si="15"/>
        <v>500</v>
      </c>
      <c r="M201" s="396" t="s">
        <v>1779</v>
      </c>
    </row>
    <row r="202" spans="1:13" ht="22.5" customHeight="1">
      <c r="A202" s="333">
        <v>171</v>
      </c>
      <c r="B202" s="333" t="s">
        <v>1897</v>
      </c>
      <c r="C202" s="354" t="s">
        <v>1898</v>
      </c>
      <c r="D202" s="354" t="s">
        <v>117</v>
      </c>
      <c r="E202" s="414">
        <v>5</v>
      </c>
      <c r="F202" s="356">
        <v>180</v>
      </c>
      <c r="G202" s="380">
        <f t="shared" si="13"/>
        <v>900</v>
      </c>
      <c r="H202" s="380">
        <v>900</v>
      </c>
      <c r="I202" s="381">
        <v>0</v>
      </c>
      <c r="J202" s="358">
        <f t="shared" si="14"/>
        <v>900</v>
      </c>
      <c r="K202" s="380">
        <v>450</v>
      </c>
      <c r="L202" s="380">
        <f t="shared" si="15"/>
        <v>450</v>
      </c>
      <c r="M202" s="396" t="s">
        <v>1724</v>
      </c>
    </row>
    <row r="203" spans="1:13" ht="22.5" customHeight="1">
      <c r="A203" s="333">
        <v>172</v>
      </c>
      <c r="B203" s="409" t="s">
        <v>1899</v>
      </c>
      <c r="C203" s="366" t="s">
        <v>1900</v>
      </c>
      <c r="D203" s="366" t="s">
        <v>117</v>
      </c>
      <c r="E203" s="415">
        <v>5</v>
      </c>
      <c r="F203" s="356">
        <v>180</v>
      </c>
      <c r="G203" s="380">
        <f t="shared" si="13"/>
        <v>900</v>
      </c>
      <c r="H203" s="380">
        <v>900</v>
      </c>
      <c r="I203" s="381">
        <v>0</v>
      </c>
      <c r="J203" s="358">
        <f t="shared" si="14"/>
        <v>900</v>
      </c>
      <c r="K203" s="380">
        <v>450</v>
      </c>
      <c r="L203" s="380">
        <f t="shared" si="15"/>
        <v>450</v>
      </c>
      <c r="M203" s="396" t="s">
        <v>1724</v>
      </c>
    </row>
    <row r="204" spans="1:13" ht="22.5" customHeight="1">
      <c r="A204" s="333">
        <v>173</v>
      </c>
      <c r="B204" s="333" t="s">
        <v>1782</v>
      </c>
      <c r="C204" s="384" t="s">
        <v>1901</v>
      </c>
      <c r="D204" s="384" t="s">
        <v>117</v>
      </c>
      <c r="E204" s="401">
        <v>5</v>
      </c>
      <c r="F204" s="356">
        <v>180</v>
      </c>
      <c r="G204" s="380">
        <f t="shared" si="13"/>
        <v>900</v>
      </c>
      <c r="H204" s="380">
        <v>900</v>
      </c>
      <c r="I204" s="381">
        <v>0</v>
      </c>
      <c r="J204" s="358">
        <f t="shared" si="14"/>
        <v>900</v>
      </c>
      <c r="K204" s="380">
        <v>450</v>
      </c>
      <c r="L204" s="380">
        <f t="shared" si="15"/>
        <v>450</v>
      </c>
      <c r="M204" s="396" t="s">
        <v>1724</v>
      </c>
    </row>
    <row r="205" spans="1:13" ht="22.5" customHeight="1">
      <c r="A205" s="333">
        <v>174</v>
      </c>
      <c r="B205" s="333" t="s">
        <v>1902</v>
      </c>
      <c r="C205" s="384" t="s">
        <v>1903</v>
      </c>
      <c r="D205" s="384" t="s">
        <v>117</v>
      </c>
      <c r="E205" s="401">
        <v>5</v>
      </c>
      <c r="F205" s="356">
        <v>180</v>
      </c>
      <c r="G205" s="380">
        <f t="shared" si="13"/>
        <v>900</v>
      </c>
      <c r="H205" s="380">
        <v>900</v>
      </c>
      <c r="I205" s="381">
        <v>0</v>
      </c>
      <c r="J205" s="358">
        <f t="shared" si="14"/>
        <v>900</v>
      </c>
      <c r="K205" s="380">
        <v>450</v>
      </c>
      <c r="L205" s="380">
        <f t="shared" si="15"/>
        <v>450</v>
      </c>
      <c r="M205" s="396" t="s">
        <v>1724</v>
      </c>
    </row>
    <row r="206" spans="1:13" ht="22.5" customHeight="1">
      <c r="A206" s="333">
        <v>175</v>
      </c>
      <c r="B206" s="333" t="s">
        <v>1904</v>
      </c>
      <c r="C206" s="384" t="s">
        <v>1905</v>
      </c>
      <c r="D206" s="384" t="s">
        <v>117</v>
      </c>
      <c r="E206" s="401">
        <v>5</v>
      </c>
      <c r="F206" s="356">
        <v>180</v>
      </c>
      <c r="G206" s="380">
        <f t="shared" si="13"/>
        <v>900</v>
      </c>
      <c r="H206" s="380">
        <v>900</v>
      </c>
      <c r="I206" s="381">
        <v>0</v>
      </c>
      <c r="J206" s="358">
        <f t="shared" si="14"/>
        <v>900</v>
      </c>
      <c r="K206" s="380">
        <v>450</v>
      </c>
      <c r="L206" s="380">
        <f t="shared" si="15"/>
        <v>450</v>
      </c>
      <c r="M206" s="396" t="s">
        <v>1724</v>
      </c>
    </row>
    <row r="207" spans="1:13" ht="22.5" customHeight="1">
      <c r="A207" s="333">
        <v>176</v>
      </c>
      <c r="B207" s="333" t="s">
        <v>1853</v>
      </c>
      <c r="C207" s="384" t="s">
        <v>1906</v>
      </c>
      <c r="D207" s="384" t="s">
        <v>112</v>
      </c>
      <c r="E207" s="401">
        <v>5</v>
      </c>
      <c r="F207" s="356">
        <v>160</v>
      </c>
      <c r="G207" s="380">
        <f t="shared" si="13"/>
        <v>800</v>
      </c>
      <c r="H207" s="380">
        <v>800</v>
      </c>
      <c r="I207" s="381">
        <v>0</v>
      </c>
      <c r="J207" s="358">
        <f t="shared" si="14"/>
        <v>800</v>
      </c>
      <c r="K207" s="380">
        <v>540</v>
      </c>
      <c r="L207" s="380">
        <f t="shared" si="15"/>
        <v>260</v>
      </c>
      <c r="M207" s="396" t="s">
        <v>1724</v>
      </c>
    </row>
    <row r="208" spans="1:13" ht="22.5" customHeight="1">
      <c r="A208" s="333">
        <v>177</v>
      </c>
      <c r="B208" s="333" t="s">
        <v>1782</v>
      </c>
      <c r="C208" s="384" t="s">
        <v>1907</v>
      </c>
      <c r="D208" s="384" t="s">
        <v>117</v>
      </c>
      <c r="E208" s="401">
        <v>5</v>
      </c>
      <c r="F208" s="356">
        <v>180</v>
      </c>
      <c r="G208" s="380">
        <f t="shared" si="13"/>
        <v>900</v>
      </c>
      <c r="H208" s="380">
        <v>900</v>
      </c>
      <c r="I208" s="381">
        <v>0</v>
      </c>
      <c r="J208" s="358">
        <f t="shared" si="14"/>
        <v>900</v>
      </c>
      <c r="K208" s="380">
        <v>450</v>
      </c>
      <c r="L208" s="380">
        <f t="shared" si="15"/>
        <v>450</v>
      </c>
      <c r="M208" s="396" t="s">
        <v>1724</v>
      </c>
    </row>
    <row r="209" spans="1:13" ht="22.5" customHeight="1">
      <c r="A209" s="333">
        <v>178</v>
      </c>
      <c r="B209" s="352" t="s">
        <v>1782</v>
      </c>
      <c r="C209" s="354" t="s">
        <v>1908</v>
      </c>
      <c r="D209" s="354" t="s">
        <v>117</v>
      </c>
      <c r="E209" s="414">
        <v>5</v>
      </c>
      <c r="F209" s="356">
        <v>180</v>
      </c>
      <c r="G209" s="380">
        <f t="shared" si="13"/>
        <v>900</v>
      </c>
      <c r="H209" s="356">
        <v>900</v>
      </c>
      <c r="I209" s="381">
        <v>0</v>
      </c>
      <c r="J209" s="358">
        <f t="shared" si="14"/>
        <v>900</v>
      </c>
      <c r="K209" s="380">
        <v>620</v>
      </c>
      <c r="L209" s="380">
        <f t="shared" si="15"/>
        <v>280</v>
      </c>
      <c r="M209" s="396" t="s">
        <v>1724</v>
      </c>
    </row>
    <row r="210" spans="1:13" ht="22.5" customHeight="1">
      <c r="A210" s="333">
        <v>179</v>
      </c>
      <c r="B210" s="352" t="s">
        <v>1782</v>
      </c>
      <c r="C210" s="366" t="s">
        <v>1909</v>
      </c>
      <c r="D210" s="366" t="s">
        <v>117</v>
      </c>
      <c r="E210" s="415">
        <v>5</v>
      </c>
      <c r="F210" s="356">
        <v>180</v>
      </c>
      <c r="G210" s="380">
        <f t="shared" si="13"/>
        <v>900</v>
      </c>
      <c r="H210" s="364">
        <v>900</v>
      </c>
      <c r="I210" s="381">
        <v>0</v>
      </c>
      <c r="J210" s="358">
        <f t="shared" si="14"/>
        <v>900</v>
      </c>
      <c r="K210" s="380">
        <v>620</v>
      </c>
      <c r="L210" s="380">
        <f t="shared" si="15"/>
        <v>280</v>
      </c>
      <c r="M210" s="396" t="s">
        <v>1724</v>
      </c>
    </row>
    <row r="211" spans="1:13" ht="22.5" customHeight="1">
      <c r="A211" s="333">
        <v>180</v>
      </c>
      <c r="B211" s="352" t="s">
        <v>1782</v>
      </c>
      <c r="C211" s="366" t="s">
        <v>1910</v>
      </c>
      <c r="D211" s="366" t="s">
        <v>117</v>
      </c>
      <c r="E211" s="415">
        <v>5</v>
      </c>
      <c r="F211" s="356">
        <v>180</v>
      </c>
      <c r="G211" s="380">
        <f t="shared" si="13"/>
        <v>900</v>
      </c>
      <c r="H211" s="364">
        <v>900</v>
      </c>
      <c r="I211" s="381">
        <v>0</v>
      </c>
      <c r="J211" s="358">
        <f t="shared" si="14"/>
        <v>900</v>
      </c>
      <c r="K211" s="380">
        <v>620</v>
      </c>
      <c r="L211" s="380">
        <f t="shared" si="15"/>
        <v>280</v>
      </c>
      <c r="M211" s="396" t="s">
        <v>1724</v>
      </c>
    </row>
    <row r="212" spans="1:13" ht="22.5" customHeight="1">
      <c r="A212" s="333">
        <v>181</v>
      </c>
      <c r="B212" s="352" t="s">
        <v>1782</v>
      </c>
      <c r="C212" s="366" t="s">
        <v>1911</v>
      </c>
      <c r="D212" s="366" t="s">
        <v>117</v>
      </c>
      <c r="E212" s="415">
        <v>5</v>
      </c>
      <c r="F212" s="356">
        <v>180</v>
      </c>
      <c r="G212" s="380">
        <f t="shared" si="13"/>
        <v>900</v>
      </c>
      <c r="H212" s="364">
        <v>900</v>
      </c>
      <c r="I212" s="381">
        <v>0</v>
      </c>
      <c r="J212" s="358">
        <f t="shared" si="14"/>
        <v>900</v>
      </c>
      <c r="K212" s="380">
        <v>620</v>
      </c>
      <c r="L212" s="380">
        <f t="shared" si="15"/>
        <v>280</v>
      </c>
      <c r="M212" s="396" t="s">
        <v>1724</v>
      </c>
    </row>
    <row r="213" spans="1:13" ht="22.5" customHeight="1">
      <c r="A213" s="333">
        <v>182</v>
      </c>
      <c r="B213" s="352" t="s">
        <v>1912</v>
      </c>
      <c r="C213" s="366" t="s">
        <v>1913</v>
      </c>
      <c r="D213" s="366" t="s">
        <v>117</v>
      </c>
      <c r="E213" s="415">
        <v>5</v>
      </c>
      <c r="F213" s="356">
        <v>180</v>
      </c>
      <c r="G213" s="380">
        <f t="shared" si="13"/>
        <v>900</v>
      </c>
      <c r="H213" s="364">
        <v>900</v>
      </c>
      <c r="I213" s="381">
        <v>0</v>
      </c>
      <c r="J213" s="358">
        <f t="shared" si="14"/>
        <v>900</v>
      </c>
      <c r="K213" s="380">
        <v>620</v>
      </c>
      <c r="L213" s="380">
        <f t="shared" si="15"/>
        <v>280</v>
      </c>
      <c r="M213" s="396" t="s">
        <v>1724</v>
      </c>
    </row>
    <row r="214" spans="1:13" ht="22.5" customHeight="1">
      <c r="A214" s="333">
        <v>183</v>
      </c>
      <c r="B214" s="352" t="s">
        <v>1782</v>
      </c>
      <c r="C214" s="366" t="s">
        <v>1914</v>
      </c>
      <c r="D214" s="366" t="s">
        <v>117</v>
      </c>
      <c r="E214" s="415">
        <v>5</v>
      </c>
      <c r="F214" s="356">
        <v>180</v>
      </c>
      <c r="G214" s="380">
        <f t="shared" si="13"/>
        <v>900</v>
      </c>
      <c r="H214" s="364">
        <v>900</v>
      </c>
      <c r="I214" s="381">
        <v>0</v>
      </c>
      <c r="J214" s="358">
        <f t="shared" si="14"/>
        <v>900</v>
      </c>
      <c r="K214" s="380">
        <v>620</v>
      </c>
      <c r="L214" s="380">
        <f t="shared" si="15"/>
        <v>280</v>
      </c>
      <c r="M214" s="396" t="s">
        <v>1724</v>
      </c>
    </row>
    <row r="215" spans="1:13" ht="22.5" customHeight="1">
      <c r="A215" s="333">
        <v>184</v>
      </c>
      <c r="B215" s="352" t="s">
        <v>1782</v>
      </c>
      <c r="C215" s="366" t="s">
        <v>1915</v>
      </c>
      <c r="D215" s="366" t="s">
        <v>117</v>
      </c>
      <c r="E215" s="415">
        <v>5</v>
      </c>
      <c r="F215" s="356">
        <v>180</v>
      </c>
      <c r="G215" s="380">
        <f t="shared" si="13"/>
        <v>900</v>
      </c>
      <c r="H215" s="364">
        <v>900</v>
      </c>
      <c r="I215" s="381">
        <v>0</v>
      </c>
      <c r="J215" s="358">
        <f t="shared" si="14"/>
        <v>900</v>
      </c>
      <c r="K215" s="380">
        <v>620</v>
      </c>
      <c r="L215" s="380">
        <f t="shared" si="15"/>
        <v>280</v>
      </c>
      <c r="M215" s="396" t="s">
        <v>1724</v>
      </c>
    </row>
    <row r="216" spans="1:13" ht="22.5" customHeight="1">
      <c r="A216" s="333">
        <v>185</v>
      </c>
      <c r="B216" s="333" t="s">
        <v>1916</v>
      </c>
      <c r="C216" s="384" t="s">
        <v>1917</v>
      </c>
      <c r="D216" s="384" t="s">
        <v>117</v>
      </c>
      <c r="E216" s="401">
        <v>5</v>
      </c>
      <c r="F216" s="356">
        <v>180</v>
      </c>
      <c r="G216" s="380">
        <f t="shared" si="13"/>
        <v>900</v>
      </c>
      <c r="H216" s="380">
        <v>900</v>
      </c>
      <c r="I216" s="381">
        <v>0</v>
      </c>
      <c r="J216" s="358">
        <f t="shared" si="14"/>
        <v>900</v>
      </c>
      <c r="K216" s="380">
        <v>620</v>
      </c>
      <c r="L216" s="380">
        <f t="shared" si="15"/>
        <v>280</v>
      </c>
      <c r="M216" s="396" t="s">
        <v>1724</v>
      </c>
    </row>
    <row r="217" spans="1:13" ht="22.5" customHeight="1">
      <c r="A217" s="333">
        <v>186</v>
      </c>
      <c r="B217" s="376" t="s">
        <v>1918</v>
      </c>
      <c r="C217" s="377" t="s">
        <v>1919</v>
      </c>
      <c r="D217" s="352" t="s">
        <v>112</v>
      </c>
      <c r="E217" s="378">
        <v>5</v>
      </c>
      <c r="F217" s="380">
        <v>720</v>
      </c>
      <c r="G217" s="380">
        <f t="shared" si="13"/>
        <v>3600</v>
      </c>
      <c r="H217" s="364">
        <f>G217/2</f>
        <v>1800</v>
      </c>
      <c r="I217" s="430">
        <v>0.2</v>
      </c>
      <c r="J217" s="358">
        <f t="shared" si="14"/>
        <v>1440</v>
      </c>
      <c r="K217" s="380">
        <v>575</v>
      </c>
      <c r="L217" s="380">
        <f t="shared" si="15"/>
        <v>865</v>
      </c>
      <c r="M217" s="396" t="s">
        <v>1565</v>
      </c>
    </row>
    <row r="218" spans="1:13" ht="22.5" customHeight="1">
      <c r="A218" s="333">
        <v>187</v>
      </c>
      <c r="B218" s="419" t="s">
        <v>1920</v>
      </c>
      <c r="C218" s="354" t="s">
        <v>1921</v>
      </c>
      <c r="D218" s="354" t="s">
        <v>112</v>
      </c>
      <c r="E218" s="414">
        <v>5</v>
      </c>
      <c r="F218" s="356">
        <v>720</v>
      </c>
      <c r="G218" s="380">
        <f t="shared" si="13"/>
        <v>3600</v>
      </c>
      <c r="H218" s="356">
        <v>1800</v>
      </c>
      <c r="I218" s="357">
        <v>0.2</v>
      </c>
      <c r="J218" s="358">
        <f t="shared" si="14"/>
        <v>1440</v>
      </c>
      <c r="K218" s="356">
        <v>575</v>
      </c>
      <c r="L218" s="380">
        <f t="shared" si="15"/>
        <v>865</v>
      </c>
      <c r="M218" s="431" t="s">
        <v>1565</v>
      </c>
    </row>
    <row r="219" spans="1:13" ht="22.5" customHeight="1">
      <c r="A219" s="333">
        <v>188</v>
      </c>
      <c r="B219" s="419" t="s">
        <v>1922</v>
      </c>
      <c r="C219" s="354" t="s">
        <v>1923</v>
      </c>
      <c r="D219" s="354" t="s">
        <v>112</v>
      </c>
      <c r="E219" s="414">
        <v>5</v>
      </c>
      <c r="F219" s="356">
        <v>720</v>
      </c>
      <c r="G219" s="380">
        <f t="shared" si="13"/>
        <v>3600</v>
      </c>
      <c r="H219" s="356">
        <v>1800</v>
      </c>
      <c r="I219" s="357">
        <v>0.2</v>
      </c>
      <c r="J219" s="358">
        <f t="shared" si="14"/>
        <v>1440</v>
      </c>
      <c r="K219" s="380">
        <v>575</v>
      </c>
      <c r="L219" s="380">
        <f t="shared" si="15"/>
        <v>865</v>
      </c>
      <c r="M219" s="396" t="s">
        <v>1565</v>
      </c>
    </row>
    <row r="220" spans="1:13" ht="22.5" customHeight="1">
      <c r="A220" s="333">
        <v>189</v>
      </c>
      <c r="B220" s="419" t="s">
        <v>1924</v>
      </c>
      <c r="C220" s="354" t="s">
        <v>1925</v>
      </c>
      <c r="D220" s="354" t="s">
        <v>117</v>
      </c>
      <c r="E220" s="414">
        <v>5</v>
      </c>
      <c r="F220" s="356">
        <v>800</v>
      </c>
      <c r="G220" s="380">
        <f t="shared" si="13"/>
        <v>4000</v>
      </c>
      <c r="H220" s="356">
        <v>2000</v>
      </c>
      <c r="I220" s="357">
        <v>0.2</v>
      </c>
      <c r="J220" s="358">
        <f t="shared" si="14"/>
        <v>1600</v>
      </c>
      <c r="K220" s="380">
        <v>850</v>
      </c>
      <c r="L220" s="380">
        <f t="shared" si="15"/>
        <v>750</v>
      </c>
      <c r="M220" s="396" t="s">
        <v>1565</v>
      </c>
    </row>
    <row r="221" spans="1:13" ht="22.5" customHeight="1">
      <c r="A221" s="333">
        <v>190</v>
      </c>
      <c r="B221" s="419" t="s">
        <v>1926</v>
      </c>
      <c r="C221" s="354" t="s">
        <v>1927</v>
      </c>
      <c r="D221" s="353" t="s">
        <v>117</v>
      </c>
      <c r="E221" s="414">
        <v>5</v>
      </c>
      <c r="F221" s="390">
        <v>800</v>
      </c>
      <c r="G221" s="419">
        <v>4000</v>
      </c>
      <c r="H221" s="356">
        <v>2000</v>
      </c>
      <c r="I221" s="357">
        <v>0.2</v>
      </c>
      <c r="J221" s="391">
        <v>1600</v>
      </c>
      <c r="K221" s="379">
        <v>850</v>
      </c>
      <c r="L221" s="380">
        <v>750</v>
      </c>
      <c r="M221" s="396" t="s">
        <v>1565</v>
      </c>
    </row>
    <row r="222" spans="1:13" ht="22.5" customHeight="1">
      <c r="A222" s="333">
        <v>191</v>
      </c>
      <c r="B222" s="419" t="s">
        <v>1928</v>
      </c>
      <c r="C222" s="354" t="s">
        <v>1929</v>
      </c>
      <c r="D222" s="354" t="s">
        <v>112</v>
      </c>
      <c r="E222" s="414">
        <v>5</v>
      </c>
      <c r="F222" s="390">
        <v>720</v>
      </c>
      <c r="G222" s="419">
        <v>3600</v>
      </c>
      <c r="H222" s="356">
        <v>1800</v>
      </c>
      <c r="I222" s="357">
        <v>0.2</v>
      </c>
      <c r="J222" s="391">
        <v>1440</v>
      </c>
      <c r="K222" s="379">
        <v>575</v>
      </c>
      <c r="L222" s="380">
        <v>865</v>
      </c>
      <c r="M222" s="396" t="s">
        <v>1565</v>
      </c>
    </row>
    <row r="223" spans="1:13" ht="22.5" customHeight="1">
      <c r="A223" s="333">
        <v>192</v>
      </c>
      <c r="B223" s="419" t="s">
        <v>1930</v>
      </c>
      <c r="C223" s="354" t="s">
        <v>1931</v>
      </c>
      <c r="D223" s="353" t="s">
        <v>112</v>
      </c>
      <c r="E223" s="414">
        <v>5</v>
      </c>
      <c r="F223" s="390">
        <v>720</v>
      </c>
      <c r="G223" s="419">
        <v>3600</v>
      </c>
      <c r="H223" s="356">
        <v>1800</v>
      </c>
      <c r="I223" s="357">
        <v>0.2</v>
      </c>
      <c r="J223" s="391">
        <v>1440</v>
      </c>
      <c r="K223" s="379">
        <v>575</v>
      </c>
      <c r="L223" s="380">
        <v>865</v>
      </c>
      <c r="M223" s="396" t="s">
        <v>1565</v>
      </c>
    </row>
    <row r="224" spans="1:13" ht="22.5" customHeight="1">
      <c r="A224" s="333">
        <v>193</v>
      </c>
      <c r="B224" s="419" t="s">
        <v>1932</v>
      </c>
      <c r="C224" s="354" t="s">
        <v>1933</v>
      </c>
      <c r="D224" s="353" t="s">
        <v>112</v>
      </c>
      <c r="E224" s="414">
        <v>5</v>
      </c>
      <c r="F224" s="390">
        <v>720</v>
      </c>
      <c r="G224" s="419">
        <v>3600</v>
      </c>
      <c r="H224" s="356">
        <v>1800</v>
      </c>
      <c r="I224" s="357">
        <v>0.2</v>
      </c>
      <c r="J224" s="391">
        <v>1440</v>
      </c>
      <c r="K224" s="379">
        <v>575</v>
      </c>
      <c r="L224" s="380">
        <v>865</v>
      </c>
      <c r="M224" s="396" t="s">
        <v>1565</v>
      </c>
    </row>
    <row r="225" spans="1:13" ht="22.5" customHeight="1">
      <c r="A225" s="333">
        <v>194</v>
      </c>
      <c r="B225" s="419" t="s">
        <v>1934</v>
      </c>
      <c r="C225" s="354" t="s">
        <v>1935</v>
      </c>
      <c r="D225" s="353" t="s">
        <v>112</v>
      </c>
      <c r="E225" s="414">
        <v>5</v>
      </c>
      <c r="F225" s="390">
        <v>720</v>
      </c>
      <c r="G225" s="419">
        <v>3600</v>
      </c>
      <c r="H225" s="356">
        <v>1800</v>
      </c>
      <c r="I225" s="357">
        <v>0.2</v>
      </c>
      <c r="J225" s="391">
        <v>1440</v>
      </c>
      <c r="K225" s="379">
        <v>575</v>
      </c>
      <c r="L225" s="380">
        <v>865</v>
      </c>
      <c r="M225" s="396" t="s">
        <v>1565</v>
      </c>
    </row>
    <row r="226" spans="1:13" ht="22.5" customHeight="1">
      <c r="A226" s="333">
        <v>195</v>
      </c>
      <c r="B226" s="419" t="s">
        <v>1936</v>
      </c>
      <c r="C226" s="354" t="s">
        <v>1937</v>
      </c>
      <c r="D226" s="353" t="s">
        <v>112</v>
      </c>
      <c r="E226" s="414">
        <v>5</v>
      </c>
      <c r="F226" s="390">
        <v>720</v>
      </c>
      <c r="G226" s="419">
        <v>3600</v>
      </c>
      <c r="H226" s="356">
        <v>1800</v>
      </c>
      <c r="I226" s="357">
        <v>0.2</v>
      </c>
      <c r="J226" s="391">
        <v>1440</v>
      </c>
      <c r="K226" s="379">
        <v>575</v>
      </c>
      <c r="L226" s="380">
        <v>865</v>
      </c>
      <c r="M226" s="396" t="s">
        <v>1565</v>
      </c>
    </row>
    <row r="227" spans="1:13" ht="22.5" customHeight="1">
      <c r="A227" s="333">
        <v>196</v>
      </c>
      <c r="B227" s="419" t="s">
        <v>1938</v>
      </c>
      <c r="C227" s="354" t="s">
        <v>1939</v>
      </c>
      <c r="D227" s="353" t="s">
        <v>112</v>
      </c>
      <c r="E227" s="414">
        <v>5</v>
      </c>
      <c r="F227" s="390">
        <v>720</v>
      </c>
      <c r="G227" s="419">
        <v>3600</v>
      </c>
      <c r="H227" s="356">
        <v>1800</v>
      </c>
      <c r="I227" s="357">
        <v>0.2</v>
      </c>
      <c r="J227" s="391">
        <v>1440</v>
      </c>
      <c r="K227" s="379">
        <v>575</v>
      </c>
      <c r="L227" s="380">
        <v>865</v>
      </c>
      <c r="M227" s="396" t="s">
        <v>1565</v>
      </c>
    </row>
    <row r="228" spans="1:13" ht="22.5" customHeight="1">
      <c r="A228" s="333">
        <v>197</v>
      </c>
      <c r="B228" s="419" t="s">
        <v>1940</v>
      </c>
      <c r="C228" s="354" t="s">
        <v>1941</v>
      </c>
      <c r="D228" s="353" t="s">
        <v>112</v>
      </c>
      <c r="E228" s="414">
        <v>5</v>
      </c>
      <c r="F228" s="390">
        <v>720</v>
      </c>
      <c r="G228" s="419">
        <v>3600</v>
      </c>
      <c r="H228" s="356">
        <v>1800</v>
      </c>
      <c r="I228" s="357">
        <v>0.2</v>
      </c>
      <c r="J228" s="391">
        <v>1440</v>
      </c>
      <c r="K228" s="379">
        <v>575</v>
      </c>
      <c r="L228" s="380">
        <v>865</v>
      </c>
      <c r="M228" s="396" t="s">
        <v>1565</v>
      </c>
    </row>
    <row r="229" spans="1:13" ht="22.5" customHeight="1">
      <c r="A229" s="333">
        <v>198</v>
      </c>
      <c r="B229" s="419" t="s">
        <v>1942</v>
      </c>
      <c r="C229" s="419" t="s">
        <v>1943</v>
      </c>
      <c r="D229" s="419" t="s">
        <v>117</v>
      </c>
      <c r="E229" s="414">
        <v>5</v>
      </c>
      <c r="F229" s="425">
        <v>900</v>
      </c>
      <c r="G229" s="390">
        <v>900</v>
      </c>
      <c r="H229" s="390">
        <v>900</v>
      </c>
      <c r="I229" s="357">
        <v>0</v>
      </c>
      <c r="J229" s="391">
        <v>900</v>
      </c>
      <c r="K229" s="379">
        <v>850</v>
      </c>
      <c r="L229" s="380">
        <v>50</v>
      </c>
      <c r="M229" s="396" t="s">
        <v>1724</v>
      </c>
    </row>
    <row r="230" spans="1:13" ht="22.5" customHeight="1">
      <c r="A230" s="333">
        <v>199</v>
      </c>
      <c r="B230" s="419" t="s">
        <v>1944</v>
      </c>
      <c r="C230" s="419" t="s">
        <v>1945</v>
      </c>
      <c r="D230" s="419" t="s">
        <v>117</v>
      </c>
      <c r="E230" s="414">
        <v>5</v>
      </c>
      <c r="F230" s="425">
        <v>450</v>
      </c>
      <c r="G230" s="390">
        <v>900</v>
      </c>
      <c r="H230" s="390">
        <v>900</v>
      </c>
      <c r="I230" s="357">
        <v>0</v>
      </c>
      <c r="J230" s="391">
        <v>900</v>
      </c>
      <c r="K230" s="379">
        <v>850</v>
      </c>
      <c r="L230" s="380">
        <v>50</v>
      </c>
      <c r="M230" s="396" t="s">
        <v>1724</v>
      </c>
    </row>
    <row r="231" spans="1:13" ht="22.5" customHeight="1">
      <c r="A231" s="333">
        <v>200</v>
      </c>
      <c r="B231" s="419" t="s">
        <v>1946</v>
      </c>
      <c r="C231" s="419" t="s">
        <v>1947</v>
      </c>
      <c r="D231" s="419" t="s">
        <v>117</v>
      </c>
      <c r="E231" s="414">
        <v>5</v>
      </c>
      <c r="F231" s="425">
        <v>300</v>
      </c>
      <c r="G231" s="390">
        <v>900</v>
      </c>
      <c r="H231" s="390">
        <v>900</v>
      </c>
      <c r="I231" s="357">
        <v>0</v>
      </c>
      <c r="J231" s="391">
        <v>900</v>
      </c>
      <c r="K231" s="379">
        <v>850</v>
      </c>
      <c r="L231" s="380">
        <v>50</v>
      </c>
      <c r="M231" s="396" t="s">
        <v>1724</v>
      </c>
    </row>
    <row r="232" spans="1:13" ht="22.5" customHeight="1">
      <c r="A232" s="333">
        <v>201</v>
      </c>
      <c r="B232" s="419" t="s">
        <v>1948</v>
      </c>
      <c r="C232" s="419" t="s">
        <v>1949</v>
      </c>
      <c r="D232" s="419" t="s">
        <v>117</v>
      </c>
      <c r="E232" s="414">
        <v>5</v>
      </c>
      <c r="F232" s="425">
        <v>225</v>
      </c>
      <c r="G232" s="390">
        <v>900</v>
      </c>
      <c r="H232" s="390">
        <v>900</v>
      </c>
      <c r="I232" s="357">
        <v>0</v>
      </c>
      <c r="J232" s="391">
        <v>900</v>
      </c>
      <c r="K232" s="379">
        <v>850</v>
      </c>
      <c r="L232" s="380">
        <v>50</v>
      </c>
      <c r="M232" s="396" t="s">
        <v>1724</v>
      </c>
    </row>
    <row r="233" spans="1:13" ht="22.5" customHeight="1">
      <c r="A233" s="333">
        <v>202</v>
      </c>
      <c r="B233" s="419" t="s">
        <v>1950</v>
      </c>
      <c r="C233" s="419" t="s">
        <v>1951</v>
      </c>
      <c r="D233" s="419" t="s">
        <v>117</v>
      </c>
      <c r="E233" s="414">
        <v>5</v>
      </c>
      <c r="F233" s="425">
        <v>180</v>
      </c>
      <c r="G233" s="390">
        <v>900</v>
      </c>
      <c r="H233" s="390">
        <v>900</v>
      </c>
      <c r="I233" s="357">
        <v>0</v>
      </c>
      <c r="J233" s="391">
        <v>900</v>
      </c>
      <c r="K233" s="379">
        <v>850</v>
      </c>
      <c r="L233" s="380">
        <v>50</v>
      </c>
      <c r="M233" s="396" t="s">
        <v>1724</v>
      </c>
    </row>
    <row r="234" spans="1:13" ht="22.5" customHeight="1">
      <c r="A234" s="333">
        <v>203</v>
      </c>
      <c r="B234" s="419" t="s">
        <v>1952</v>
      </c>
      <c r="C234" s="419" t="s">
        <v>1953</v>
      </c>
      <c r="D234" s="419" t="s">
        <v>117</v>
      </c>
      <c r="E234" s="414">
        <v>5</v>
      </c>
      <c r="F234" s="425">
        <v>150</v>
      </c>
      <c r="G234" s="390">
        <v>900</v>
      </c>
      <c r="H234" s="390">
        <v>900</v>
      </c>
      <c r="I234" s="357">
        <v>0</v>
      </c>
      <c r="J234" s="391">
        <v>900</v>
      </c>
      <c r="K234" s="379">
        <v>850</v>
      </c>
      <c r="L234" s="380">
        <v>50</v>
      </c>
      <c r="M234" s="396" t="s">
        <v>1724</v>
      </c>
    </row>
    <row r="235" spans="1:13" ht="22.5" customHeight="1">
      <c r="A235" s="333">
        <v>204</v>
      </c>
      <c r="B235" s="419" t="s">
        <v>1954</v>
      </c>
      <c r="C235" s="419" t="s">
        <v>1955</v>
      </c>
      <c r="D235" s="419" t="s">
        <v>117</v>
      </c>
      <c r="E235" s="414">
        <v>5</v>
      </c>
      <c r="F235" s="425">
        <v>128.57142857142858</v>
      </c>
      <c r="G235" s="390">
        <v>900</v>
      </c>
      <c r="H235" s="390">
        <v>900</v>
      </c>
      <c r="I235" s="357">
        <v>0</v>
      </c>
      <c r="J235" s="391">
        <v>900</v>
      </c>
      <c r="K235" s="379">
        <v>850</v>
      </c>
      <c r="L235" s="380">
        <v>50</v>
      </c>
      <c r="M235" s="396" t="s">
        <v>1724</v>
      </c>
    </row>
    <row r="236" spans="1:13" ht="22.5" customHeight="1">
      <c r="A236" s="333">
        <v>205</v>
      </c>
      <c r="B236" s="419" t="s">
        <v>1956</v>
      </c>
      <c r="C236" s="354" t="s">
        <v>1957</v>
      </c>
      <c r="D236" s="419" t="s">
        <v>117</v>
      </c>
      <c r="E236" s="414">
        <v>5</v>
      </c>
      <c r="F236" s="425">
        <v>300</v>
      </c>
      <c r="G236" s="390">
        <v>900</v>
      </c>
      <c r="H236" s="390">
        <v>900</v>
      </c>
      <c r="I236" s="357">
        <v>0</v>
      </c>
      <c r="J236" s="391">
        <v>900</v>
      </c>
      <c r="K236" s="379">
        <v>850</v>
      </c>
      <c r="L236" s="380">
        <v>50</v>
      </c>
      <c r="M236" s="396" t="s">
        <v>1724</v>
      </c>
    </row>
    <row r="237" spans="1:13" ht="22.5" customHeight="1">
      <c r="A237" s="333">
        <v>206</v>
      </c>
      <c r="B237" s="419" t="s">
        <v>1958</v>
      </c>
      <c r="C237" s="354" t="s">
        <v>1959</v>
      </c>
      <c r="D237" s="419" t="s">
        <v>117</v>
      </c>
      <c r="E237" s="414">
        <v>5</v>
      </c>
      <c r="F237" s="425">
        <v>225</v>
      </c>
      <c r="G237" s="390">
        <v>900</v>
      </c>
      <c r="H237" s="390">
        <v>900</v>
      </c>
      <c r="I237" s="357">
        <v>0</v>
      </c>
      <c r="J237" s="391">
        <v>900</v>
      </c>
      <c r="K237" s="379">
        <v>850</v>
      </c>
      <c r="L237" s="380">
        <v>50</v>
      </c>
      <c r="M237" s="396" t="s">
        <v>1724</v>
      </c>
    </row>
    <row r="238" spans="1:13" ht="22.5" customHeight="1">
      <c r="A238" s="333">
        <v>207</v>
      </c>
      <c r="B238" s="419" t="s">
        <v>1960</v>
      </c>
      <c r="C238" s="354" t="s">
        <v>1961</v>
      </c>
      <c r="D238" s="419" t="s">
        <v>112</v>
      </c>
      <c r="E238" s="414">
        <v>5</v>
      </c>
      <c r="F238" s="419">
        <v>160</v>
      </c>
      <c r="G238" s="419">
        <v>800</v>
      </c>
      <c r="H238" s="419">
        <v>800</v>
      </c>
      <c r="I238" s="357">
        <v>0</v>
      </c>
      <c r="J238" s="391">
        <v>800</v>
      </c>
      <c r="K238" s="385">
        <v>575</v>
      </c>
      <c r="L238" s="380">
        <v>225</v>
      </c>
      <c r="M238" s="396" t="s">
        <v>1724</v>
      </c>
    </row>
    <row r="239" spans="1:13" ht="22.5" customHeight="1">
      <c r="A239" s="333">
        <v>208</v>
      </c>
      <c r="B239" s="419" t="s">
        <v>1962</v>
      </c>
      <c r="C239" s="354" t="s">
        <v>1963</v>
      </c>
      <c r="D239" s="419" t="s">
        <v>112</v>
      </c>
      <c r="E239" s="414">
        <v>5</v>
      </c>
      <c r="F239" s="419">
        <v>160</v>
      </c>
      <c r="G239" s="419">
        <v>800</v>
      </c>
      <c r="H239" s="419">
        <v>800</v>
      </c>
      <c r="I239" s="357">
        <v>0</v>
      </c>
      <c r="J239" s="391">
        <v>800</v>
      </c>
      <c r="K239" s="385">
        <v>575</v>
      </c>
      <c r="L239" s="380">
        <v>225</v>
      </c>
      <c r="M239" s="396" t="s">
        <v>1724</v>
      </c>
    </row>
    <row r="240" spans="1:13" ht="22.5" customHeight="1">
      <c r="A240" s="333">
        <v>209</v>
      </c>
      <c r="B240" s="419" t="s">
        <v>1964</v>
      </c>
      <c r="C240" s="354" t="s">
        <v>1965</v>
      </c>
      <c r="D240" s="419" t="s">
        <v>112</v>
      </c>
      <c r="E240" s="414">
        <v>5</v>
      </c>
      <c r="F240" s="419">
        <v>160</v>
      </c>
      <c r="G240" s="419">
        <v>800</v>
      </c>
      <c r="H240" s="419">
        <v>800</v>
      </c>
      <c r="I240" s="357">
        <v>0</v>
      </c>
      <c r="J240" s="391">
        <v>800</v>
      </c>
      <c r="K240" s="385">
        <v>575</v>
      </c>
      <c r="L240" s="380">
        <v>225</v>
      </c>
      <c r="M240" s="396" t="s">
        <v>1724</v>
      </c>
    </row>
    <row r="241" spans="1:13" ht="22.5" customHeight="1">
      <c r="A241" s="333">
        <v>210</v>
      </c>
      <c r="B241" s="419" t="s">
        <v>1966</v>
      </c>
      <c r="C241" s="354" t="s">
        <v>1967</v>
      </c>
      <c r="D241" s="419" t="s">
        <v>112</v>
      </c>
      <c r="E241" s="414">
        <v>5</v>
      </c>
      <c r="F241" s="419">
        <v>160</v>
      </c>
      <c r="G241" s="419">
        <v>800</v>
      </c>
      <c r="H241" s="419">
        <v>800</v>
      </c>
      <c r="I241" s="357">
        <v>0</v>
      </c>
      <c r="J241" s="391">
        <v>800</v>
      </c>
      <c r="K241" s="385">
        <v>575</v>
      </c>
      <c r="L241" s="380">
        <v>225</v>
      </c>
      <c r="M241" s="396" t="s">
        <v>1724</v>
      </c>
    </row>
    <row r="242" spans="1:13" ht="22.5" customHeight="1">
      <c r="A242" s="333">
        <v>211</v>
      </c>
      <c r="B242" s="419" t="s">
        <v>1968</v>
      </c>
      <c r="C242" s="354" t="s">
        <v>1969</v>
      </c>
      <c r="D242" s="419" t="s">
        <v>117</v>
      </c>
      <c r="E242" s="414">
        <v>5</v>
      </c>
      <c r="F242" s="425">
        <v>180</v>
      </c>
      <c r="G242" s="390">
        <v>900</v>
      </c>
      <c r="H242" s="390">
        <v>900</v>
      </c>
      <c r="I242" s="357">
        <v>0</v>
      </c>
      <c r="J242" s="391">
        <v>900</v>
      </c>
      <c r="K242" s="379">
        <v>850</v>
      </c>
      <c r="L242" s="380">
        <v>50</v>
      </c>
      <c r="M242" s="396" t="s">
        <v>1724</v>
      </c>
    </row>
    <row r="243" spans="1:13" ht="22.5" customHeight="1">
      <c r="A243" s="333">
        <v>212</v>
      </c>
      <c r="B243" s="419" t="s">
        <v>1970</v>
      </c>
      <c r="C243" s="354" t="s">
        <v>1971</v>
      </c>
      <c r="D243" s="419" t="s">
        <v>117</v>
      </c>
      <c r="E243" s="414">
        <v>5</v>
      </c>
      <c r="F243" s="425">
        <v>150</v>
      </c>
      <c r="G243" s="390">
        <v>900</v>
      </c>
      <c r="H243" s="390">
        <v>900</v>
      </c>
      <c r="I243" s="357">
        <v>0</v>
      </c>
      <c r="J243" s="391">
        <v>900</v>
      </c>
      <c r="K243" s="379">
        <v>850</v>
      </c>
      <c r="L243" s="380">
        <v>50</v>
      </c>
      <c r="M243" s="396" t="s">
        <v>1724</v>
      </c>
    </row>
    <row r="244" spans="1:13" ht="22.5" customHeight="1">
      <c r="A244" s="333">
        <v>213</v>
      </c>
      <c r="B244" s="419" t="s">
        <v>1972</v>
      </c>
      <c r="C244" s="354" t="s">
        <v>1973</v>
      </c>
      <c r="D244" s="419" t="s">
        <v>117</v>
      </c>
      <c r="E244" s="414">
        <v>5</v>
      </c>
      <c r="F244" s="425">
        <v>128.57142857142858</v>
      </c>
      <c r="G244" s="390">
        <v>900</v>
      </c>
      <c r="H244" s="390">
        <v>900</v>
      </c>
      <c r="I244" s="357">
        <v>0</v>
      </c>
      <c r="J244" s="391">
        <v>900</v>
      </c>
      <c r="K244" s="379">
        <v>850</v>
      </c>
      <c r="L244" s="380">
        <v>50</v>
      </c>
      <c r="M244" s="396" t="s">
        <v>1724</v>
      </c>
    </row>
    <row r="245" spans="1:13" ht="22.5" customHeight="1">
      <c r="A245" s="333">
        <v>214</v>
      </c>
      <c r="B245" s="385" t="s">
        <v>1974</v>
      </c>
      <c r="C245" s="384" t="s">
        <v>1975</v>
      </c>
      <c r="D245" s="385" t="s">
        <v>112</v>
      </c>
      <c r="E245" s="401">
        <v>5</v>
      </c>
      <c r="F245" s="385">
        <v>160</v>
      </c>
      <c r="G245" s="385">
        <v>800</v>
      </c>
      <c r="H245" s="385">
        <v>800</v>
      </c>
      <c r="I245" s="381">
        <v>0</v>
      </c>
      <c r="J245" s="358">
        <v>800</v>
      </c>
      <c r="K245" s="385">
        <v>575</v>
      </c>
      <c r="L245" s="380">
        <v>225</v>
      </c>
      <c r="M245" s="396" t="s">
        <v>1724</v>
      </c>
    </row>
    <row r="246" spans="1:13" ht="22.5" customHeight="1">
      <c r="A246" s="333">
        <v>215</v>
      </c>
      <c r="B246" s="385" t="s">
        <v>1976</v>
      </c>
      <c r="C246" s="384" t="s">
        <v>834</v>
      </c>
      <c r="D246" s="385" t="s">
        <v>112</v>
      </c>
      <c r="E246" s="401">
        <v>5</v>
      </c>
      <c r="F246" s="385">
        <v>160</v>
      </c>
      <c r="G246" s="385">
        <v>800</v>
      </c>
      <c r="H246" s="385">
        <v>800</v>
      </c>
      <c r="I246" s="381">
        <v>0</v>
      </c>
      <c r="J246" s="358">
        <v>800</v>
      </c>
      <c r="K246" s="385">
        <v>575</v>
      </c>
      <c r="L246" s="380">
        <v>225</v>
      </c>
      <c r="M246" s="396" t="s">
        <v>1724</v>
      </c>
    </row>
    <row r="247" spans="1:13" ht="22.5" customHeight="1">
      <c r="A247" s="333">
        <v>216</v>
      </c>
      <c r="B247" s="385" t="s">
        <v>1977</v>
      </c>
      <c r="C247" s="384" t="s">
        <v>1978</v>
      </c>
      <c r="D247" s="385" t="s">
        <v>117</v>
      </c>
      <c r="E247" s="401">
        <v>5</v>
      </c>
      <c r="F247" s="385">
        <v>180</v>
      </c>
      <c r="G247" s="385">
        <v>900</v>
      </c>
      <c r="H247" s="385">
        <v>900</v>
      </c>
      <c r="I247" s="381">
        <v>0</v>
      </c>
      <c r="J247" s="358">
        <v>900</v>
      </c>
      <c r="K247" s="385">
        <v>850</v>
      </c>
      <c r="L247" s="380">
        <v>50</v>
      </c>
      <c r="M247" s="396" t="s">
        <v>1724</v>
      </c>
    </row>
    <row r="248" spans="1:13" ht="22.5" customHeight="1">
      <c r="A248" s="333">
        <v>217</v>
      </c>
      <c r="B248" s="385" t="s">
        <v>1979</v>
      </c>
      <c r="C248" s="384" t="s">
        <v>1980</v>
      </c>
      <c r="D248" s="333" t="s">
        <v>112</v>
      </c>
      <c r="E248" s="401">
        <v>5</v>
      </c>
      <c r="F248" s="406">
        <v>160</v>
      </c>
      <c r="G248" s="379">
        <v>800</v>
      </c>
      <c r="H248" s="385">
        <v>800</v>
      </c>
      <c r="I248" s="381">
        <v>0</v>
      </c>
      <c r="J248" s="358">
        <v>800</v>
      </c>
      <c r="K248" s="379">
        <v>575</v>
      </c>
      <c r="L248" s="380">
        <v>225</v>
      </c>
      <c r="M248" s="396" t="s">
        <v>1724</v>
      </c>
    </row>
    <row r="249" spans="1:13" ht="22.5" customHeight="1">
      <c r="A249" s="333">
        <v>218</v>
      </c>
      <c r="B249" s="385" t="s">
        <v>1981</v>
      </c>
      <c r="C249" s="384" t="s">
        <v>1982</v>
      </c>
      <c r="D249" s="333" t="s">
        <v>112</v>
      </c>
      <c r="E249" s="401">
        <v>5</v>
      </c>
      <c r="F249" s="406">
        <v>160</v>
      </c>
      <c r="G249" s="379">
        <v>800</v>
      </c>
      <c r="H249" s="385">
        <v>800</v>
      </c>
      <c r="I249" s="381">
        <v>0</v>
      </c>
      <c r="J249" s="358">
        <v>800</v>
      </c>
      <c r="K249" s="379">
        <v>575</v>
      </c>
      <c r="L249" s="380">
        <v>225</v>
      </c>
      <c r="M249" s="396" t="s">
        <v>1724</v>
      </c>
    </row>
    <row r="250" spans="1:13" ht="22.5" customHeight="1">
      <c r="A250" s="333">
        <v>219</v>
      </c>
      <c r="B250" s="385" t="s">
        <v>1983</v>
      </c>
      <c r="C250" s="384" t="s">
        <v>1984</v>
      </c>
      <c r="D250" s="333" t="s">
        <v>117</v>
      </c>
      <c r="E250" s="401">
        <v>5</v>
      </c>
      <c r="F250" s="406">
        <v>180</v>
      </c>
      <c r="G250" s="379">
        <v>900</v>
      </c>
      <c r="H250" s="385">
        <v>900</v>
      </c>
      <c r="I250" s="381">
        <v>0</v>
      </c>
      <c r="J250" s="358">
        <v>900</v>
      </c>
      <c r="K250" s="379">
        <v>850</v>
      </c>
      <c r="L250" s="380">
        <v>50</v>
      </c>
      <c r="M250" s="396" t="s">
        <v>1724</v>
      </c>
    </row>
    <row r="251" spans="1:13" ht="22.5" customHeight="1">
      <c r="A251" s="333">
        <v>220</v>
      </c>
      <c r="B251" s="432" t="s">
        <v>1985</v>
      </c>
      <c r="C251" s="433" t="s">
        <v>1986</v>
      </c>
      <c r="D251" s="396" t="s">
        <v>117</v>
      </c>
      <c r="E251" s="402">
        <v>5</v>
      </c>
      <c r="F251" s="434">
        <v>180</v>
      </c>
      <c r="G251" s="435">
        <v>900</v>
      </c>
      <c r="H251" s="436">
        <v>900</v>
      </c>
      <c r="I251" s="430">
        <v>0</v>
      </c>
      <c r="J251" s="437">
        <v>0</v>
      </c>
      <c r="K251" s="436">
        <v>850</v>
      </c>
      <c r="L251" s="438">
        <f t="shared" ref="L251:L258" si="16">J251-K251</f>
        <v>-850</v>
      </c>
      <c r="M251" s="396" t="s">
        <v>1987</v>
      </c>
    </row>
    <row r="252" spans="1:13" ht="22.5" customHeight="1">
      <c r="A252" s="333">
        <v>221</v>
      </c>
      <c r="B252" s="385" t="s">
        <v>1988</v>
      </c>
      <c r="C252" s="384" t="s">
        <v>1989</v>
      </c>
      <c r="D252" s="333" t="s">
        <v>117</v>
      </c>
      <c r="E252" s="401">
        <v>5</v>
      </c>
      <c r="F252" s="439">
        <v>180</v>
      </c>
      <c r="G252" s="439">
        <v>900</v>
      </c>
      <c r="H252" s="440">
        <v>900</v>
      </c>
      <c r="I252" s="430">
        <v>0</v>
      </c>
      <c r="J252" s="437">
        <f t="shared" ref="J252:J258" si="17">H252*(1-I252)</f>
        <v>900</v>
      </c>
      <c r="K252" s="440">
        <v>850</v>
      </c>
      <c r="L252" s="438">
        <f t="shared" si="16"/>
        <v>50</v>
      </c>
      <c r="M252" s="396" t="s">
        <v>1724</v>
      </c>
    </row>
    <row r="253" spans="1:13" ht="22.5" customHeight="1">
      <c r="A253" s="333">
        <v>222</v>
      </c>
      <c r="B253" s="385" t="s">
        <v>1990</v>
      </c>
      <c r="C253" s="384" t="s">
        <v>1991</v>
      </c>
      <c r="D253" s="333" t="s">
        <v>117</v>
      </c>
      <c r="E253" s="401">
        <v>5</v>
      </c>
      <c r="F253" s="439">
        <v>180</v>
      </c>
      <c r="G253" s="439">
        <v>900</v>
      </c>
      <c r="H253" s="440">
        <v>900</v>
      </c>
      <c r="I253" s="430">
        <v>0</v>
      </c>
      <c r="J253" s="437">
        <f t="shared" si="17"/>
        <v>900</v>
      </c>
      <c r="K253" s="440">
        <v>850</v>
      </c>
      <c r="L253" s="438">
        <f t="shared" si="16"/>
        <v>50</v>
      </c>
      <c r="M253" s="396" t="s">
        <v>1724</v>
      </c>
    </row>
    <row r="254" spans="1:13" ht="22.5" customHeight="1">
      <c r="A254" s="333">
        <v>223</v>
      </c>
      <c r="B254" s="385" t="s">
        <v>1992</v>
      </c>
      <c r="C254" s="384" t="s">
        <v>1993</v>
      </c>
      <c r="D254" s="333" t="s">
        <v>117</v>
      </c>
      <c r="E254" s="401">
        <v>5</v>
      </c>
      <c r="F254" s="439">
        <v>180</v>
      </c>
      <c r="G254" s="439">
        <v>900</v>
      </c>
      <c r="H254" s="440">
        <v>900</v>
      </c>
      <c r="I254" s="430">
        <v>0</v>
      </c>
      <c r="J254" s="437">
        <f t="shared" si="17"/>
        <v>900</v>
      </c>
      <c r="K254" s="440">
        <v>850</v>
      </c>
      <c r="L254" s="438">
        <f t="shared" si="16"/>
        <v>50</v>
      </c>
      <c r="M254" s="396" t="s">
        <v>1724</v>
      </c>
    </row>
    <row r="255" spans="1:13" ht="22.5" customHeight="1">
      <c r="A255" s="333">
        <v>224</v>
      </c>
      <c r="B255" s="385" t="s">
        <v>1994</v>
      </c>
      <c r="C255" s="384" t="s">
        <v>1995</v>
      </c>
      <c r="D255" s="333" t="s">
        <v>117</v>
      </c>
      <c r="E255" s="401">
        <v>5</v>
      </c>
      <c r="F255" s="439">
        <v>180</v>
      </c>
      <c r="G255" s="439">
        <v>900</v>
      </c>
      <c r="H255" s="440">
        <v>900</v>
      </c>
      <c r="I255" s="430">
        <v>0</v>
      </c>
      <c r="J255" s="437">
        <f t="shared" si="17"/>
        <v>900</v>
      </c>
      <c r="K255" s="440">
        <v>850</v>
      </c>
      <c r="L255" s="438">
        <f t="shared" si="16"/>
        <v>50</v>
      </c>
      <c r="M255" s="396" t="s">
        <v>1724</v>
      </c>
    </row>
    <row r="256" spans="1:13" ht="22.5" customHeight="1">
      <c r="A256" s="333">
        <v>225</v>
      </c>
      <c r="B256" s="385" t="s">
        <v>1996</v>
      </c>
      <c r="C256" s="384" t="s">
        <v>1997</v>
      </c>
      <c r="D256" s="384" t="s">
        <v>112</v>
      </c>
      <c r="E256" s="401">
        <v>5</v>
      </c>
      <c r="F256" s="439">
        <v>160</v>
      </c>
      <c r="G256" s="439">
        <v>800</v>
      </c>
      <c r="H256" s="440">
        <v>800</v>
      </c>
      <c r="I256" s="430">
        <v>0</v>
      </c>
      <c r="J256" s="437">
        <f t="shared" si="17"/>
        <v>800</v>
      </c>
      <c r="K256" s="440">
        <v>575</v>
      </c>
      <c r="L256" s="438">
        <f t="shared" si="16"/>
        <v>225</v>
      </c>
      <c r="M256" s="396" t="s">
        <v>1724</v>
      </c>
    </row>
    <row r="257" spans="1:13" ht="22.5" customHeight="1">
      <c r="A257" s="333">
        <v>226</v>
      </c>
      <c r="B257" s="385" t="s">
        <v>1998</v>
      </c>
      <c r="C257" s="384" t="s">
        <v>1999</v>
      </c>
      <c r="D257" s="333" t="s">
        <v>117</v>
      </c>
      <c r="E257" s="401">
        <v>5</v>
      </c>
      <c r="F257" s="439">
        <v>180</v>
      </c>
      <c r="G257" s="439">
        <v>900</v>
      </c>
      <c r="H257" s="440">
        <v>900</v>
      </c>
      <c r="I257" s="430">
        <v>0</v>
      </c>
      <c r="J257" s="437">
        <f t="shared" si="17"/>
        <v>900</v>
      </c>
      <c r="K257" s="440">
        <v>850</v>
      </c>
      <c r="L257" s="438">
        <f t="shared" si="16"/>
        <v>50</v>
      </c>
      <c r="M257" s="396" t="s">
        <v>1724</v>
      </c>
    </row>
    <row r="258" spans="1:13" ht="22.5" customHeight="1">
      <c r="A258" s="333">
        <v>227</v>
      </c>
      <c r="B258" s="385" t="s">
        <v>2000</v>
      </c>
      <c r="C258" s="384" t="s">
        <v>2001</v>
      </c>
      <c r="D258" s="333" t="s">
        <v>112</v>
      </c>
      <c r="E258" s="401">
        <v>5</v>
      </c>
      <c r="F258" s="439">
        <v>160</v>
      </c>
      <c r="G258" s="439">
        <v>800</v>
      </c>
      <c r="H258" s="440">
        <v>800</v>
      </c>
      <c r="I258" s="430">
        <v>0</v>
      </c>
      <c r="J258" s="437">
        <f t="shared" si="17"/>
        <v>800</v>
      </c>
      <c r="K258" s="440">
        <v>575</v>
      </c>
      <c r="L258" s="441">
        <f t="shared" si="16"/>
        <v>225</v>
      </c>
      <c r="M258" s="396" t="s">
        <v>1724</v>
      </c>
    </row>
    <row r="259" spans="1:13" ht="22.5" customHeight="1">
      <c r="A259" s="333">
        <v>228</v>
      </c>
      <c r="B259" s="385" t="s">
        <v>2002</v>
      </c>
      <c r="C259" s="384" t="s">
        <v>1900</v>
      </c>
      <c r="D259" s="333" t="s">
        <v>112</v>
      </c>
      <c r="E259" s="401">
        <v>5</v>
      </c>
      <c r="F259" s="379">
        <v>720</v>
      </c>
      <c r="G259" s="385">
        <v>3600</v>
      </c>
      <c r="H259" s="380">
        <v>1800</v>
      </c>
      <c r="I259" s="381">
        <v>0.2</v>
      </c>
      <c r="J259" s="358">
        <v>1440</v>
      </c>
      <c r="K259" s="379">
        <v>575</v>
      </c>
      <c r="L259" s="380">
        <v>865</v>
      </c>
      <c r="M259" s="396" t="s">
        <v>1565</v>
      </c>
    </row>
    <row r="260" spans="1:13" ht="22.5" customHeight="1">
      <c r="A260" s="333">
        <v>229</v>
      </c>
      <c r="B260" s="385" t="s">
        <v>2003</v>
      </c>
      <c r="C260" s="384" t="s">
        <v>2004</v>
      </c>
      <c r="D260" s="384" t="s">
        <v>112</v>
      </c>
      <c r="E260" s="401">
        <v>5</v>
      </c>
      <c r="F260" s="379">
        <v>720</v>
      </c>
      <c r="G260" s="385">
        <v>3600</v>
      </c>
      <c r="H260" s="380">
        <v>1800</v>
      </c>
      <c r="I260" s="381">
        <v>0.2</v>
      </c>
      <c r="J260" s="358">
        <v>1440</v>
      </c>
      <c r="K260" s="380">
        <v>575</v>
      </c>
      <c r="L260" s="380">
        <v>865</v>
      </c>
      <c r="M260" s="396" t="s">
        <v>1565</v>
      </c>
    </row>
    <row r="261" spans="1:13" ht="22.5" customHeight="1">
      <c r="A261" s="333">
        <v>230</v>
      </c>
      <c r="B261" s="385" t="s">
        <v>2005</v>
      </c>
      <c r="C261" s="384" t="s">
        <v>2006</v>
      </c>
      <c r="D261" s="384" t="s">
        <v>112</v>
      </c>
      <c r="E261" s="401">
        <v>5</v>
      </c>
      <c r="F261" s="379">
        <v>720</v>
      </c>
      <c r="G261" s="385">
        <v>3600</v>
      </c>
      <c r="H261" s="380">
        <v>1800</v>
      </c>
      <c r="I261" s="381">
        <v>0.2</v>
      </c>
      <c r="J261" s="358">
        <v>1440</v>
      </c>
      <c r="K261" s="380">
        <v>575</v>
      </c>
      <c r="L261" s="380">
        <v>865</v>
      </c>
      <c r="M261" s="396" t="s">
        <v>1565</v>
      </c>
    </row>
    <row r="262" spans="1:13" ht="22.5" customHeight="1">
      <c r="A262" s="333">
        <v>231</v>
      </c>
      <c r="B262" s="385" t="s">
        <v>2007</v>
      </c>
      <c r="C262" s="384" t="s">
        <v>2008</v>
      </c>
      <c r="D262" s="333" t="s">
        <v>112</v>
      </c>
      <c r="E262" s="401">
        <v>5</v>
      </c>
      <c r="F262" s="379">
        <v>720</v>
      </c>
      <c r="G262" s="385">
        <v>3600</v>
      </c>
      <c r="H262" s="380">
        <v>1800</v>
      </c>
      <c r="I262" s="381">
        <v>0.2</v>
      </c>
      <c r="J262" s="358">
        <v>1440</v>
      </c>
      <c r="K262" s="380">
        <v>575</v>
      </c>
      <c r="L262" s="380">
        <v>865</v>
      </c>
      <c r="M262" s="396" t="s">
        <v>1565</v>
      </c>
    </row>
    <row r="263" spans="1:13" ht="22.5" customHeight="1">
      <c r="A263" s="333">
        <v>232</v>
      </c>
      <c r="B263" s="439" t="s">
        <v>2009</v>
      </c>
      <c r="C263" s="442" t="s">
        <v>2010</v>
      </c>
      <c r="D263" s="442" t="s">
        <v>117</v>
      </c>
      <c r="E263" s="443">
        <v>5</v>
      </c>
      <c r="F263" s="444">
        <v>850</v>
      </c>
      <c r="G263" s="445">
        <v>4250</v>
      </c>
      <c r="H263" s="445">
        <f t="shared" ref="H263:H264" si="18">G263/2</f>
        <v>2125</v>
      </c>
      <c r="I263" s="357">
        <v>0.2</v>
      </c>
      <c r="J263" s="391">
        <v>1700</v>
      </c>
      <c r="K263" s="380">
        <v>850</v>
      </c>
      <c r="L263" s="380">
        <v>850</v>
      </c>
      <c r="M263" s="396" t="s">
        <v>1565</v>
      </c>
    </row>
    <row r="264" spans="1:13" ht="22.5" customHeight="1">
      <c r="A264" s="333">
        <v>233</v>
      </c>
      <c r="B264" s="439" t="s">
        <v>2011</v>
      </c>
      <c r="C264" s="442" t="s">
        <v>2012</v>
      </c>
      <c r="D264" s="446" t="s">
        <v>112</v>
      </c>
      <c r="E264" s="443">
        <v>5</v>
      </c>
      <c r="F264" s="444">
        <v>720</v>
      </c>
      <c r="G264" s="445">
        <v>3600</v>
      </c>
      <c r="H264" s="445">
        <f t="shared" si="18"/>
        <v>1800</v>
      </c>
      <c r="I264" s="357">
        <v>0.2</v>
      </c>
      <c r="J264" s="391">
        <v>1440</v>
      </c>
      <c r="K264" s="380">
        <v>575</v>
      </c>
      <c r="L264" s="380">
        <v>865</v>
      </c>
      <c r="M264" s="396" t="s">
        <v>1565</v>
      </c>
    </row>
    <row r="265" spans="1:13" ht="22.5" customHeight="1">
      <c r="A265" s="333">
        <v>234</v>
      </c>
      <c r="B265" s="447" t="s">
        <v>2013</v>
      </c>
      <c r="C265" s="448" t="s">
        <v>2014</v>
      </c>
      <c r="D265" s="448" t="s">
        <v>124</v>
      </c>
      <c r="E265" s="449">
        <v>5</v>
      </c>
      <c r="F265" s="450" t="s">
        <v>2015</v>
      </c>
      <c r="G265" s="445" t="s">
        <v>2016</v>
      </c>
      <c r="H265" s="445" t="s">
        <v>2017</v>
      </c>
      <c r="I265" s="357">
        <v>0</v>
      </c>
      <c r="J265" s="391" t="s">
        <v>2018</v>
      </c>
      <c r="K265" s="424" t="s">
        <v>2019</v>
      </c>
      <c r="L265" s="380" t="s">
        <v>2020</v>
      </c>
      <c r="M265" s="396" t="s">
        <v>1724</v>
      </c>
    </row>
    <row r="266" spans="1:13" ht="22.5" customHeight="1">
      <c r="A266" s="333">
        <v>235</v>
      </c>
      <c r="B266" s="447" t="s">
        <v>2021</v>
      </c>
      <c r="C266" s="448" t="s">
        <v>2022</v>
      </c>
      <c r="D266" s="448" t="s">
        <v>124</v>
      </c>
      <c r="E266" s="449">
        <v>5</v>
      </c>
      <c r="F266" s="450" t="s">
        <v>2015</v>
      </c>
      <c r="G266" s="445" t="s">
        <v>2016</v>
      </c>
      <c r="H266" s="445" t="s">
        <v>2017</v>
      </c>
      <c r="I266" s="357">
        <v>0</v>
      </c>
      <c r="J266" s="391" t="s">
        <v>2018</v>
      </c>
      <c r="K266" s="424" t="s">
        <v>2023</v>
      </c>
      <c r="L266" s="380" t="s">
        <v>2024</v>
      </c>
      <c r="M266" s="396" t="s">
        <v>1724</v>
      </c>
    </row>
    <row r="267" spans="1:13" ht="22.5" customHeight="1">
      <c r="A267" s="451"/>
      <c r="B267" s="393" t="s">
        <v>26</v>
      </c>
      <c r="C267" s="393">
        <f>COUNTA(C177:C266)</f>
        <v>90</v>
      </c>
      <c r="D267" s="428"/>
      <c r="E267" s="394">
        <f>SUM(E177:E266)</f>
        <v>448.6</v>
      </c>
      <c r="F267" s="393"/>
      <c r="G267" s="393"/>
      <c r="H267" s="393"/>
      <c r="I267" s="393"/>
      <c r="J267" s="393"/>
      <c r="K267" s="429">
        <f t="shared" ref="K267:L267" si="19">SUM(K177:K266)</f>
        <v>58781</v>
      </c>
      <c r="L267" s="950">
        <f t="shared" si="19"/>
        <v>40709</v>
      </c>
      <c r="M267" s="932"/>
    </row>
    <row r="268" spans="1:13" ht="13.2">
      <c r="A268" s="346"/>
      <c r="B268" s="346"/>
      <c r="C268" s="346"/>
      <c r="D268" s="346"/>
      <c r="E268" s="346"/>
      <c r="F268" s="346"/>
      <c r="G268" s="346"/>
      <c r="H268" s="346"/>
      <c r="I268" s="346"/>
      <c r="J268" s="346"/>
      <c r="K268" s="346"/>
      <c r="L268" s="346"/>
      <c r="M268" s="346"/>
    </row>
    <row r="269" spans="1:13" ht="13.2">
      <c r="A269" s="346"/>
      <c r="B269" s="346"/>
      <c r="C269" s="346"/>
      <c r="D269" s="346"/>
      <c r="E269" s="346"/>
      <c r="F269" s="346"/>
      <c r="G269" s="346"/>
      <c r="H269" s="346"/>
      <c r="I269" s="346"/>
      <c r="J269" s="346"/>
      <c r="K269" s="346"/>
      <c r="L269" s="346"/>
      <c r="M269" s="346"/>
    </row>
    <row r="270" spans="1:13" ht="13.2">
      <c r="A270" s="346"/>
      <c r="B270" s="346"/>
      <c r="C270" s="346"/>
      <c r="D270" s="346"/>
      <c r="E270" s="346"/>
      <c r="F270" s="346"/>
      <c r="G270" s="346"/>
      <c r="H270" s="346"/>
      <c r="I270" s="346"/>
      <c r="J270" s="346"/>
      <c r="K270" s="346"/>
      <c r="L270" s="346"/>
      <c r="M270" s="346"/>
    </row>
    <row r="271" spans="1:13" ht="13.2">
      <c r="A271" s="952" t="s">
        <v>2025</v>
      </c>
      <c r="B271" s="953"/>
      <c r="C271" s="953"/>
      <c r="D271" s="953"/>
      <c r="E271" s="953"/>
      <c r="F271" s="953"/>
      <c r="G271" s="953"/>
      <c r="H271" s="953"/>
      <c r="I271" s="953"/>
      <c r="J271" s="953"/>
      <c r="K271" s="953"/>
      <c r="L271" s="953"/>
      <c r="M271" s="941"/>
    </row>
    <row r="272" spans="1:13" ht="13.2">
      <c r="A272" s="942"/>
      <c r="B272" s="954"/>
      <c r="C272" s="954"/>
      <c r="D272" s="954"/>
      <c r="E272" s="954"/>
      <c r="F272" s="954"/>
      <c r="G272" s="954"/>
      <c r="H272" s="954"/>
      <c r="I272" s="954"/>
      <c r="J272" s="954"/>
      <c r="K272" s="954"/>
      <c r="L272" s="954"/>
      <c r="M272" s="943"/>
    </row>
    <row r="273" spans="1:13" ht="22.5" customHeight="1">
      <c r="A273" s="347" t="s">
        <v>165</v>
      </c>
      <c r="B273" s="348" t="s">
        <v>166</v>
      </c>
      <c r="C273" s="348" t="s">
        <v>1556</v>
      </c>
      <c r="D273" s="334" t="s">
        <v>168</v>
      </c>
      <c r="E273" s="334" t="s">
        <v>169</v>
      </c>
      <c r="F273" s="348" t="s">
        <v>1557</v>
      </c>
      <c r="G273" s="348" t="s">
        <v>1558</v>
      </c>
      <c r="H273" s="348" t="s">
        <v>1559</v>
      </c>
      <c r="I273" s="348" t="s">
        <v>1560</v>
      </c>
      <c r="J273" s="349" t="s">
        <v>1697</v>
      </c>
      <c r="K273" s="334" t="s">
        <v>1562</v>
      </c>
      <c r="L273" s="350" t="s">
        <v>1563</v>
      </c>
      <c r="M273" s="351" t="s">
        <v>177</v>
      </c>
    </row>
    <row r="274" spans="1:13" ht="22.5" customHeight="1">
      <c r="A274" s="333">
        <v>236</v>
      </c>
      <c r="B274" s="333" t="s">
        <v>2026</v>
      </c>
      <c r="C274" s="333" t="s">
        <v>2027</v>
      </c>
      <c r="D274" s="333" t="s">
        <v>112</v>
      </c>
      <c r="E274" s="401">
        <v>5</v>
      </c>
      <c r="F274" s="380">
        <v>720</v>
      </c>
      <c r="G274" s="380">
        <v>3600</v>
      </c>
      <c r="H274" s="380">
        <v>1800</v>
      </c>
      <c r="I274" s="381">
        <v>0.2</v>
      </c>
      <c r="J274" s="358">
        <f t="shared" ref="J274:J279" si="20">H274*(1-I274)</f>
        <v>1440</v>
      </c>
      <c r="K274" s="380">
        <v>700</v>
      </c>
      <c r="L274" s="380">
        <f t="shared" ref="L274:L279" si="21">J274-K274</f>
        <v>740</v>
      </c>
      <c r="M274" s="396" t="s">
        <v>1565</v>
      </c>
    </row>
    <row r="275" spans="1:13" ht="22.5" customHeight="1">
      <c r="A275" s="333">
        <v>237</v>
      </c>
      <c r="B275" s="333" t="s">
        <v>2028</v>
      </c>
      <c r="C275" s="333" t="s">
        <v>2029</v>
      </c>
      <c r="D275" s="333" t="s">
        <v>112</v>
      </c>
      <c r="E275" s="401">
        <v>5</v>
      </c>
      <c r="F275" s="379">
        <v>192</v>
      </c>
      <c r="G275" s="379">
        <v>960</v>
      </c>
      <c r="H275" s="379">
        <v>960</v>
      </c>
      <c r="I275" s="381">
        <v>0</v>
      </c>
      <c r="J275" s="358">
        <f t="shared" si="20"/>
        <v>960</v>
      </c>
      <c r="K275" s="380">
        <v>700</v>
      </c>
      <c r="L275" s="380">
        <f t="shared" si="21"/>
        <v>260</v>
      </c>
      <c r="M275" s="396" t="s">
        <v>1636</v>
      </c>
    </row>
    <row r="276" spans="1:13" ht="22.5" customHeight="1">
      <c r="A276" s="333">
        <v>238</v>
      </c>
      <c r="B276" s="333" t="s">
        <v>2030</v>
      </c>
      <c r="C276" s="333" t="s">
        <v>2031</v>
      </c>
      <c r="D276" s="333" t="s">
        <v>113</v>
      </c>
      <c r="E276" s="401">
        <v>5</v>
      </c>
      <c r="F276" s="379">
        <v>144</v>
      </c>
      <c r="G276" s="379">
        <v>720</v>
      </c>
      <c r="H276" s="379">
        <v>720</v>
      </c>
      <c r="I276" s="381">
        <v>0</v>
      </c>
      <c r="J276" s="358">
        <f t="shared" si="20"/>
        <v>720</v>
      </c>
      <c r="K276" s="380">
        <v>500</v>
      </c>
      <c r="L276" s="380">
        <f t="shared" si="21"/>
        <v>220</v>
      </c>
      <c r="M276" s="396" t="s">
        <v>1636</v>
      </c>
    </row>
    <row r="277" spans="1:13" ht="22.5" customHeight="1">
      <c r="A277" s="333">
        <v>239</v>
      </c>
      <c r="B277" s="333" t="s">
        <v>2032</v>
      </c>
      <c r="C277" s="333" t="s">
        <v>2033</v>
      </c>
      <c r="D277" s="333" t="s">
        <v>115</v>
      </c>
      <c r="E277" s="401">
        <v>5</v>
      </c>
      <c r="F277" s="379">
        <v>216</v>
      </c>
      <c r="G277" s="385">
        <v>1080</v>
      </c>
      <c r="H277" s="385">
        <v>1080</v>
      </c>
      <c r="I277" s="381">
        <v>0</v>
      </c>
      <c r="J277" s="358">
        <f t="shared" si="20"/>
        <v>1080</v>
      </c>
      <c r="K277" s="380">
        <v>700</v>
      </c>
      <c r="L277" s="380">
        <f t="shared" si="21"/>
        <v>380</v>
      </c>
      <c r="M277" s="396" t="s">
        <v>1636</v>
      </c>
    </row>
    <row r="278" spans="1:13" ht="22.5" customHeight="1">
      <c r="A278" s="333">
        <v>240</v>
      </c>
      <c r="B278" s="333" t="s">
        <v>2034</v>
      </c>
      <c r="C278" s="333" t="s">
        <v>2035</v>
      </c>
      <c r="D278" s="333" t="s">
        <v>112</v>
      </c>
      <c r="E278" s="401">
        <v>5</v>
      </c>
      <c r="F278" s="379">
        <v>192</v>
      </c>
      <c r="G278" s="385">
        <v>960</v>
      </c>
      <c r="H278" s="385">
        <v>960</v>
      </c>
      <c r="I278" s="381">
        <v>0</v>
      </c>
      <c r="J278" s="358">
        <f t="shared" si="20"/>
        <v>960</v>
      </c>
      <c r="K278" s="380">
        <v>700</v>
      </c>
      <c r="L278" s="380">
        <f t="shared" si="21"/>
        <v>260</v>
      </c>
      <c r="M278" s="396" t="s">
        <v>1636</v>
      </c>
    </row>
    <row r="279" spans="1:13" ht="22.5" customHeight="1">
      <c r="A279" s="333">
        <v>241</v>
      </c>
      <c r="B279" s="333" t="s">
        <v>2036</v>
      </c>
      <c r="C279" s="333" t="s">
        <v>2037</v>
      </c>
      <c r="D279" s="333" t="s">
        <v>127</v>
      </c>
      <c r="E279" s="401">
        <v>4.8</v>
      </c>
      <c r="F279" s="452">
        <v>390</v>
      </c>
      <c r="G279" s="379">
        <v>1872</v>
      </c>
      <c r="H279" s="379">
        <v>1872</v>
      </c>
      <c r="I279" s="381">
        <v>0.2</v>
      </c>
      <c r="J279" s="358">
        <f t="shared" si="20"/>
        <v>1497.6000000000001</v>
      </c>
      <c r="K279" s="380">
        <v>672</v>
      </c>
      <c r="L279" s="380">
        <f t="shared" si="21"/>
        <v>825.60000000000014</v>
      </c>
      <c r="M279" s="396" t="s">
        <v>1653</v>
      </c>
    </row>
    <row r="280" spans="1:13" ht="22.5" customHeight="1">
      <c r="A280" s="333">
        <v>242</v>
      </c>
      <c r="B280" s="419" t="s">
        <v>2038</v>
      </c>
      <c r="C280" s="354" t="s">
        <v>2039</v>
      </c>
      <c r="D280" s="353" t="s">
        <v>115</v>
      </c>
      <c r="E280" s="414">
        <v>5</v>
      </c>
      <c r="F280" s="390">
        <v>800</v>
      </c>
      <c r="G280" s="419">
        <v>4000</v>
      </c>
      <c r="H280" s="356">
        <v>2000</v>
      </c>
      <c r="I280" s="357">
        <v>0.2</v>
      </c>
      <c r="J280" s="391">
        <v>1600</v>
      </c>
      <c r="K280" s="423">
        <v>700</v>
      </c>
      <c r="L280" s="356">
        <v>900</v>
      </c>
      <c r="M280" s="431" t="s">
        <v>1565</v>
      </c>
    </row>
    <row r="281" spans="1:13" ht="22.5" customHeight="1">
      <c r="A281" s="451"/>
      <c r="B281" s="393" t="s">
        <v>26</v>
      </c>
      <c r="C281" s="453">
        <f>COUNTA(C274:C280)</f>
        <v>7</v>
      </c>
      <c r="D281" s="453"/>
      <c r="E281" s="454">
        <f>SUM(E274:E280)</f>
        <v>34.799999999999997</v>
      </c>
      <c r="F281" s="453"/>
      <c r="G281" s="453"/>
      <c r="H281" s="453"/>
      <c r="I281" s="453"/>
      <c r="J281" s="453"/>
      <c r="K281" s="455">
        <f t="shared" ref="K281:L281" si="22">SUM(K274:K280)</f>
        <v>4672</v>
      </c>
      <c r="L281" s="948">
        <f t="shared" si="22"/>
        <v>3585.6000000000004</v>
      </c>
      <c r="M281" s="932"/>
    </row>
    <row r="282" spans="1:13" ht="13.2">
      <c r="A282" s="346"/>
      <c r="B282" s="346"/>
      <c r="C282" s="346"/>
      <c r="D282" s="346"/>
      <c r="E282" s="346"/>
      <c r="F282" s="346"/>
      <c r="G282" s="346"/>
      <c r="H282" s="346"/>
      <c r="I282" s="346"/>
      <c r="J282" s="346"/>
      <c r="K282" s="346"/>
      <c r="L282" s="346"/>
      <c r="M282" s="346"/>
    </row>
    <row r="283" spans="1:13" ht="13.2">
      <c r="A283" s="346"/>
      <c r="B283" s="346"/>
      <c r="C283" s="346"/>
      <c r="D283" s="346"/>
      <c r="E283" s="346"/>
      <c r="F283" s="346"/>
      <c r="G283" s="346"/>
      <c r="H283" s="346"/>
      <c r="I283" s="346"/>
      <c r="J283" s="346"/>
      <c r="K283" s="346"/>
      <c r="L283" s="346"/>
      <c r="M283" s="346"/>
    </row>
    <row r="284" spans="1:13" ht="13.2">
      <c r="A284" s="949" t="s">
        <v>2040</v>
      </c>
      <c r="B284" s="931"/>
      <c r="C284" s="931"/>
      <c r="D284" s="931"/>
      <c r="E284" s="931"/>
      <c r="F284" s="931"/>
      <c r="G284" s="931"/>
      <c r="H284" s="931"/>
      <c r="I284" s="931"/>
      <c r="J284" s="931"/>
      <c r="K284" s="931"/>
      <c r="L284" s="931"/>
      <c r="M284" s="932"/>
    </row>
    <row r="285" spans="1:13" ht="22.5" customHeight="1">
      <c r="A285" s="347" t="s">
        <v>165</v>
      </c>
      <c r="B285" s="348" t="s">
        <v>166</v>
      </c>
      <c r="C285" s="348" t="s">
        <v>1556</v>
      </c>
      <c r="D285" s="334" t="s">
        <v>168</v>
      </c>
      <c r="E285" s="334" t="s">
        <v>169</v>
      </c>
      <c r="F285" s="348" t="s">
        <v>1557</v>
      </c>
      <c r="G285" s="348" t="s">
        <v>1558</v>
      </c>
      <c r="H285" s="348" t="s">
        <v>1559</v>
      </c>
      <c r="I285" s="348" t="s">
        <v>1560</v>
      </c>
      <c r="J285" s="349" t="s">
        <v>1697</v>
      </c>
      <c r="K285" s="334" t="s">
        <v>1562</v>
      </c>
      <c r="L285" s="350" t="s">
        <v>1563</v>
      </c>
      <c r="M285" s="351" t="s">
        <v>177</v>
      </c>
    </row>
    <row r="286" spans="1:13" ht="22.5" customHeight="1">
      <c r="A286" s="333">
        <v>243</v>
      </c>
      <c r="B286" s="333" t="s">
        <v>1853</v>
      </c>
      <c r="C286" s="333" t="s">
        <v>2041</v>
      </c>
      <c r="D286" s="333" t="s">
        <v>112</v>
      </c>
      <c r="E286" s="401">
        <v>5</v>
      </c>
      <c r="F286" s="380">
        <v>720</v>
      </c>
      <c r="G286" s="380">
        <v>3600</v>
      </c>
      <c r="H286" s="380">
        <v>1800</v>
      </c>
      <c r="I286" s="381">
        <v>0.2</v>
      </c>
      <c r="J286" s="358">
        <f t="shared" ref="J286:J295" si="23">H286*(1-I286)</f>
        <v>1440</v>
      </c>
      <c r="K286" s="380">
        <v>575</v>
      </c>
      <c r="L286" s="380">
        <f t="shared" ref="L286:L295" si="24">J286-K286</f>
        <v>865</v>
      </c>
      <c r="M286" s="396" t="s">
        <v>1565</v>
      </c>
    </row>
    <row r="287" spans="1:13" ht="22.5" customHeight="1">
      <c r="A287" s="333">
        <v>244</v>
      </c>
      <c r="B287" s="333" t="s">
        <v>1748</v>
      </c>
      <c r="C287" s="333" t="s">
        <v>2042</v>
      </c>
      <c r="D287" s="333" t="s">
        <v>113</v>
      </c>
      <c r="E287" s="401">
        <v>5</v>
      </c>
      <c r="F287" s="380">
        <v>720</v>
      </c>
      <c r="G287" s="380">
        <v>3600</v>
      </c>
      <c r="H287" s="380">
        <v>1800</v>
      </c>
      <c r="I287" s="381">
        <v>0.2</v>
      </c>
      <c r="J287" s="358">
        <f t="shared" si="23"/>
        <v>1440</v>
      </c>
      <c r="K287" s="380">
        <v>475</v>
      </c>
      <c r="L287" s="380">
        <f t="shared" si="24"/>
        <v>965</v>
      </c>
      <c r="M287" s="396" t="s">
        <v>1565</v>
      </c>
    </row>
    <row r="288" spans="1:13" ht="22.5" customHeight="1">
      <c r="A288" s="333">
        <v>245</v>
      </c>
      <c r="B288" s="333" t="s">
        <v>2043</v>
      </c>
      <c r="C288" s="384" t="s">
        <v>2044</v>
      </c>
      <c r="D288" s="333" t="s">
        <v>112</v>
      </c>
      <c r="E288" s="401">
        <v>5</v>
      </c>
      <c r="F288" s="379">
        <v>720</v>
      </c>
      <c r="G288" s="379">
        <v>3600</v>
      </c>
      <c r="H288" s="379">
        <v>1800</v>
      </c>
      <c r="I288" s="381">
        <v>0.2</v>
      </c>
      <c r="J288" s="358">
        <f t="shared" si="23"/>
        <v>1440</v>
      </c>
      <c r="K288" s="380">
        <v>700</v>
      </c>
      <c r="L288" s="380">
        <f t="shared" si="24"/>
        <v>740</v>
      </c>
      <c r="M288" s="396" t="s">
        <v>1565</v>
      </c>
    </row>
    <row r="289" spans="1:13" ht="22.5" customHeight="1">
      <c r="A289" s="333">
        <v>246</v>
      </c>
      <c r="B289" s="333" t="s">
        <v>2045</v>
      </c>
      <c r="C289" s="333" t="s">
        <v>2046</v>
      </c>
      <c r="D289" s="333" t="s">
        <v>112</v>
      </c>
      <c r="E289" s="401">
        <v>5</v>
      </c>
      <c r="F289" s="379">
        <v>720</v>
      </c>
      <c r="G289" s="379">
        <v>3600</v>
      </c>
      <c r="H289" s="379">
        <v>1800</v>
      </c>
      <c r="I289" s="381">
        <v>0.2</v>
      </c>
      <c r="J289" s="358">
        <f t="shared" si="23"/>
        <v>1440</v>
      </c>
      <c r="K289" s="380">
        <v>575</v>
      </c>
      <c r="L289" s="380">
        <f t="shared" si="24"/>
        <v>865</v>
      </c>
      <c r="M289" s="396" t="s">
        <v>1565</v>
      </c>
    </row>
    <row r="290" spans="1:13" ht="22.5" customHeight="1">
      <c r="A290" s="333">
        <v>247</v>
      </c>
      <c r="B290" s="333" t="s">
        <v>2047</v>
      </c>
      <c r="C290" s="389" t="s">
        <v>2048</v>
      </c>
      <c r="D290" s="389" t="s">
        <v>113</v>
      </c>
      <c r="E290" s="355">
        <v>5</v>
      </c>
      <c r="F290" s="390">
        <v>144</v>
      </c>
      <c r="G290" s="390">
        <f>F290*E290</f>
        <v>720</v>
      </c>
      <c r="H290" s="390">
        <v>720</v>
      </c>
      <c r="I290" s="381">
        <v>0</v>
      </c>
      <c r="J290" s="358">
        <f t="shared" si="23"/>
        <v>720</v>
      </c>
      <c r="K290" s="380">
        <v>475</v>
      </c>
      <c r="L290" s="380">
        <f t="shared" si="24"/>
        <v>245</v>
      </c>
      <c r="M290" s="396" t="s">
        <v>1636</v>
      </c>
    </row>
    <row r="291" spans="1:13" ht="22.5" customHeight="1">
      <c r="A291" s="333">
        <v>248</v>
      </c>
      <c r="B291" s="333" t="s">
        <v>2049</v>
      </c>
      <c r="C291" s="333" t="s">
        <v>2050</v>
      </c>
      <c r="D291" s="333" t="s">
        <v>113</v>
      </c>
      <c r="E291" s="401">
        <v>5</v>
      </c>
      <c r="F291" s="379">
        <v>144</v>
      </c>
      <c r="G291" s="385">
        <v>720</v>
      </c>
      <c r="H291" s="385">
        <v>720</v>
      </c>
      <c r="I291" s="381">
        <v>0</v>
      </c>
      <c r="J291" s="358">
        <f t="shared" si="23"/>
        <v>720</v>
      </c>
      <c r="K291" s="380">
        <v>475</v>
      </c>
      <c r="L291" s="380">
        <f t="shared" si="24"/>
        <v>245</v>
      </c>
      <c r="M291" s="396" t="s">
        <v>1636</v>
      </c>
    </row>
    <row r="292" spans="1:13" ht="22.5" customHeight="1">
      <c r="A292" s="333">
        <v>249</v>
      </c>
      <c r="B292" s="333" t="s">
        <v>2051</v>
      </c>
      <c r="C292" s="333" t="s">
        <v>2052</v>
      </c>
      <c r="D292" s="333" t="s">
        <v>113</v>
      </c>
      <c r="E292" s="401">
        <v>5</v>
      </c>
      <c r="F292" s="452">
        <v>265</v>
      </c>
      <c r="G292" s="379">
        <v>1325</v>
      </c>
      <c r="H292" s="379">
        <v>1325</v>
      </c>
      <c r="I292" s="381">
        <v>0.2</v>
      </c>
      <c r="J292" s="358">
        <f t="shared" si="23"/>
        <v>1060</v>
      </c>
      <c r="K292" s="380">
        <v>475</v>
      </c>
      <c r="L292" s="380">
        <f t="shared" si="24"/>
        <v>585</v>
      </c>
      <c r="M292" s="403" t="s">
        <v>1653</v>
      </c>
    </row>
    <row r="293" spans="1:13" ht="22.5" customHeight="1">
      <c r="A293" s="333">
        <v>250</v>
      </c>
      <c r="B293" s="419" t="s">
        <v>2053</v>
      </c>
      <c r="C293" s="354" t="s">
        <v>2054</v>
      </c>
      <c r="D293" s="353" t="s">
        <v>113</v>
      </c>
      <c r="E293" s="414">
        <v>5</v>
      </c>
      <c r="F293" s="390">
        <v>720</v>
      </c>
      <c r="G293" s="356">
        <v>3600</v>
      </c>
      <c r="H293" s="356">
        <v>1800</v>
      </c>
      <c r="I293" s="357">
        <v>0.2</v>
      </c>
      <c r="J293" s="358">
        <f t="shared" si="23"/>
        <v>1440</v>
      </c>
      <c r="K293" s="356">
        <v>475</v>
      </c>
      <c r="L293" s="380">
        <f t="shared" si="24"/>
        <v>965</v>
      </c>
      <c r="M293" s="396" t="s">
        <v>1565</v>
      </c>
    </row>
    <row r="294" spans="1:13" ht="22.5" customHeight="1">
      <c r="A294" s="333">
        <v>251</v>
      </c>
      <c r="B294" s="419" t="s">
        <v>2055</v>
      </c>
      <c r="C294" s="354" t="s">
        <v>2056</v>
      </c>
      <c r="D294" s="353" t="s">
        <v>113</v>
      </c>
      <c r="E294" s="414">
        <v>5</v>
      </c>
      <c r="F294" s="390">
        <v>720</v>
      </c>
      <c r="G294" s="356">
        <v>3600</v>
      </c>
      <c r="H294" s="356">
        <v>1800</v>
      </c>
      <c r="I294" s="357">
        <v>0.15</v>
      </c>
      <c r="J294" s="358">
        <f t="shared" si="23"/>
        <v>1530</v>
      </c>
      <c r="K294" s="356">
        <v>475</v>
      </c>
      <c r="L294" s="380">
        <f t="shared" si="24"/>
        <v>1055</v>
      </c>
      <c r="M294" s="396" t="s">
        <v>1565</v>
      </c>
    </row>
    <row r="295" spans="1:13" ht="22.5" customHeight="1">
      <c r="A295" s="333">
        <v>252</v>
      </c>
      <c r="B295" s="385" t="s">
        <v>2057</v>
      </c>
      <c r="C295" s="384" t="s">
        <v>2058</v>
      </c>
      <c r="D295" s="385" t="s">
        <v>112</v>
      </c>
      <c r="E295" s="401">
        <v>5</v>
      </c>
      <c r="F295" s="406">
        <f>G295/A295</f>
        <v>3.1746031746031744</v>
      </c>
      <c r="G295" s="379">
        <v>800</v>
      </c>
      <c r="H295" s="379">
        <v>800</v>
      </c>
      <c r="I295" s="430">
        <v>0</v>
      </c>
      <c r="J295" s="437">
        <f t="shared" si="23"/>
        <v>800</v>
      </c>
      <c r="K295" s="436">
        <v>575</v>
      </c>
      <c r="L295" s="438">
        <f t="shared" si="24"/>
        <v>225</v>
      </c>
      <c r="M295" s="431" t="s">
        <v>1724</v>
      </c>
    </row>
    <row r="296" spans="1:13" ht="22.5" customHeight="1">
      <c r="A296" s="333">
        <v>253</v>
      </c>
      <c r="B296" s="419" t="s">
        <v>2059</v>
      </c>
      <c r="C296" s="354" t="s">
        <v>2060</v>
      </c>
      <c r="D296" s="353" t="s">
        <v>112</v>
      </c>
      <c r="E296" s="414">
        <v>5</v>
      </c>
      <c r="F296" s="425">
        <v>160</v>
      </c>
      <c r="G296" s="390">
        <v>800</v>
      </c>
      <c r="H296" s="419">
        <v>800</v>
      </c>
      <c r="I296" s="357">
        <v>0</v>
      </c>
      <c r="J296" s="391">
        <v>800</v>
      </c>
      <c r="K296" s="390">
        <v>575</v>
      </c>
      <c r="L296" s="356">
        <v>225</v>
      </c>
      <c r="M296" s="431" t="s">
        <v>1724</v>
      </c>
    </row>
    <row r="297" spans="1:13" ht="22.5" customHeight="1">
      <c r="A297" s="333">
        <v>254</v>
      </c>
      <c r="B297" s="385" t="s">
        <v>2061</v>
      </c>
      <c r="C297" s="384" t="s">
        <v>2062</v>
      </c>
      <c r="D297" s="333" t="s">
        <v>112</v>
      </c>
      <c r="E297" s="401">
        <v>5</v>
      </c>
      <c r="F297" s="439">
        <v>160</v>
      </c>
      <c r="G297" s="439">
        <v>800</v>
      </c>
      <c r="H297" s="440">
        <v>800</v>
      </c>
      <c r="I297" s="430">
        <v>0</v>
      </c>
      <c r="J297" s="437">
        <f>H297*(1-I297)</f>
        <v>800</v>
      </c>
      <c r="K297" s="440">
        <v>575</v>
      </c>
      <c r="L297" s="441">
        <f>J297-K297</f>
        <v>225</v>
      </c>
      <c r="M297" s="431" t="s">
        <v>1724</v>
      </c>
    </row>
    <row r="298" spans="1:13" ht="22.5" customHeight="1">
      <c r="A298" s="333">
        <v>255</v>
      </c>
      <c r="B298" s="439" t="s">
        <v>2063</v>
      </c>
      <c r="C298" s="439" t="s">
        <v>2064</v>
      </c>
      <c r="D298" s="439" t="s">
        <v>113</v>
      </c>
      <c r="E298" s="442">
        <v>5</v>
      </c>
      <c r="F298" s="435">
        <v>220</v>
      </c>
      <c r="G298" s="436">
        <f>F298*E298</f>
        <v>1100</v>
      </c>
      <c r="H298" s="436">
        <f>G298*80%</f>
        <v>880</v>
      </c>
      <c r="I298" s="430">
        <v>0</v>
      </c>
      <c r="J298" s="456">
        <v>880</v>
      </c>
      <c r="K298" s="372">
        <v>475</v>
      </c>
      <c r="L298" s="457">
        <v>405</v>
      </c>
      <c r="M298" s="431" t="s">
        <v>1636</v>
      </c>
    </row>
    <row r="299" spans="1:13" ht="22.5" customHeight="1">
      <c r="A299" s="333">
        <v>256</v>
      </c>
      <c r="B299" s="419" t="s">
        <v>2065</v>
      </c>
      <c r="C299" s="354" t="s">
        <v>1041</v>
      </c>
      <c r="D299" s="353" t="s">
        <v>112</v>
      </c>
      <c r="E299" s="414">
        <v>5</v>
      </c>
      <c r="F299" s="390">
        <v>720</v>
      </c>
      <c r="G299" s="419">
        <v>3600</v>
      </c>
      <c r="H299" s="356">
        <v>1800</v>
      </c>
      <c r="I299" s="357">
        <v>0.2</v>
      </c>
      <c r="J299" s="391">
        <v>1440</v>
      </c>
      <c r="K299" s="390">
        <v>575</v>
      </c>
      <c r="L299" s="356">
        <v>865</v>
      </c>
      <c r="M299" s="431" t="s">
        <v>1565</v>
      </c>
    </row>
    <row r="300" spans="1:13" ht="22.5" customHeight="1">
      <c r="A300" s="451"/>
      <c r="B300" s="393" t="s">
        <v>26</v>
      </c>
      <c r="C300" s="453">
        <f>COUNTA(C286:C299)</f>
        <v>14</v>
      </c>
      <c r="D300" s="453"/>
      <c r="E300" s="454">
        <f>SUM(E285:E299)</f>
        <v>70</v>
      </c>
      <c r="F300" s="453"/>
      <c r="G300" s="453"/>
      <c r="H300" s="453"/>
      <c r="I300" s="453"/>
      <c r="J300" s="453"/>
      <c r="K300" s="458">
        <f t="shared" ref="K300:L300" si="25">SUM(K286:K299)</f>
        <v>7475</v>
      </c>
      <c r="L300" s="948">
        <f t="shared" si="25"/>
        <v>8475</v>
      </c>
      <c r="M300" s="932"/>
    </row>
    <row r="301" spans="1:13" ht="13.2">
      <c r="A301" s="346"/>
      <c r="B301" s="346"/>
      <c r="C301" s="346"/>
      <c r="D301" s="346"/>
      <c r="E301" s="346"/>
      <c r="F301" s="346"/>
      <c r="G301" s="346"/>
      <c r="H301" s="346"/>
      <c r="I301" s="346"/>
      <c r="J301" s="346"/>
      <c r="K301" s="346"/>
      <c r="L301" s="346"/>
      <c r="M301" s="346"/>
    </row>
    <row r="302" spans="1:13" ht="13.2">
      <c r="A302" s="346"/>
      <c r="B302" s="346"/>
      <c r="C302" s="346"/>
      <c r="D302" s="346"/>
      <c r="E302" s="346"/>
      <c r="F302" s="346"/>
      <c r="G302" s="346"/>
      <c r="H302" s="346"/>
      <c r="I302" s="346"/>
      <c r="J302" s="346"/>
      <c r="K302" s="346"/>
      <c r="L302" s="346"/>
      <c r="M302" s="346"/>
    </row>
    <row r="303" spans="1:13" ht="13.2">
      <c r="A303" s="949" t="s">
        <v>2066</v>
      </c>
      <c r="B303" s="931"/>
      <c r="C303" s="931"/>
      <c r="D303" s="931"/>
      <c r="E303" s="931"/>
      <c r="F303" s="931"/>
      <c r="G303" s="931"/>
      <c r="H303" s="931"/>
      <c r="I303" s="931"/>
      <c r="J303" s="931"/>
      <c r="K303" s="931"/>
      <c r="L303" s="931"/>
      <c r="M303" s="932"/>
    </row>
    <row r="304" spans="1:13" ht="22.5" customHeight="1">
      <c r="A304" s="396" t="s">
        <v>165</v>
      </c>
      <c r="B304" s="396" t="s">
        <v>166</v>
      </c>
      <c r="C304" s="396" t="s">
        <v>1556</v>
      </c>
      <c r="D304" s="334" t="s">
        <v>168</v>
      </c>
      <c r="E304" s="334" t="s">
        <v>169</v>
      </c>
      <c r="F304" s="396" t="s">
        <v>1557</v>
      </c>
      <c r="G304" s="396" t="s">
        <v>1558</v>
      </c>
      <c r="H304" s="396" t="s">
        <v>1559</v>
      </c>
      <c r="I304" s="396" t="s">
        <v>1560</v>
      </c>
      <c r="J304" s="398" t="s">
        <v>1697</v>
      </c>
      <c r="K304" s="334" t="s">
        <v>1562</v>
      </c>
      <c r="L304" s="399" t="s">
        <v>1563</v>
      </c>
      <c r="M304" s="400" t="s">
        <v>177</v>
      </c>
    </row>
    <row r="305" spans="1:13" ht="22.5" customHeight="1">
      <c r="A305" s="333">
        <v>257</v>
      </c>
      <c r="B305" s="333" t="s">
        <v>2067</v>
      </c>
      <c r="C305" s="333" t="s">
        <v>2068</v>
      </c>
      <c r="D305" s="333" t="s">
        <v>112</v>
      </c>
      <c r="E305" s="401">
        <v>5.8</v>
      </c>
      <c r="F305" s="380">
        <v>720</v>
      </c>
      <c r="G305" s="380">
        <v>4176</v>
      </c>
      <c r="H305" s="380">
        <v>2088</v>
      </c>
      <c r="I305" s="381">
        <v>0.2</v>
      </c>
      <c r="J305" s="358">
        <f t="shared" ref="J305:J327" si="26">H305*(1-I305)</f>
        <v>1670.4</v>
      </c>
      <c r="K305" s="380">
        <v>812</v>
      </c>
      <c r="L305" s="380">
        <f t="shared" ref="L305:L327" si="27">J305-K305</f>
        <v>858.40000000000009</v>
      </c>
      <c r="M305" s="396" t="s">
        <v>1565</v>
      </c>
    </row>
    <row r="306" spans="1:13" ht="22.5" customHeight="1">
      <c r="A306" s="333">
        <v>258</v>
      </c>
      <c r="B306" s="333" t="s">
        <v>2069</v>
      </c>
      <c r="C306" s="333" t="s">
        <v>2070</v>
      </c>
      <c r="D306" s="333" t="s">
        <v>112</v>
      </c>
      <c r="E306" s="401">
        <v>5.3</v>
      </c>
      <c r="F306" s="380">
        <v>720</v>
      </c>
      <c r="G306" s="380">
        <v>3816</v>
      </c>
      <c r="H306" s="380">
        <v>1908</v>
      </c>
      <c r="I306" s="381">
        <v>0.2</v>
      </c>
      <c r="J306" s="358">
        <f t="shared" si="26"/>
        <v>1526.4</v>
      </c>
      <c r="K306" s="380">
        <v>742</v>
      </c>
      <c r="L306" s="380">
        <f t="shared" si="27"/>
        <v>784.40000000000009</v>
      </c>
      <c r="M306" s="396" t="s">
        <v>1565</v>
      </c>
    </row>
    <row r="307" spans="1:13" ht="22.5" customHeight="1">
      <c r="A307" s="333">
        <v>259</v>
      </c>
      <c r="B307" s="333" t="s">
        <v>2071</v>
      </c>
      <c r="C307" s="384" t="s">
        <v>2072</v>
      </c>
      <c r="D307" s="384" t="s">
        <v>115</v>
      </c>
      <c r="E307" s="401">
        <v>5.3</v>
      </c>
      <c r="F307" s="380">
        <v>800</v>
      </c>
      <c r="G307" s="380">
        <v>4240</v>
      </c>
      <c r="H307" s="380">
        <v>2120</v>
      </c>
      <c r="I307" s="381">
        <v>0.2</v>
      </c>
      <c r="J307" s="358">
        <f t="shared" si="26"/>
        <v>1696</v>
      </c>
      <c r="K307" s="380">
        <v>636</v>
      </c>
      <c r="L307" s="380">
        <f t="shared" si="27"/>
        <v>1060</v>
      </c>
      <c r="M307" s="396" t="s">
        <v>1565</v>
      </c>
    </row>
    <row r="308" spans="1:13" ht="22.5" customHeight="1">
      <c r="A308" s="333">
        <v>260</v>
      </c>
      <c r="B308" s="333" t="s">
        <v>2073</v>
      </c>
      <c r="C308" s="384" t="s">
        <v>2074</v>
      </c>
      <c r="D308" s="384" t="s">
        <v>122</v>
      </c>
      <c r="E308" s="401">
        <v>4.8</v>
      </c>
      <c r="F308" s="380">
        <v>800</v>
      </c>
      <c r="G308" s="380">
        <v>3840</v>
      </c>
      <c r="H308" s="380">
        <v>1920</v>
      </c>
      <c r="I308" s="381">
        <v>0.2</v>
      </c>
      <c r="J308" s="358">
        <f t="shared" si="26"/>
        <v>1536</v>
      </c>
      <c r="K308" s="380">
        <v>672</v>
      </c>
      <c r="L308" s="380">
        <f t="shared" si="27"/>
        <v>864</v>
      </c>
      <c r="M308" s="396" t="s">
        <v>1565</v>
      </c>
    </row>
    <row r="309" spans="1:13" ht="22.5" customHeight="1">
      <c r="A309" s="333">
        <v>261</v>
      </c>
      <c r="B309" s="333" t="s">
        <v>2075</v>
      </c>
      <c r="C309" s="333" t="s">
        <v>2076</v>
      </c>
      <c r="D309" s="384" t="s">
        <v>115</v>
      </c>
      <c r="E309" s="401">
        <v>4.0999999999999996</v>
      </c>
      <c r="F309" s="380">
        <v>800</v>
      </c>
      <c r="G309" s="380">
        <v>3279.9999999999995</v>
      </c>
      <c r="H309" s="380">
        <v>1639.9999999999998</v>
      </c>
      <c r="I309" s="381">
        <v>0.2</v>
      </c>
      <c r="J309" s="358">
        <f t="shared" si="26"/>
        <v>1312</v>
      </c>
      <c r="K309" s="380">
        <v>491.99999999999994</v>
      </c>
      <c r="L309" s="380">
        <f t="shared" si="27"/>
        <v>820</v>
      </c>
      <c r="M309" s="396" t="s">
        <v>1565</v>
      </c>
    </row>
    <row r="310" spans="1:13" ht="22.5" customHeight="1">
      <c r="A310" s="333">
        <v>262</v>
      </c>
      <c r="B310" s="333" t="s">
        <v>2077</v>
      </c>
      <c r="C310" s="333" t="s">
        <v>2078</v>
      </c>
      <c r="D310" s="384" t="s">
        <v>115</v>
      </c>
      <c r="E310" s="401">
        <v>5</v>
      </c>
      <c r="F310" s="380">
        <v>216</v>
      </c>
      <c r="G310" s="380">
        <v>1080</v>
      </c>
      <c r="H310" s="380">
        <v>972</v>
      </c>
      <c r="I310" s="459">
        <v>0.1</v>
      </c>
      <c r="J310" s="358">
        <f t="shared" si="26"/>
        <v>874.80000000000007</v>
      </c>
      <c r="K310" s="380">
        <v>600</v>
      </c>
      <c r="L310" s="380">
        <f t="shared" si="27"/>
        <v>274.80000000000007</v>
      </c>
      <c r="M310" s="396" t="s">
        <v>1779</v>
      </c>
    </row>
    <row r="311" spans="1:13" ht="22.5" customHeight="1">
      <c r="A311" s="333">
        <v>263</v>
      </c>
      <c r="B311" s="333" t="s">
        <v>2079</v>
      </c>
      <c r="C311" s="333" t="s">
        <v>2080</v>
      </c>
      <c r="D311" s="384" t="s">
        <v>112</v>
      </c>
      <c r="E311" s="401">
        <v>5</v>
      </c>
      <c r="F311" s="380">
        <v>192</v>
      </c>
      <c r="G311" s="380">
        <v>960</v>
      </c>
      <c r="H311" s="380">
        <v>864</v>
      </c>
      <c r="I311" s="459">
        <v>0.1</v>
      </c>
      <c r="J311" s="358">
        <f t="shared" si="26"/>
        <v>777.6</v>
      </c>
      <c r="K311" s="380">
        <v>600</v>
      </c>
      <c r="L311" s="380">
        <f t="shared" si="27"/>
        <v>177.60000000000002</v>
      </c>
      <c r="M311" s="396" t="s">
        <v>1779</v>
      </c>
    </row>
    <row r="312" spans="1:13" ht="22.5" customHeight="1">
      <c r="A312" s="333">
        <v>264</v>
      </c>
      <c r="B312" s="333" t="s">
        <v>2081</v>
      </c>
      <c r="C312" s="333" t="s">
        <v>2082</v>
      </c>
      <c r="D312" s="384" t="s">
        <v>112</v>
      </c>
      <c r="E312" s="401">
        <v>5</v>
      </c>
      <c r="F312" s="380">
        <v>192</v>
      </c>
      <c r="G312" s="380">
        <v>960</v>
      </c>
      <c r="H312" s="380">
        <v>864</v>
      </c>
      <c r="I312" s="459">
        <v>0.1</v>
      </c>
      <c r="J312" s="358">
        <f t="shared" si="26"/>
        <v>777.6</v>
      </c>
      <c r="K312" s="380">
        <v>600</v>
      </c>
      <c r="L312" s="380">
        <f t="shared" si="27"/>
        <v>177.60000000000002</v>
      </c>
      <c r="M312" s="396" t="s">
        <v>1779</v>
      </c>
    </row>
    <row r="313" spans="1:13" ht="22.5" customHeight="1">
      <c r="A313" s="333">
        <v>265</v>
      </c>
      <c r="B313" s="333" t="s">
        <v>2083</v>
      </c>
      <c r="C313" s="333" t="s">
        <v>2084</v>
      </c>
      <c r="D313" s="333" t="s">
        <v>115</v>
      </c>
      <c r="E313" s="401">
        <v>5.4</v>
      </c>
      <c r="F313" s="380">
        <v>192</v>
      </c>
      <c r="G313" s="380">
        <v>1036.8000000000002</v>
      </c>
      <c r="H313" s="380">
        <v>933.12000000000023</v>
      </c>
      <c r="I313" s="381">
        <v>0.1</v>
      </c>
      <c r="J313" s="358">
        <f t="shared" si="26"/>
        <v>839.80800000000022</v>
      </c>
      <c r="K313" s="380">
        <v>648</v>
      </c>
      <c r="L313" s="380">
        <f t="shared" si="27"/>
        <v>191.80800000000022</v>
      </c>
      <c r="M313" s="396" t="s">
        <v>1779</v>
      </c>
    </row>
    <row r="314" spans="1:13" ht="22.5" customHeight="1">
      <c r="A314" s="333">
        <v>266</v>
      </c>
      <c r="B314" s="439" t="s">
        <v>2085</v>
      </c>
      <c r="C314" s="384" t="s">
        <v>2086</v>
      </c>
      <c r="D314" s="333" t="s">
        <v>115</v>
      </c>
      <c r="E314" s="401">
        <v>4.9000000000000004</v>
      </c>
      <c r="F314" s="380">
        <v>720</v>
      </c>
      <c r="G314" s="380">
        <v>3528.0000000000005</v>
      </c>
      <c r="H314" s="380">
        <v>1764.0000000000002</v>
      </c>
      <c r="I314" s="381">
        <v>0.15</v>
      </c>
      <c r="J314" s="358">
        <f t="shared" si="26"/>
        <v>1499.4</v>
      </c>
      <c r="K314" s="380">
        <v>588</v>
      </c>
      <c r="L314" s="380">
        <f t="shared" si="27"/>
        <v>911.40000000000009</v>
      </c>
      <c r="M314" s="396" t="s">
        <v>1565</v>
      </c>
    </row>
    <row r="315" spans="1:13" ht="22.5" customHeight="1">
      <c r="A315" s="333">
        <v>267</v>
      </c>
      <c r="B315" s="439" t="s">
        <v>2087</v>
      </c>
      <c r="C315" s="384" t="s">
        <v>2088</v>
      </c>
      <c r="D315" s="333" t="s">
        <v>115</v>
      </c>
      <c r="E315" s="401">
        <v>5.3</v>
      </c>
      <c r="F315" s="380">
        <v>720</v>
      </c>
      <c r="G315" s="380">
        <v>3816</v>
      </c>
      <c r="H315" s="380">
        <v>1908</v>
      </c>
      <c r="I315" s="381">
        <v>0.15</v>
      </c>
      <c r="J315" s="358">
        <f t="shared" si="26"/>
        <v>1621.8</v>
      </c>
      <c r="K315" s="380">
        <v>636</v>
      </c>
      <c r="L315" s="380">
        <f t="shared" si="27"/>
        <v>985.8</v>
      </c>
      <c r="M315" s="396" t="s">
        <v>1565</v>
      </c>
    </row>
    <row r="316" spans="1:13" ht="22.5" customHeight="1">
      <c r="A316" s="333">
        <v>268</v>
      </c>
      <c r="B316" s="439" t="s">
        <v>2089</v>
      </c>
      <c r="C316" s="384" t="s">
        <v>2090</v>
      </c>
      <c r="D316" s="333" t="s">
        <v>115</v>
      </c>
      <c r="E316" s="401">
        <v>4</v>
      </c>
      <c r="F316" s="380">
        <v>720</v>
      </c>
      <c r="G316" s="380">
        <v>2880</v>
      </c>
      <c r="H316" s="380">
        <v>1440</v>
      </c>
      <c r="I316" s="381">
        <v>0.15</v>
      </c>
      <c r="J316" s="358">
        <f t="shared" si="26"/>
        <v>1224</v>
      </c>
      <c r="K316" s="380">
        <v>480</v>
      </c>
      <c r="L316" s="380">
        <f t="shared" si="27"/>
        <v>744</v>
      </c>
      <c r="M316" s="396" t="s">
        <v>1565</v>
      </c>
    </row>
    <row r="317" spans="1:13" ht="22.5" customHeight="1">
      <c r="A317" s="333">
        <v>269</v>
      </c>
      <c r="B317" s="439" t="s">
        <v>2091</v>
      </c>
      <c r="C317" s="384" t="s">
        <v>2092</v>
      </c>
      <c r="D317" s="333" t="s">
        <v>115</v>
      </c>
      <c r="E317" s="401">
        <v>5.2</v>
      </c>
      <c r="F317" s="380">
        <v>720</v>
      </c>
      <c r="G317" s="380">
        <v>3744</v>
      </c>
      <c r="H317" s="380">
        <v>1872</v>
      </c>
      <c r="I317" s="381">
        <v>0.15</v>
      </c>
      <c r="J317" s="358">
        <f t="shared" si="26"/>
        <v>1591.2</v>
      </c>
      <c r="K317" s="380">
        <v>624</v>
      </c>
      <c r="L317" s="380">
        <f t="shared" si="27"/>
        <v>967.2</v>
      </c>
      <c r="M317" s="396" t="s">
        <v>1565</v>
      </c>
    </row>
    <row r="318" spans="1:13" ht="22.5" customHeight="1">
      <c r="A318" s="333">
        <v>270</v>
      </c>
      <c r="B318" s="439" t="s">
        <v>2093</v>
      </c>
      <c r="C318" s="384" t="s">
        <v>2094</v>
      </c>
      <c r="D318" s="333" t="s">
        <v>115</v>
      </c>
      <c r="E318" s="401">
        <v>5.4</v>
      </c>
      <c r="F318" s="380">
        <v>720</v>
      </c>
      <c r="G318" s="380">
        <v>3888.0000000000005</v>
      </c>
      <c r="H318" s="380">
        <v>1944.0000000000002</v>
      </c>
      <c r="I318" s="381">
        <v>0.15</v>
      </c>
      <c r="J318" s="358">
        <f t="shared" si="26"/>
        <v>1652.4</v>
      </c>
      <c r="K318" s="380">
        <v>648</v>
      </c>
      <c r="L318" s="380">
        <f t="shared" si="27"/>
        <v>1004.4000000000001</v>
      </c>
      <c r="M318" s="396" t="s">
        <v>1565</v>
      </c>
    </row>
    <row r="319" spans="1:13" ht="22.5" customHeight="1">
      <c r="A319" s="333">
        <v>271</v>
      </c>
      <c r="B319" s="439" t="s">
        <v>2095</v>
      </c>
      <c r="C319" s="384" t="s">
        <v>2096</v>
      </c>
      <c r="D319" s="333" t="s">
        <v>115</v>
      </c>
      <c r="E319" s="401">
        <v>5.4</v>
      </c>
      <c r="F319" s="380">
        <v>720</v>
      </c>
      <c r="G319" s="380">
        <v>3888.0000000000005</v>
      </c>
      <c r="H319" s="380">
        <v>1944.0000000000002</v>
      </c>
      <c r="I319" s="381">
        <v>0.15</v>
      </c>
      <c r="J319" s="358">
        <f t="shared" si="26"/>
        <v>1652.4</v>
      </c>
      <c r="K319" s="380">
        <v>648</v>
      </c>
      <c r="L319" s="380">
        <f t="shared" si="27"/>
        <v>1004.4000000000001</v>
      </c>
      <c r="M319" s="396" t="s">
        <v>1565</v>
      </c>
    </row>
    <row r="320" spans="1:13" ht="22.5" customHeight="1">
      <c r="A320" s="333">
        <v>272</v>
      </c>
      <c r="B320" s="439" t="s">
        <v>2097</v>
      </c>
      <c r="C320" s="384" t="s">
        <v>2098</v>
      </c>
      <c r="D320" s="333" t="s">
        <v>115</v>
      </c>
      <c r="E320" s="401">
        <v>5.3</v>
      </c>
      <c r="F320" s="380">
        <v>720</v>
      </c>
      <c r="G320" s="380">
        <v>3816</v>
      </c>
      <c r="H320" s="380">
        <v>1908</v>
      </c>
      <c r="I320" s="381">
        <v>0.15</v>
      </c>
      <c r="J320" s="358">
        <f t="shared" si="26"/>
        <v>1621.8</v>
      </c>
      <c r="K320" s="380">
        <v>636</v>
      </c>
      <c r="L320" s="380">
        <f t="shared" si="27"/>
        <v>985.8</v>
      </c>
      <c r="M320" s="396" t="s">
        <v>1565</v>
      </c>
    </row>
    <row r="321" spans="1:13" ht="22.5" customHeight="1">
      <c r="A321" s="333">
        <v>273</v>
      </c>
      <c r="B321" s="439" t="s">
        <v>2099</v>
      </c>
      <c r="C321" s="384" t="s">
        <v>2100</v>
      </c>
      <c r="D321" s="333" t="s">
        <v>115</v>
      </c>
      <c r="E321" s="401">
        <v>5</v>
      </c>
      <c r="F321" s="380">
        <v>720</v>
      </c>
      <c r="G321" s="380">
        <v>3600</v>
      </c>
      <c r="H321" s="380">
        <v>1800</v>
      </c>
      <c r="I321" s="381">
        <v>0.15</v>
      </c>
      <c r="J321" s="358">
        <f t="shared" si="26"/>
        <v>1530</v>
      </c>
      <c r="K321" s="380">
        <v>600</v>
      </c>
      <c r="L321" s="380">
        <f t="shared" si="27"/>
        <v>930</v>
      </c>
      <c r="M321" s="396" t="s">
        <v>1565</v>
      </c>
    </row>
    <row r="322" spans="1:13" ht="22.5" customHeight="1">
      <c r="A322" s="333">
        <v>274</v>
      </c>
      <c r="B322" s="439" t="s">
        <v>2101</v>
      </c>
      <c r="C322" s="384" t="s">
        <v>2102</v>
      </c>
      <c r="D322" s="333" t="s">
        <v>115</v>
      </c>
      <c r="E322" s="401">
        <v>5.9</v>
      </c>
      <c r="F322" s="380">
        <v>720</v>
      </c>
      <c r="G322" s="380">
        <v>4248</v>
      </c>
      <c r="H322" s="380">
        <v>2124</v>
      </c>
      <c r="I322" s="381">
        <v>0.15</v>
      </c>
      <c r="J322" s="358">
        <f t="shared" si="26"/>
        <v>1805.3999999999999</v>
      </c>
      <c r="K322" s="380">
        <v>708</v>
      </c>
      <c r="L322" s="380">
        <f t="shared" si="27"/>
        <v>1097.3999999999999</v>
      </c>
      <c r="M322" s="396" t="s">
        <v>1565</v>
      </c>
    </row>
    <row r="323" spans="1:13" ht="22.5" customHeight="1">
      <c r="A323" s="333">
        <v>275</v>
      </c>
      <c r="B323" s="439" t="s">
        <v>2103</v>
      </c>
      <c r="C323" s="333" t="s">
        <v>2104</v>
      </c>
      <c r="D323" s="333" t="s">
        <v>115</v>
      </c>
      <c r="E323" s="401">
        <v>5</v>
      </c>
      <c r="F323" s="380">
        <v>720</v>
      </c>
      <c r="G323" s="380">
        <v>3600</v>
      </c>
      <c r="H323" s="380">
        <v>1800</v>
      </c>
      <c r="I323" s="381">
        <v>0.15</v>
      </c>
      <c r="J323" s="358">
        <f t="shared" si="26"/>
        <v>1530</v>
      </c>
      <c r="K323" s="380">
        <v>600</v>
      </c>
      <c r="L323" s="380">
        <f t="shared" si="27"/>
        <v>930</v>
      </c>
      <c r="M323" s="396" t="s">
        <v>1565</v>
      </c>
    </row>
    <row r="324" spans="1:13" ht="22.5" customHeight="1">
      <c r="A324" s="333">
        <v>276</v>
      </c>
      <c r="B324" s="439" t="s">
        <v>2105</v>
      </c>
      <c r="C324" s="384" t="s">
        <v>2106</v>
      </c>
      <c r="D324" s="333" t="s">
        <v>115</v>
      </c>
      <c r="E324" s="401">
        <v>5</v>
      </c>
      <c r="F324" s="380">
        <v>720</v>
      </c>
      <c r="G324" s="380">
        <v>3600</v>
      </c>
      <c r="H324" s="380">
        <v>1800</v>
      </c>
      <c r="I324" s="381">
        <v>0.15</v>
      </c>
      <c r="J324" s="358">
        <f t="shared" si="26"/>
        <v>1530</v>
      </c>
      <c r="K324" s="380">
        <v>600</v>
      </c>
      <c r="L324" s="380">
        <f t="shared" si="27"/>
        <v>930</v>
      </c>
      <c r="M324" s="396" t="s">
        <v>1565</v>
      </c>
    </row>
    <row r="325" spans="1:13" ht="22.5" customHeight="1">
      <c r="A325" s="333">
        <v>277</v>
      </c>
      <c r="B325" s="439" t="s">
        <v>2107</v>
      </c>
      <c r="C325" s="384" t="s">
        <v>2108</v>
      </c>
      <c r="D325" s="384" t="s">
        <v>112</v>
      </c>
      <c r="E325" s="401">
        <v>5</v>
      </c>
      <c r="F325" s="380">
        <v>720</v>
      </c>
      <c r="G325" s="380">
        <v>3600</v>
      </c>
      <c r="H325" s="380">
        <v>1800</v>
      </c>
      <c r="I325" s="381">
        <v>0.15</v>
      </c>
      <c r="J325" s="358">
        <f t="shared" si="26"/>
        <v>1530</v>
      </c>
      <c r="K325" s="380">
        <v>600</v>
      </c>
      <c r="L325" s="380">
        <f t="shared" si="27"/>
        <v>930</v>
      </c>
      <c r="M325" s="396" t="s">
        <v>1565</v>
      </c>
    </row>
    <row r="326" spans="1:13" ht="22.5" customHeight="1">
      <c r="A326" s="333">
        <v>278</v>
      </c>
      <c r="B326" s="439" t="s">
        <v>2109</v>
      </c>
      <c r="C326" s="384" t="s">
        <v>2110</v>
      </c>
      <c r="D326" s="333" t="s">
        <v>115</v>
      </c>
      <c r="E326" s="401">
        <v>6</v>
      </c>
      <c r="F326" s="380">
        <v>720</v>
      </c>
      <c r="G326" s="380">
        <v>4320</v>
      </c>
      <c r="H326" s="380">
        <v>2160</v>
      </c>
      <c r="I326" s="381">
        <v>0.15</v>
      </c>
      <c r="J326" s="358">
        <f t="shared" si="26"/>
        <v>1836</v>
      </c>
      <c r="K326" s="380">
        <v>720</v>
      </c>
      <c r="L326" s="380">
        <f t="shared" si="27"/>
        <v>1116</v>
      </c>
      <c r="M326" s="396" t="s">
        <v>1565</v>
      </c>
    </row>
    <row r="327" spans="1:13" ht="22.5" customHeight="1">
      <c r="A327" s="333">
        <v>279</v>
      </c>
      <c r="B327" s="439" t="s">
        <v>2111</v>
      </c>
      <c r="C327" s="384" t="s">
        <v>2112</v>
      </c>
      <c r="D327" s="333" t="s">
        <v>115</v>
      </c>
      <c r="E327" s="401">
        <v>4.5999999999999996</v>
      </c>
      <c r="F327" s="380">
        <v>720</v>
      </c>
      <c r="G327" s="380">
        <v>3311.9999999999995</v>
      </c>
      <c r="H327" s="380">
        <v>1655.9999999999998</v>
      </c>
      <c r="I327" s="381">
        <v>0.15</v>
      </c>
      <c r="J327" s="358">
        <f t="shared" si="26"/>
        <v>1407.5999999999997</v>
      </c>
      <c r="K327" s="380">
        <v>552</v>
      </c>
      <c r="L327" s="380">
        <f t="shared" si="27"/>
        <v>855.59999999999968</v>
      </c>
      <c r="M327" s="396" t="s">
        <v>1565</v>
      </c>
    </row>
    <row r="328" spans="1:13" ht="22.5" customHeight="1">
      <c r="A328" s="333">
        <v>280</v>
      </c>
      <c r="B328" s="439" t="s">
        <v>2113</v>
      </c>
      <c r="C328" s="384" t="s">
        <v>2114</v>
      </c>
      <c r="D328" s="333" t="s">
        <v>112</v>
      </c>
      <c r="E328" s="401">
        <v>5</v>
      </c>
      <c r="F328" s="406">
        <v>160</v>
      </c>
      <c r="G328" s="379">
        <v>800</v>
      </c>
      <c r="H328" s="385">
        <v>800</v>
      </c>
      <c r="I328" s="381">
        <v>0</v>
      </c>
      <c r="J328" s="358">
        <v>800</v>
      </c>
      <c r="K328" s="379">
        <v>600</v>
      </c>
      <c r="L328" s="380">
        <v>200</v>
      </c>
      <c r="M328" s="396" t="s">
        <v>1724</v>
      </c>
    </row>
    <row r="329" spans="1:13" ht="22.5" customHeight="1">
      <c r="A329" s="333">
        <v>281</v>
      </c>
      <c r="B329" s="439" t="s">
        <v>2115</v>
      </c>
      <c r="C329" s="384" t="s">
        <v>2116</v>
      </c>
      <c r="D329" s="333" t="s">
        <v>115</v>
      </c>
      <c r="E329" s="401">
        <v>4.9000000000000004</v>
      </c>
      <c r="F329" s="379">
        <v>800</v>
      </c>
      <c r="G329" s="385">
        <v>3920.0000000000005</v>
      </c>
      <c r="H329" s="380">
        <v>1960.0000000000002</v>
      </c>
      <c r="I329" s="381">
        <v>0.2</v>
      </c>
      <c r="J329" s="358">
        <v>1568.0000000000002</v>
      </c>
      <c r="K329" s="379">
        <v>588</v>
      </c>
      <c r="L329" s="380">
        <v>980.00000000000023</v>
      </c>
      <c r="M329" s="396" t="s">
        <v>1565</v>
      </c>
    </row>
    <row r="330" spans="1:13" ht="22.5" customHeight="1">
      <c r="A330" s="451"/>
      <c r="B330" s="392" t="s">
        <v>26</v>
      </c>
      <c r="C330" s="451">
        <f>COUNTA(C305:C329)</f>
        <v>25</v>
      </c>
      <c r="D330" s="460"/>
      <c r="E330" s="461">
        <f>SUM(E304:E329)</f>
        <v>127.60000000000001</v>
      </c>
      <c r="F330" s="451"/>
      <c r="G330" s="451"/>
      <c r="H330" s="451"/>
      <c r="I330" s="451"/>
      <c r="J330" s="451"/>
      <c r="K330" s="462">
        <f t="shared" ref="K330:L330" si="28">SUM(K305:K329)</f>
        <v>15630</v>
      </c>
      <c r="L330" s="950">
        <f t="shared" si="28"/>
        <v>19780.608</v>
      </c>
      <c r="M330" s="932"/>
    </row>
    <row r="331" spans="1:13" ht="13.2">
      <c r="A331" s="346"/>
      <c r="B331" s="346"/>
      <c r="C331" s="346"/>
      <c r="D331" s="346"/>
      <c r="E331" s="346"/>
      <c r="F331" s="346"/>
      <c r="G331" s="346"/>
      <c r="H331" s="346"/>
      <c r="I331" s="346"/>
      <c r="J331" s="346"/>
      <c r="K331" s="346"/>
      <c r="L331" s="346"/>
      <c r="M331" s="346"/>
    </row>
    <row r="332" spans="1:13" ht="13.2">
      <c r="A332" s="346"/>
      <c r="B332" s="346"/>
      <c r="C332" s="346"/>
      <c r="D332" s="346"/>
      <c r="E332" s="346"/>
      <c r="F332" s="346"/>
      <c r="G332" s="346"/>
      <c r="H332" s="346"/>
      <c r="I332" s="346"/>
      <c r="J332" s="346"/>
      <c r="K332" s="346"/>
      <c r="L332" s="346"/>
      <c r="M332" s="346"/>
    </row>
    <row r="333" spans="1:13" ht="13.2">
      <c r="A333" s="346"/>
      <c r="B333" s="346"/>
      <c r="C333" s="346"/>
      <c r="D333" s="346"/>
      <c r="E333" s="346"/>
      <c r="F333" s="346"/>
      <c r="G333" s="346"/>
      <c r="H333" s="346"/>
      <c r="I333" s="346"/>
      <c r="J333" s="346"/>
      <c r="K333" s="346"/>
      <c r="L333" s="346"/>
      <c r="M333" s="346"/>
    </row>
    <row r="334" spans="1:13" ht="13.2">
      <c r="A334" s="951" t="s">
        <v>2117</v>
      </c>
      <c r="B334" s="931"/>
      <c r="C334" s="931"/>
      <c r="D334" s="931"/>
      <c r="E334" s="931"/>
      <c r="F334" s="931"/>
      <c r="G334" s="931"/>
      <c r="H334" s="931"/>
      <c r="I334" s="931"/>
      <c r="J334" s="931"/>
      <c r="K334" s="931"/>
      <c r="L334" s="931"/>
      <c r="M334" s="932"/>
    </row>
    <row r="335" spans="1:13" ht="22.5" customHeight="1">
      <c r="A335" s="347" t="s">
        <v>165</v>
      </c>
      <c r="B335" s="348" t="s">
        <v>166</v>
      </c>
      <c r="C335" s="348" t="s">
        <v>1556</v>
      </c>
      <c r="D335" s="334" t="s">
        <v>168</v>
      </c>
      <c r="E335" s="334" t="s">
        <v>169</v>
      </c>
      <c r="F335" s="348" t="s">
        <v>1557</v>
      </c>
      <c r="G335" s="348" t="s">
        <v>1558</v>
      </c>
      <c r="H335" s="348" t="s">
        <v>1559</v>
      </c>
      <c r="I335" s="348" t="s">
        <v>1560</v>
      </c>
      <c r="J335" s="349" t="s">
        <v>1741</v>
      </c>
      <c r="K335" s="334" t="s">
        <v>1562</v>
      </c>
      <c r="L335" s="350" t="s">
        <v>1563</v>
      </c>
      <c r="M335" s="351" t="s">
        <v>177</v>
      </c>
    </row>
    <row r="336" spans="1:13" ht="22.5" customHeight="1">
      <c r="A336" s="333">
        <v>282</v>
      </c>
      <c r="B336" s="333" t="s">
        <v>2118</v>
      </c>
      <c r="C336" s="333" t="s">
        <v>2119</v>
      </c>
      <c r="D336" s="333" t="s">
        <v>112</v>
      </c>
      <c r="E336" s="401">
        <v>5</v>
      </c>
      <c r="F336" s="380">
        <v>720</v>
      </c>
      <c r="G336" s="380">
        <v>3600</v>
      </c>
      <c r="H336" s="380">
        <v>1800</v>
      </c>
      <c r="I336" s="381">
        <v>0.2</v>
      </c>
      <c r="J336" s="358">
        <f t="shared" ref="J336:J339" si="29">H336*(1-I336)</f>
        <v>1440</v>
      </c>
      <c r="K336" s="380">
        <v>725</v>
      </c>
      <c r="L336" s="380">
        <f t="shared" ref="L336:L339" si="30">J336-K336</f>
        <v>715</v>
      </c>
      <c r="M336" s="396" t="s">
        <v>1565</v>
      </c>
    </row>
    <row r="337" spans="1:13" ht="22.5" customHeight="1">
      <c r="A337" s="333">
        <v>283</v>
      </c>
      <c r="B337" s="333" t="s">
        <v>2120</v>
      </c>
      <c r="C337" s="333" t="s">
        <v>2121</v>
      </c>
      <c r="D337" s="333" t="s">
        <v>112</v>
      </c>
      <c r="E337" s="401">
        <v>5</v>
      </c>
      <c r="F337" s="380">
        <v>720</v>
      </c>
      <c r="G337" s="380">
        <v>3600</v>
      </c>
      <c r="H337" s="380">
        <v>1800</v>
      </c>
      <c r="I337" s="381">
        <v>0.2</v>
      </c>
      <c r="J337" s="358">
        <f t="shared" si="29"/>
        <v>1440</v>
      </c>
      <c r="K337" s="380">
        <v>725</v>
      </c>
      <c r="L337" s="380">
        <f t="shared" si="30"/>
        <v>715</v>
      </c>
      <c r="M337" s="396" t="s">
        <v>1565</v>
      </c>
    </row>
    <row r="338" spans="1:13" ht="22.5" customHeight="1">
      <c r="A338" s="333">
        <v>284</v>
      </c>
      <c r="B338" s="333" t="s">
        <v>2122</v>
      </c>
      <c r="C338" s="333" t="s">
        <v>2123</v>
      </c>
      <c r="D338" s="333" t="s">
        <v>113</v>
      </c>
      <c r="E338" s="401">
        <v>3</v>
      </c>
      <c r="F338" s="380">
        <v>720</v>
      </c>
      <c r="G338" s="380">
        <v>2160</v>
      </c>
      <c r="H338" s="380">
        <v>1080</v>
      </c>
      <c r="I338" s="381">
        <v>0.2</v>
      </c>
      <c r="J338" s="358">
        <f t="shared" si="29"/>
        <v>864</v>
      </c>
      <c r="K338" s="380">
        <v>375</v>
      </c>
      <c r="L338" s="380">
        <f t="shared" si="30"/>
        <v>489</v>
      </c>
      <c r="M338" s="396" t="s">
        <v>1565</v>
      </c>
    </row>
    <row r="339" spans="1:13" ht="22.5" customHeight="1">
      <c r="A339" s="333">
        <v>285</v>
      </c>
      <c r="B339" s="333" t="s">
        <v>2124</v>
      </c>
      <c r="C339" s="333" t="s">
        <v>2125</v>
      </c>
      <c r="D339" s="333" t="s">
        <v>113</v>
      </c>
      <c r="E339" s="401">
        <v>5</v>
      </c>
      <c r="F339" s="380">
        <v>144</v>
      </c>
      <c r="G339" s="380">
        <v>720</v>
      </c>
      <c r="H339" s="380">
        <v>720</v>
      </c>
      <c r="I339" s="381">
        <v>0</v>
      </c>
      <c r="J339" s="358">
        <f t="shared" si="29"/>
        <v>720</v>
      </c>
      <c r="K339" s="380">
        <v>625</v>
      </c>
      <c r="L339" s="380">
        <f t="shared" si="30"/>
        <v>95</v>
      </c>
      <c r="M339" s="396" t="s">
        <v>1636</v>
      </c>
    </row>
    <row r="340" spans="1:13" ht="22.5" customHeight="1">
      <c r="A340" s="333">
        <v>286</v>
      </c>
      <c r="B340" s="419" t="s">
        <v>2126</v>
      </c>
      <c r="C340" s="354" t="s">
        <v>2127</v>
      </c>
      <c r="D340" s="353" t="s">
        <v>112</v>
      </c>
      <c r="E340" s="414">
        <v>3</v>
      </c>
      <c r="F340" s="390">
        <v>720</v>
      </c>
      <c r="G340" s="419">
        <v>2160</v>
      </c>
      <c r="H340" s="356">
        <v>1080</v>
      </c>
      <c r="I340" s="357">
        <v>0.2</v>
      </c>
      <c r="J340" s="391">
        <v>864</v>
      </c>
      <c r="K340" s="390">
        <v>435</v>
      </c>
      <c r="L340" s="356">
        <v>429</v>
      </c>
      <c r="M340" s="431" t="s">
        <v>1565</v>
      </c>
    </row>
    <row r="341" spans="1:13" ht="22.5" customHeight="1">
      <c r="A341" s="333">
        <v>287</v>
      </c>
      <c r="B341" s="419" t="s">
        <v>2128</v>
      </c>
      <c r="C341" s="354" t="s">
        <v>2129</v>
      </c>
      <c r="D341" s="353" t="s">
        <v>112</v>
      </c>
      <c r="E341" s="414">
        <v>5</v>
      </c>
      <c r="F341" s="390">
        <v>720</v>
      </c>
      <c r="G341" s="419">
        <v>3600</v>
      </c>
      <c r="H341" s="356">
        <v>1800</v>
      </c>
      <c r="I341" s="357">
        <v>0.2</v>
      </c>
      <c r="J341" s="391">
        <v>1440</v>
      </c>
      <c r="K341" s="390">
        <v>725</v>
      </c>
      <c r="L341" s="356">
        <v>715</v>
      </c>
      <c r="M341" s="431" t="s">
        <v>1565</v>
      </c>
    </row>
    <row r="342" spans="1:13" ht="22.5" customHeight="1">
      <c r="A342" s="333">
        <v>288</v>
      </c>
      <c r="B342" s="419" t="s">
        <v>2130</v>
      </c>
      <c r="C342" s="354" t="s">
        <v>2131</v>
      </c>
      <c r="D342" s="353" t="s">
        <v>112</v>
      </c>
      <c r="E342" s="414">
        <v>5</v>
      </c>
      <c r="F342" s="356">
        <v>720</v>
      </c>
      <c r="G342" s="356">
        <v>3600</v>
      </c>
      <c r="H342" s="356">
        <v>1800</v>
      </c>
      <c r="I342" s="357">
        <v>0.2</v>
      </c>
      <c r="J342" s="391">
        <v>1440</v>
      </c>
      <c r="K342" s="356">
        <v>725</v>
      </c>
      <c r="L342" s="356">
        <v>715</v>
      </c>
      <c r="M342" s="431" t="s">
        <v>1565</v>
      </c>
    </row>
    <row r="343" spans="1:13" ht="22.5" customHeight="1">
      <c r="A343" s="333">
        <v>289</v>
      </c>
      <c r="B343" s="439" t="s">
        <v>2132</v>
      </c>
      <c r="C343" s="439" t="s">
        <v>2133</v>
      </c>
      <c r="D343" s="439" t="s">
        <v>113</v>
      </c>
      <c r="E343" s="442">
        <v>5</v>
      </c>
      <c r="F343" s="435">
        <v>220</v>
      </c>
      <c r="G343" s="436">
        <f>F343*E343</f>
        <v>1100</v>
      </c>
      <c r="H343" s="436">
        <f>G343*80%</f>
        <v>880</v>
      </c>
      <c r="I343" s="463">
        <v>0</v>
      </c>
      <c r="J343" s="426">
        <v>880</v>
      </c>
      <c r="K343" s="419">
        <v>625</v>
      </c>
      <c r="L343" s="427">
        <v>255</v>
      </c>
      <c r="M343" s="431" t="s">
        <v>1636</v>
      </c>
    </row>
    <row r="344" spans="1:13" ht="22.5" customHeight="1">
      <c r="A344" s="333">
        <v>290</v>
      </c>
      <c r="B344" s="419" t="s">
        <v>2134</v>
      </c>
      <c r="C344" s="354" t="s">
        <v>2135</v>
      </c>
      <c r="D344" s="353" t="s">
        <v>113</v>
      </c>
      <c r="E344" s="414">
        <v>2.7</v>
      </c>
      <c r="F344" s="356">
        <v>720</v>
      </c>
      <c r="G344" s="356">
        <v>1944.0000000000002</v>
      </c>
      <c r="H344" s="356">
        <v>972.00000000000011</v>
      </c>
      <c r="I344" s="357">
        <v>0.2</v>
      </c>
      <c r="J344" s="391">
        <v>777.60000000000014</v>
      </c>
      <c r="K344" s="356">
        <v>337.5</v>
      </c>
      <c r="L344" s="356">
        <v>440.10000000000014</v>
      </c>
      <c r="M344" s="431" t="s">
        <v>1565</v>
      </c>
    </row>
    <row r="345" spans="1:13" ht="22.5" customHeight="1">
      <c r="A345" s="451"/>
      <c r="B345" s="393" t="s">
        <v>26</v>
      </c>
      <c r="C345" s="453">
        <f>COUNTA(C336:C344)</f>
        <v>9</v>
      </c>
      <c r="D345" s="453"/>
      <c r="E345" s="454">
        <f>SUM(E336:E344)</f>
        <v>38.700000000000003</v>
      </c>
      <c r="F345" s="453"/>
      <c r="G345" s="453"/>
      <c r="H345" s="453"/>
      <c r="I345" s="453"/>
      <c r="J345" s="453"/>
      <c r="K345" s="429">
        <f t="shared" ref="K345:L345" si="31">SUM(K336:K344)</f>
        <v>5297.5</v>
      </c>
      <c r="L345" s="948">
        <f t="shared" si="31"/>
        <v>4568.1000000000004</v>
      </c>
      <c r="M345" s="932"/>
    </row>
    <row r="346" spans="1:13" ht="13.2">
      <c r="A346" s="346"/>
      <c r="B346" s="346"/>
      <c r="C346" s="346"/>
      <c r="D346" s="346"/>
      <c r="E346" s="346"/>
      <c r="F346" s="346"/>
      <c r="G346" s="346"/>
      <c r="H346" s="346"/>
      <c r="I346" s="346"/>
      <c r="J346" s="346"/>
      <c r="K346" s="346"/>
      <c r="L346" s="346"/>
      <c r="M346" s="346"/>
    </row>
    <row r="347" spans="1:13" ht="13.2">
      <c r="A347" s="346"/>
      <c r="B347" s="346"/>
      <c r="C347" s="346"/>
      <c r="D347" s="346"/>
      <c r="E347" s="346"/>
      <c r="F347" s="346"/>
      <c r="G347" s="346"/>
      <c r="H347" s="346"/>
      <c r="I347" s="346"/>
      <c r="J347" s="346"/>
      <c r="K347" s="346"/>
      <c r="L347" s="346"/>
      <c r="M347" s="346"/>
    </row>
    <row r="348" spans="1:13" ht="13.2">
      <c r="A348" s="951" t="s">
        <v>2136</v>
      </c>
      <c r="B348" s="931"/>
      <c r="C348" s="931"/>
      <c r="D348" s="931"/>
      <c r="E348" s="931"/>
      <c r="F348" s="931"/>
      <c r="G348" s="931"/>
      <c r="H348" s="931"/>
      <c r="I348" s="931"/>
      <c r="J348" s="931"/>
      <c r="K348" s="931"/>
      <c r="L348" s="931"/>
      <c r="M348" s="932"/>
    </row>
    <row r="349" spans="1:13" ht="22.5" customHeight="1">
      <c r="A349" s="347" t="s">
        <v>165</v>
      </c>
      <c r="B349" s="348" t="s">
        <v>166</v>
      </c>
      <c r="C349" s="348" t="s">
        <v>1556</v>
      </c>
      <c r="D349" s="334" t="s">
        <v>168</v>
      </c>
      <c r="E349" s="334" t="s">
        <v>169</v>
      </c>
      <c r="F349" s="348" t="s">
        <v>1557</v>
      </c>
      <c r="G349" s="348" t="s">
        <v>1558</v>
      </c>
      <c r="H349" s="348" t="s">
        <v>1559</v>
      </c>
      <c r="I349" s="348" t="s">
        <v>1560</v>
      </c>
      <c r="J349" s="349" t="s">
        <v>1741</v>
      </c>
      <c r="K349" s="334" t="s">
        <v>1562</v>
      </c>
      <c r="L349" s="350" t="s">
        <v>1563</v>
      </c>
      <c r="M349" s="351" t="s">
        <v>177</v>
      </c>
    </row>
    <row r="350" spans="1:13" ht="22.5" customHeight="1">
      <c r="A350" s="333">
        <v>291</v>
      </c>
      <c r="B350" s="333" t="s">
        <v>1853</v>
      </c>
      <c r="C350" s="352" t="s">
        <v>2137</v>
      </c>
      <c r="D350" s="352" t="s">
        <v>112</v>
      </c>
      <c r="E350" s="378">
        <v>5</v>
      </c>
      <c r="F350" s="380">
        <v>720</v>
      </c>
      <c r="G350" s="380">
        <v>3600</v>
      </c>
      <c r="H350" s="380">
        <v>1800</v>
      </c>
      <c r="I350" s="381">
        <v>0.2</v>
      </c>
      <c r="J350" s="358">
        <f t="shared" ref="J350:J360" si="32">H350*(1-I350)</f>
        <v>1440</v>
      </c>
      <c r="K350" s="358">
        <v>475</v>
      </c>
      <c r="L350" s="380">
        <f t="shared" ref="L350:L360" si="33">J350-K350</f>
        <v>965</v>
      </c>
      <c r="M350" s="383" t="s">
        <v>1565</v>
      </c>
    </row>
    <row r="351" spans="1:13" ht="22.5" customHeight="1">
      <c r="A351" s="333">
        <v>292</v>
      </c>
      <c r="B351" s="333" t="s">
        <v>1748</v>
      </c>
      <c r="C351" s="352" t="s">
        <v>2138</v>
      </c>
      <c r="D351" s="352" t="s">
        <v>113</v>
      </c>
      <c r="E351" s="378">
        <v>5</v>
      </c>
      <c r="F351" s="380">
        <v>720</v>
      </c>
      <c r="G351" s="380">
        <v>3600</v>
      </c>
      <c r="H351" s="380">
        <v>1800</v>
      </c>
      <c r="I351" s="381">
        <v>0.2</v>
      </c>
      <c r="J351" s="358">
        <f t="shared" si="32"/>
        <v>1440</v>
      </c>
      <c r="K351" s="358">
        <v>400</v>
      </c>
      <c r="L351" s="380">
        <f t="shared" si="33"/>
        <v>1040</v>
      </c>
      <c r="M351" s="383" t="s">
        <v>1565</v>
      </c>
    </row>
    <row r="352" spans="1:13" ht="22.5" customHeight="1">
      <c r="A352" s="333">
        <v>293</v>
      </c>
      <c r="B352" s="333" t="s">
        <v>2139</v>
      </c>
      <c r="C352" s="333" t="s">
        <v>2140</v>
      </c>
      <c r="D352" s="333" t="s">
        <v>112</v>
      </c>
      <c r="E352" s="401">
        <v>5</v>
      </c>
      <c r="F352" s="380">
        <v>720</v>
      </c>
      <c r="G352" s="380">
        <v>3600</v>
      </c>
      <c r="H352" s="380">
        <v>1800</v>
      </c>
      <c r="I352" s="381">
        <v>0.2</v>
      </c>
      <c r="J352" s="358">
        <f t="shared" si="32"/>
        <v>1440</v>
      </c>
      <c r="K352" s="380">
        <v>700</v>
      </c>
      <c r="L352" s="380">
        <f t="shared" si="33"/>
        <v>740</v>
      </c>
      <c r="M352" s="383" t="s">
        <v>1565</v>
      </c>
    </row>
    <row r="353" spans="1:13" ht="22.5" customHeight="1">
      <c r="A353" s="333">
        <v>294</v>
      </c>
      <c r="B353" s="333" t="s">
        <v>2141</v>
      </c>
      <c r="C353" s="333" t="s">
        <v>2142</v>
      </c>
      <c r="D353" s="333" t="s">
        <v>113</v>
      </c>
      <c r="E353" s="401">
        <v>5</v>
      </c>
      <c r="F353" s="380">
        <v>720</v>
      </c>
      <c r="G353" s="380">
        <v>3600</v>
      </c>
      <c r="H353" s="380">
        <v>1800</v>
      </c>
      <c r="I353" s="381">
        <v>0.2</v>
      </c>
      <c r="J353" s="358">
        <f t="shared" si="32"/>
        <v>1440</v>
      </c>
      <c r="K353" s="380">
        <v>500</v>
      </c>
      <c r="L353" s="380">
        <f t="shared" si="33"/>
        <v>940</v>
      </c>
      <c r="M353" s="383" t="s">
        <v>1565</v>
      </c>
    </row>
    <row r="354" spans="1:13" ht="22.5" customHeight="1">
      <c r="A354" s="333">
        <v>295</v>
      </c>
      <c r="B354" s="333" t="s">
        <v>2143</v>
      </c>
      <c r="C354" s="333" t="s">
        <v>2144</v>
      </c>
      <c r="D354" s="333" t="s">
        <v>112</v>
      </c>
      <c r="E354" s="401">
        <v>5</v>
      </c>
      <c r="F354" s="380">
        <v>720</v>
      </c>
      <c r="G354" s="380">
        <v>3600</v>
      </c>
      <c r="H354" s="380">
        <v>1800</v>
      </c>
      <c r="I354" s="381">
        <v>0.2</v>
      </c>
      <c r="J354" s="358">
        <f t="shared" si="32"/>
        <v>1440</v>
      </c>
      <c r="K354" s="380">
        <v>700</v>
      </c>
      <c r="L354" s="380">
        <f t="shared" si="33"/>
        <v>740</v>
      </c>
      <c r="M354" s="383" t="s">
        <v>1565</v>
      </c>
    </row>
    <row r="355" spans="1:13" ht="22.5" customHeight="1">
      <c r="A355" s="333">
        <v>296</v>
      </c>
      <c r="B355" s="333" t="s">
        <v>2145</v>
      </c>
      <c r="C355" s="333" t="s">
        <v>2146</v>
      </c>
      <c r="D355" s="384" t="s">
        <v>112</v>
      </c>
      <c r="E355" s="401">
        <v>5</v>
      </c>
      <c r="F355" s="380">
        <v>720</v>
      </c>
      <c r="G355" s="380">
        <v>3600</v>
      </c>
      <c r="H355" s="380">
        <v>1800</v>
      </c>
      <c r="I355" s="381">
        <v>0.2</v>
      </c>
      <c r="J355" s="358">
        <f t="shared" si="32"/>
        <v>1440</v>
      </c>
      <c r="K355" s="380">
        <v>587.5</v>
      </c>
      <c r="L355" s="380">
        <f t="shared" si="33"/>
        <v>852.5</v>
      </c>
      <c r="M355" s="383" t="s">
        <v>1565</v>
      </c>
    </row>
    <row r="356" spans="1:13" ht="22.5" customHeight="1">
      <c r="A356" s="333">
        <v>297</v>
      </c>
      <c r="B356" s="333" t="s">
        <v>1606</v>
      </c>
      <c r="C356" s="333" t="s">
        <v>1607</v>
      </c>
      <c r="D356" s="384" t="s">
        <v>112</v>
      </c>
      <c r="E356" s="401">
        <v>5</v>
      </c>
      <c r="F356" s="380">
        <v>720</v>
      </c>
      <c r="G356" s="380">
        <v>3600</v>
      </c>
      <c r="H356" s="380">
        <v>1800</v>
      </c>
      <c r="I356" s="381">
        <v>0.2</v>
      </c>
      <c r="J356" s="358">
        <f t="shared" si="32"/>
        <v>1440</v>
      </c>
      <c r="K356" s="380">
        <v>587.5</v>
      </c>
      <c r="L356" s="380">
        <f t="shared" si="33"/>
        <v>852.5</v>
      </c>
      <c r="M356" s="383" t="s">
        <v>1565</v>
      </c>
    </row>
    <row r="357" spans="1:13" ht="22.5" customHeight="1">
      <c r="A357" s="333">
        <v>298</v>
      </c>
      <c r="B357" s="333" t="s">
        <v>2147</v>
      </c>
      <c r="C357" s="333" t="s">
        <v>2148</v>
      </c>
      <c r="D357" s="333" t="s">
        <v>112</v>
      </c>
      <c r="E357" s="401">
        <v>5</v>
      </c>
      <c r="F357" s="380">
        <v>720</v>
      </c>
      <c r="G357" s="380">
        <v>3600</v>
      </c>
      <c r="H357" s="380">
        <v>1800</v>
      </c>
      <c r="I357" s="381">
        <v>0.2</v>
      </c>
      <c r="J357" s="358">
        <f t="shared" si="32"/>
        <v>1440</v>
      </c>
      <c r="K357" s="380">
        <v>700</v>
      </c>
      <c r="L357" s="380">
        <f t="shared" si="33"/>
        <v>740</v>
      </c>
      <c r="M357" s="383" t="s">
        <v>1565</v>
      </c>
    </row>
    <row r="358" spans="1:13" ht="22.5" customHeight="1">
      <c r="A358" s="333">
        <v>299</v>
      </c>
      <c r="B358" s="333" t="s">
        <v>2149</v>
      </c>
      <c r="C358" s="333" t="s">
        <v>2150</v>
      </c>
      <c r="D358" s="333" t="s">
        <v>113</v>
      </c>
      <c r="E358" s="401">
        <v>5</v>
      </c>
      <c r="F358" s="379">
        <v>144</v>
      </c>
      <c r="G358" s="379">
        <v>720</v>
      </c>
      <c r="H358" s="379">
        <v>720</v>
      </c>
      <c r="I358" s="381">
        <v>0</v>
      </c>
      <c r="J358" s="358">
        <f t="shared" si="32"/>
        <v>720</v>
      </c>
      <c r="K358" s="379">
        <v>487.5</v>
      </c>
      <c r="L358" s="380">
        <f t="shared" si="33"/>
        <v>232.5</v>
      </c>
      <c r="M358" s="383" t="s">
        <v>1636</v>
      </c>
    </row>
    <row r="359" spans="1:13" ht="22.5" customHeight="1">
      <c r="A359" s="333">
        <v>300</v>
      </c>
      <c r="B359" s="333" t="s">
        <v>2151</v>
      </c>
      <c r="C359" s="333" t="s">
        <v>2152</v>
      </c>
      <c r="D359" s="333" t="s">
        <v>113</v>
      </c>
      <c r="E359" s="401">
        <v>5</v>
      </c>
      <c r="F359" s="379">
        <v>144</v>
      </c>
      <c r="G359" s="379">
        <v>720</v>
      </c>
      <c r="H359" s="379">
        <v>720</v>
      </c>
      <c r="I359" s="381">
        <v>0</v>
      </c>
      <c r="J359" s="358">
        <f t="shared" si="32"/>
        <v>720</v>
      </c>
      <c r="K359" s="379">
        <v>487.5</v>
      </c>
      <c r="L359" s="380">
        <f t="shared" si="33"/>
        <v>232.5</v>
      </c>
      <c r="M359" s="383" t="s">
        <v>1636</v>
      </c>
    </row>
    <row r="360" spans="1:13" ht="22.5" customHeight="1">
      <c r="A360" s="333">
        <v>301</v>
      </c>
      <c r="B360" s="333" t="s">
        <v>2153</v>
      </c>
      <c r="C360" s="333" t="s">
        <v>2154</v>
      </c>
      <c r="D360" s="384" t="s">
        <v>113</v>
      </c>
      <c r="E360" s="401">
        <v>5</v>
      </c>
      <c r="F360" s="379">
        <f>G360/E360</f>
        <v>100</v>
      </c>
      <c r="G360" s="379">
        <v>500</v>
      </c>
      <c r="H360" s="379">
        <v>500</v>
      </c>
      <c r="I360" s="381">
        <v>0</v>
      </c>
      <c r="J360" s="358">
        <f t="shared" si="32"/>
        <v>500</v>
      </c>
      <c r="K360" s="379">
        <v>500</v>
      </c>
      <c r="L360" s="380">
        <f t="shared" si="33"/>
        <v>0</v>
      </c>
      <c r="M360" s="396" t="s">
        <v>1724</v>
      </c>
    </row>
    <row r="361" spans="1:13" ht="22.5" customHeight="1">
      <c r="A361" s="333">
        <v>302</v>
      </c>
      <c r="B361" s="419" t="s">
        <v>2155</v>
      </c>
      <c r="C361" s="419" t="s">
        <v>2156</v>
      </c>
      <c r="D361" s="419" t="s">
        <v>113</v>
      </c>
      <c r="E361" s="414">
        <v>5</v>
      </c>
      <c r="F361" s="356">
        <v>220</v>
      </c>
      <c r="G361" s="356">
        <v>1100</v>
      </c>
      <c r="H361" s="356">
        <v>880</v>
      </c>
      <c r="I361" s="357">
        <v>0</v>
      </c>
      <c r="J361" s="391">
        <v>880</v>
      </c>
      <c r="K361" s="419">
        <v>550</v>
      </c>
      <c r="L361" s="356">
        <v>330</v>
      </c>
      <c r="M361" s="431" t="s">
        <v>1636</v>
      </c>
    </row>
    <row r="362" spans="1:13" ht="22.5" customHeight="1">
      <c r="A362" s="451"/>
      <c r="B362" s="393" t="s">
        <v>26</v>
      </c>
      <c r="C362" s="453">
        <f>COUNTA(C350:C361)</f>
        <v>12</v>
      </c>
      <c r="D362" s="464"/>
      <c r="E362" s="454">
        <f>SUM(E350:E361)</f>
        <v>60</v>
      </c>
      <c r="F362" s="453"/>
      <c r="G362" s="453"/>
      <c r="H362" s="453"/>
      <c r="I362" s="453"/>
      <c r="J362" s="453"/>
      <c r="K362" s="429">
        <f t="shared" ref="K362:L362" si="34">SUM(K350:K361)</f>
        <v>6675</v>
      </c>
      <c r="L362" s="948">
        <f t="shared" si="34"/>
        <v>7665</v>
      </c>
      <c r="M362" s="932"/>
    </row>
    <row r="363" spans="1:13" ht="13.2">
      <c r="A363" s="346"/>
      <c r="B363" s="346"/>
      <c r="C363" s="346"/>
      <c r="D363" s="346"/>
      <c r="E363" s="346"/>
      <c r="F363" s="346"/>
      <c r="G363" s="346"/>
      <c r="H363" s="346"/>
      <c r="I363" s="346"/>
      <c r="J363" s="346"/>
      <c r="K363" s="346"/>
      <c r="L363" s="346"/>
      <c r="M363" s="346"/>
    </row>
    <row r="364" spans="1:13" ht="13.2">
      <c r="A364" s="346"/>
      <c r="B364" s="346"/>
      <c r="C364" s="346"/>
      <c r="D364" s="346"/>
      <c r="E364" s="346"/>
      <c r="F364" s="346"/>
      <c r="G364" s="346"/>
      <c r="H364" s="346"/>
      <c r="I364" s="346"/>
      <c r="J364" s="346"/>
      <c r="K364" s="346"/>
      <c r="L364" s="346"/>
      <c r="M364" s="346"/>
    </row>
    <row r="365" spans="1:13" ht="13.2">
      <c r="A365" s="952" t="s">
        <v>2157</v>
      </c>
      <c r="B365" s="953"/>
      <c r="C365" s="953"/>
      <c r="D365" s="953"/>
      <c r="E365" s="953"/>
      <c r="F365" s="953"/>
      <c r="G365" s="953"/>
      <c r="H365" s="953"/>
      <c r="I365" s="953"/>
      <c r="J365" s="953"/>
      <c r="K365" s="953"/>
      <c r="L365" s="953"/>
      <c r="M365" s="941"/>
    </row>
    <row r="366" spans="1:13" ht="13.2">
      <c r="A366" s="942"/>
      <c r="B366" s="954"/>
      <c r="C366" s="954"/>
      <c r="D366" s="954"/>
      <c r="E366" s="954"/>
      <c r="F366" s="954"/>
      <c r="G366" s="954"/>
      <c r="H366" s="954"/>
      <c r="I366" s="954"/>
      <c r="J366" s="954"/>
      <c r="K366" s="954"/>
      <c r="L366" s="954"/>
      <c r="M366" s="943"/>
    </row>
    <row r="367" spans="1:13" ht="22.5" customHeight="1">
      <c r="A367" s="396" t="s">
        <v>165</v>
      </c>
      <c r="B367" s="396" t="s">
        <v>166</v>
      </c>
      <c r="C367" s="396" t="s">
        <v>1556</v>
      </c>
      <c r="D367" s="334" t="s">
        <v>168</v>
      </c>
      <c r="E367" s="334" t="s">
        <v>169</v>
      </c>
      <c r="F367" s="396" t="s">
        <v>1557</v>
      </c>
      <c r="G367" s="396" t="s">
        <v>1558</v>
      </c>
      <c r="H367" s="396" t="s">
        <v>1559</v>
      </c>
      <c r="I367" s="396" t="s">
        <v>1560</v>
      </c>
      <c r="J367" s="398" t="s">
        <v>1697</v>
      </c>
      <c r="K367" s="334" t="s">
        <v>1562</v>
      </c>
      <c r="L367" s="399" t="s">
        <v>1563</v>
      </c>
      <c r="M367" s="400" t="s">
        <v>177</v>
      </c>
    </row>
    <row r="368" spans="1:13" ht="22.5" customHeight="1">
      <c r="A368" s="333">
        <v>303</v>
      </c>
      <c r="B368" s="333" t="s">
        <v>2158</v>
      </c>
      <c r="C368" s="333" t="s">
        <v>2159</v>
      </c>
      <c r="D368" s="333" t="s">
        <v>113</v>
      </c>
      <c r="E368" s="401">
        <v>2.5</v>
      </c>
      <c r="F368" s="380">
        <v>234</v>
      </c>
      <c r="G368" s="380">
        <v>585</v>
      </c>
      <c r="H368" s="380">
        <v>526.5</v>
      </c>
      <c r="I368" s="381">
        <v>0.1</v>
      </c>
      <c r="J368" s="358">
        <f t="shared" ref="J368:J370" si="35">H368*(1-I368)</f>
        <v>473.85</v>
      </c>
      <c r="K368" s="380">
        <v>437.5</v>
      </c>
      <c r="L368" s="380">
        <f t="shared" ref="L368:L370" si="36">J368-K368</f>
        <v>36.350000000000023</v>
      </c>
      <c r="M368" s="396" t="s">
        <v>1779</v>
      </c>
    </row>
    <row r="369" spans="1:13" ht="22.5" customHeight="1">
      <c r="A369" s="333">
        <v>304</v>
      </c>
      <c r="B369" s="333" t="s">
        <v>2160</v>
      </c>
      <c r="C369" s="333" t="s">
        <v>2161</v>
      </c>
      <c r="D369" s="333" t="s">
        <v>113</v>
      </c>
      <c r="E369" s="401">
        <v>2.5</v>
      </c>
      <c r="F369" s="380">
        <v>234</v>
      </c>
      <c r="G369" s="380">
        <v>585</v>
      </c>
      <c r="H369" s="380">
        <v>526.5</v>
      </c>
      <c r="I369" s="381">
        <v>0.1</v>
      </c>
      <c r="J369" s="358">
        <f t="shared" si="35"/>
        <v>473.85</v>
      </c>
      <c r="K369" s="380">
        <v>437.5</v>
      </c>
      <c r="L369" s="380">
        <f t="shared" si="36"/>
        <v>36.350000000000023</v>
      </c>
      <c r="M369" s="396" t="s">
        <v>1779</v>
      </c>
    </row>
    <row r="370" spans="1:13" ht="22.5" customHeight="1">
      <c r="A370" s="333">
        <v>305</v>
      </c>
      <c r="B370" s="333" t="s">
        <v>2162</v>
      </c>
      <c r="C370" s="333" t="s">
        <v>2163</v>
      </c>
      <c r="D370" s="333" t="s">
        <v>113</v>
      </c>
      <c r="E370" s="401">
        <v>5</v>
      </c>
      <c r="F370" s="452">
        <v>490</v>
      </c>
      <c r="G370" s="379">
        <v>2450</v>
      </c>
      <c r="H370" s="379">
        <v>2450</v>
      </c>
      <c r="I370" s="381">
        <v>0.2</v>
      </c>
      <c r="J370" s="358">
        <f t="shared" si="35"/>
        <v>1960</v>
      </c>
      <c r="K370" s="385">
        <v>875</v>
      </c>
      <c r="L370" s="380">
        <f t="shared" si="36"/>
        <v>1085</v>
      </c>
      <c r="M370" s="396" t="s">
        <v>1653</v>
      </c>
    </row>
    <row r="371" spans="1:13" ht="22.5" customHeight="1">
      <c r="A371" s="451"/>
      <c r="B371" s="393" t="s">
        <v>26</v>
      </c>
      <c r="C371" s="453">
        <f>COUNTA(C368:C370)</f>
        <v>3</v>
      </c>
      <c r="D371" s="453"/>
      <c r="E371" s="454">
        <f>SUM(E368:E370)</f>
        <v>10</v>
      </c>
      <c r="F371" s="453"/>
      <c r="G371" s="453"/>
      <c r="H371" s="453"/>
      <c r="I371" s="453"/>
      <c r="J371" s="453"/>
      <c r="K371" s="429">
        <f t="shared" ref="K371:L371" si="37">SUM(K368:K370)</f>
        <v>1750</v>
      </c>
      <c r="L371" s="948">
        <f t="shared" si="37"/>
        <v>1157.7</v>
      </c>
      <c r="M371" s="932"/>
    </row>
    <row r="372" spans="1:13" ht="13.2">
      <c r="A372" s="346"/>
      <c r="B372" s="346"/>
      <c r="C372" s="346"/>
      <c r="D372" s="346"/>
      <c r="E372" s="346"/>
      <c r="F372" s="346"/>
      <c r="G372" s="346"/>
      <c r="H372" s="346"/>
      <c r="I372" s="346"/>
      <c r="J372" s="346"/>
      <c r="K372" s="346"/>
      <c r="L372" s="346"/>
      <c r="M372" s="346"/>
    </row>
    <row r="373" spans="1:13" ht="13.2">
      <c r="A373" s="346"/>
      <c r="B373" s="346"/>
      <c r="C373" s="346"/>
      <c r="D373" s="346"/>
      <c r="E373" s="346"/>
      <c r="F373" s="346"/>
      <c r="G373" s="346"/>
      <c r="H373" s="346"/>
      <c r="I373" s="346"/>
      <c r="J373" s="346"/>
      <c r="K373" s="346"/>
      <c r="L373" s="346"/>
      <c r="M373" s="346"/>
    </row>
    <row r="374" spans="1:13" ht="13.2">
      <c r="A374" s="346"/>
      <c r="B374" s="346"/>
      <c r="C374" s="346"/>
      <c r="D374" s="346"/>
      <c r="E374" s="346"/>
      <c r="F374" s="346"/>
      <c r="G374" s="346"/>
      <c r="H374" s="346"/>
      <c r="I374" s="346"/>
      <c r="J374" s="346"/>
      <c r="K374" s="346"/>
      <c r="L374" s="346"/>
      <c r="M374" s="346"/>
    </row>
    <row r="375" spans="1:13" ht="13.2">
      <c r="A375" s="951" t="s">
        <v>2164</v>
      </c>
      <c r="B375" s="931"/>
      <c r="C375" s="931"/>
      <c r="D375" s="931"/>
      <c r="E375" s="931"/>
      <c r="F375" s="931"/>
      <c r="G375" s="931"/>
      <c r="H375" s="931"/>
      <c r="I375" s="931"/>
      <c r="J375" s="931"/>
      <c r="K375" s="931"/>
      <c r="L375" s="931"/>
      <c r="M375" s="932"/>
    </row>
    <row r="376" spans="1:13" ht="22.5" customHeight="1">
      <c r="A376" s="347" t="s">
        <v>165</v>
      </c>
      <c r="B376" s="348" t="s">
        <v>166</v>
      </c>
      <c r="C376" s="348" t="s">
        <v>1556</v>
      </c>
      <c r="D376" s="465" t="s">
        <v>168</v>
      </c>
      <c r="E376" s="397" t="s">
        <v>169</v>
      </c>
      <c r="F376" s="348" t="s">
        <v>1557</v>
      </c>
      <c r="G376" s="348" t="s">
        <v>1558</v>
      </c>
      <c r="H376" s="348" t="s">
        <v>1559</v>
      </c>
      <c r="I376" s="348" t="s">
        <v>1560</v>
      </c>
      <c r="J376" s="349" t="s">
        <v>1697</v>
      </c>
      <c r="K376" s="334" t="s">
        <v>1562</v>
      </c>
      <c r="L376" s="350" t="s">
        <v>1563</v>
      </c>
      <c r="M376" s="351" t="s">
        <v>177</v>
      </c>
    </row>
    <row r="377" spans="1:13" ht="22.5" customHeight="1">
      <c r="A377" s="333">
        <v>306</v>
      </c>
      <c r="B377" s="333" t="s">
        <v>2165</v>
      </c>
      <c r="C377" s="333" t="s">
        <v>2166</v>
      </c>
      <c r="D377" s="384" t="s">
        <v>137</v>
      </c>
      <c r="E377" s="401">
        <v>5</v>
      </c>
      <c r="F377" s="452">
        <v>1110</v>
      </c>
      <c r="G377" s="379">
        <v>5550</v>
      </c>
      <c r="H377" s="379">
        <v>5550</v>
      </c>
      <c r="I377" s="381">
        <v>0.2</v>
      </c>
      <c r="J377" s="358">
        <f t="shared" ref="J377:J381" si="38">H377*(1-I377)</f>
        <v>4440</v>
      </c>
      <c r="K377" s="380">
        <v>2000</v>
      </c>
      <c r="L377" s="380">
        <f t="shared" ref="L377:L381" si="39">J377-K377</f>
        <v>2440</v>
      </c>
      <c r="M377" s="396" t="s">
        <v>1653</v>
      </c>
    </row>
    <row r="378" spans="1:13" ht="22.5" customHeight="1">
      <c r="A378" s="333">
        <v>307</v>
      </c>
      <c r="B378" s="419" t="s">
        <v>2167</v>
      </c>
      <c r="C378" s="354" t="s">
        <v>2168</v>
      </c>
      <c r="D378" s="354" t="s">
        <v>115</v>
      </c>
      <c r="E378" s="414">
        <v>5</v>
      </c>
      <c r="F378" s="390">
        <v>800</v>
      </c>
      <c r="G378" s="356">
        <v>4000</v>
      </c>
      <c r="H378" s="356">
        <v>2000</v>
      </c>
      <c r="I378" s="357">
        <v>0.15</v>
      </c>
      <c r="J378" s="358">
        <f t="shared" si="38"/>
        <v>1700</v>
      </c>
      <c r="K378" s="356">
        <v>1000</v>
      </c>
      <c r="L378" s="380">
        <f t="shared" si="39"/>
        <v>700</v>
      </c>
      <c r="M378" s="431" t="s">
        <v>1565</v>
      </c>
    </row>
    <row r="379" spans="1:13" ht="22.5" customHeight="1">
      <c r="A379" s="333">
        <v>308</v>
      </c>
      <c r="B379" s="419" t="s">
        <v>2169</v>
      </c>
      <c r="C379" s="354" t="s">
        <v>2170</v>
      </c>
      <c r="D379" s="354" t="s">
        <v>115</v>
      </c>
      <c r="E379" s="414">
        <v>4.9000000000000004</v>
      </c>
      <c r="F379" s="390">
        <v>800</v>
      </c>
      <c r="G379" s="356">
        <v>3920.0000000000005</v>
      </c>
      <c r="H379" s="356">
        <v>1960.0000000000002</v>
      </c>
      <c r="I379" s="357">
        <v>0.15</v>
      </c>
      <c r="J379" s="358">
        <f t="shared" si="38"/>
        <v>1666.0000000000002</v>
      </c>
      <c r="K379" s="356">
        <v>980.00000000000011</v>
      </c>
      <c r="L379" s="380">
        <f t="shared" si="39"/>
        <v>686.00000000000011</v>
      </c>
      <c r="M379" s="431" t="s">
        <v>1565</v>
      </c>
    </row>
    <row r="380" spans="1:13" ht="22.5" customHeight="1">
      <c r="A380" s="333">
        <v>309</v>
      </c>
      <c r="B380" s="419" t="s">
        <v>2171</v>
      </c>
      <c r="C380" s="354" t="s">
        <v>2172</v>
      </c>
      <c r="D380" s="354" t="s">
        <v>112</v>
      </c>
      <c r="E380" s="414">
        <v>3.2</v>
      </c>
      <c r="F380" s="390">
        <v>720</v>
      </c>
      <c r="G380" s="356">
        <v>2304</v>
      </c>
      <c r="H380" s="356">
        <v>1152</v>
      </c>
      <c r="I380" s="357">
        <v>0.15</v>
      </c>
      <c r="J380" s="358">
        <f t="shared" si="38"/>
        <v>979.19999999999993</v>
      </c>
      <c r="K380" s="356">
        <v>448</v>
      </c>
      <c r="L380" s="380">
        <f t="shared" si="39"/>
        <v>531.19999999999993</v>
      </c>
      <c r="M380" s="431" t="s">
        <v>1565</v>
      </c>
    </row>
    <row r="381" spans="1:13" ht="22.5" customHeight="1">
      <c r="A381" s="333">
        <v>310</v>
      </c>
      <c r="B381" s="419" t="s">
        <v>2173</v>
      </c>
      <c r="C381" s="354" t="s">
        <v>2174</v>
      </c>
      <c r="D381" s="354" t="s">
        <v>112</v>
      </c>
      <c r="E381" s="414">
        <v>5</v>
      </c>
      <c r="F381" s="390">
        <v>720</v>
      </c>
      <c r="G381" s="356">
        <v>3600</v>
      </c>
      <c r="H381" s="356">
        <v>1800</v>
      </c>
      <c r="I381" s="357">
        <v>0.15</v>
      </c>
      <c r="J381" s="358">
        <f t="shared" si="38"/>
        <v>1530</v>
      </c>
      <c r="K381" s="356">
        <v>700</v>
      </c>
      <c r="L381" s="380">
        <f t="shared" si="39"/>
        <v>830</v>
      </c>
      <c r="M381" s="431" t="s">
        <v>1565</v>
      </c>
    </row>
    <row r="382" spans="1:13" ht="22.5" customHeight="1">
      <c r="A382" s="451"/>
      <c r="B382" s="393" t="s">
        <v>26</v>
      </c>
      <c r="C382" s="453">
        <f>COUNTA(C377:C381)</f>
        <v>5</v>
      </c>
      <c r="D382" s="464"/>
      <c r="E382" s="454">
        <f>SUM(E377:E381)</f>
        <v>23.1</v>
      </c>
      <c r="F382" s="453"/>
      <c r="G382" s="453"/>
      <c r="H382" s="453"/>
      <c r="I382" s="453"/>
      <c r="J382" s="453"/>
      <c r="K382" s="429">
        <f t="shared" ref="K382:L382" si="40">SUM(K376:K381)</f>
        <v>5128</v>
      </c>
      <c r="L382" s="948">
        <f t="shared" si="40"/>
        <v>5187.2</v>
      </c>
      <c r="M382" s="932"/>
    </row>
    <row r="383" spans="1:13" ht="13.2">
      <c r="A383" s="346"/>
      <c r="B383" s="346"/>
      <c r="C383" s="346"/>
      <c r="D383" s="346"/>
      <c r="E383" s="346"/>
      <c r="F383" s="346"/>
      <c r="G383" s="346"/>
      <c r="H383" s="346"/>
      <c r="I383" s="346"/>
      <c r="J383" s="346"/>
      <c r="K383" s="346"/>
      <c r="L383" s="346"/>
      <c r="M383" s="346"/>
    </row>
    <row r="384" spans="1:13" ht="13.2">
      <c r="A384" s="346"/>
      <c r="B384" s="346"/>
      <c r="C384" s="346"/>
      <c r="D384" s="346"/>
      <c r="E384" s="346"/>
      <c r="F384" s="346"/>
      <c r="G384" s="346"/>
      <c r="H384" s="346"/>
      <c r="I384" s="346"/>
      <c r="J384" s="346"/>
      <c r="K384" s="346"/>
      <c r="L384" s="346"/>
      <c r="M384" s="346"/>
    </row>
    <row r="385" spans="1:13" ht="13.2">
      <c r="A385" s="951" t="s">
        <v>2175</v>
      </c>
      <c r="B385" s="931"/>
      <c r="C385" s="931"/>
      <c r="D385" s="931"/>
      <c r="E385" s="931"/>
      <c r="F385" s="931"/>
      <c r="G385" s="931"/>
      <c r="H385" s="931"/>
      <c r="I385" s="931"/>
      <c r="J385" s="931"/>
      <c r="K385" s="931"/>
      <c r="L385" s="931"/>
      <c r="M385" s="932"/>
    </row>
    <row r="386" spans="1:13" ht="22.5" customHeight="1">
      <c r="A386" s="347" t="s">
        <v>165</v>
      </c>
      <c r="B386" s="348" t="s">
        <v>166</v>
      </c>
      <c r="C386" s="348" t="s">
        <v>1556</v>
      </c>
      <c r="D386" s="334" t="s">
        <v>168</v>
      </c>
      <c r="E386" s="334" t="s">
        <v>169</v>
      </c>
      <c r="F386" s="348" t="s">
        <v>1557</v>
      </c>
      <c r="G386" s="348" t="s">
        <v>1558</v>
      </c>
      <c r="H386" s="348" t="s">
        <v>1559</v>
      </c>
      <c r="I386" s="348" t="s">
        <v>1560</v>
      </c>
      <c r="J386" s="349" t="s">
        <v>1697</v>
      </c>
      <c r="K386" s="334" t="s">
        <v>1562</v>
      </c>
      <c r="L386" s="350" t="s">
        <v>1563</v>
      </c>
      <c r="M386" s="351" t="s">
        <v>177</v>
      </c>
    </row>
    <row r="387" spans="1:13" ht="22.5" customHeight="1">
      <c r="A387" s="333">
        <v>311</v>
      </c>
      <c r="B387" s="385" t="s">
        <v>2176</v>
      </c>
      <c r="C387" s="333" t="s">
        <v>2177</v>
      </c>
      <c r="D387" s="333" t="s">
        <v>139</v>
      </c>
      <c r="E387" s="401">
        <v>5</v>
      </c>
      <c r="F387" s="379">
        <v>2640</v>
      </c>
      <c r="G387" s="385">
        <v>13200</v>
      </c>
      <c r="H387" s="379">
        <v>6600</v>
      </c>
      <c r="I387" s="381">
        <v>0.2</v>
      </c>
      <c r="J387" s="358">
        <f t="shared" ref="J387:J388" si="41">H387*(1-I387)</f>
        <v>5280</v>
      </c>
      <c r="K387" s="385">
        <v>2750</v>
      </c>
      <c r="L387" s="387">
        <f t="shared" ref="L387:L388" si="42">J387-K387</f>
        <v>2530</v>
      </c>
      <c r="M387" s="396" t="s">
        <v>1565</v>
      </c>
    </row>
    <row r="388" spans="1:13" ht="22.5" customHeight="1">
      <c r="A388" s="333">
        <v>312</v>
      </c>
      <c r="B388" s="385" t="s">
        <v>2178</v>
      </c>
      <c r="C388" s="333" t="s">
        <v>2179</v>
      </c>
      <c r="D388" s="333" t="s">
        <v>139</v>
      </c>
      <c r="E388" s="401">
        <v>5</v>
      </c>
      <c r="F388" s="379">
        <v>2640</v>
      </c>
      <c r="G388" s="385">
        <v>13200</v>
      </c>
      <c r="H388" s="379">
        <v>6600</v>
      </c>
      <c r="I388" s="381">
        <v>0.2</v>
      </c>
      <c r="J388" s="358">
        <f t="shared" si="41"/>
        <v>5280</v>
      </c>
      <c r="K388" s="385">
        <v>2750</v>
      </c>
      <c r="L388" s="387">
        <f t="shared" si="42"/>
        <v>2530</v>
      </c>
      <c r="M388" s="396" t="s">
        <v>1565</v>
      </c>
    </row>
    <row r="389" spans="1:13" ht="22.5" customHeight="1">
      <c r="A389" s="451"/>
      <c r="B389" s="393" t="s">
        <v>26</v>
      </c>
      <c r="C389" s="453">
        <f>COUNTA(C387:C388)</f>
        <v>2</v>
      </c>
      <c r="D389" s="453"/>
      <c r="E389" s="454">
        <f>SUM(E387:E388)</f>
        <v>10</v>
      </c>
      <c r="F389" s="453"/>
      <c r="G389" s="453"/>
      <c r="H389" s="453"/>
      <c r="I389" s="453"/>
      <c r="J389" s="453"/>
      <c r="K389" s="429">
        <f t="shared" ref="K389:L389" si="43">SUM(K386:K388)</f>
        <v>5500</v>
      </c>
      <c r="L389" s="948">
        <f t="shared" si="43"/>
        <v>5060</v>
      </c>
      <c r="M389" s="932"/>
    </row>
    <row r="390" spans="1:13" ht="13.2">
      <c r="A390" s="346"/>
      <c r="B390" s="346"/>
      <c r="C390" s="346"/>
      <c r="D390" s="346"/>
      <c r="E390" s="346"/>
      <c r="F390" s="346"/>
      <c r="G390" s="346"/>
      <c r="H390" s="346"/>
      <c r="I390" s="346"/>
      <c r="J390" s="346"/>
      <c r="K390" s="346"/>
      <c r="L390" s="346"/>
      <c r="M390" s="346"/>
    </row>
    <row r="391" spans="1:13" ht="13.2">
      <c r="A391" s="346"/>
      <c r="B391" s="346"/>
      <c r="C391" s="346"/>
      <c r="D391" s="346"/>
      <c r="E391" s="346"/>
      <c r="F391" s="346"/>
      <c r="G391" s="346"/>
      <c r="H391" s="346"/>
      <c r="I391" s="346"/>
      <c r="J391" s="346"/>
      <c r="K391" s="346"/>
      <c r="L391" s="346"/>
      <c r="M391" s="346"/>
    </row>
    <row r="392" spans="1:13" ht="13.2">
      <c r="A392" s="346"/>
      <c r="B392" s="346"/>
      <c r="C392" s="346"/>
      <c r="D392" s="346"/>
      <c r="E392" s="346"/>
      <c r="F392" s="346"/>
      <c r="G392" s="346"/>
      <c r="H392" s="346"/>
      <c r="I392" s="346"/>
      <c r="J392" s="346"/>
      <c r="K392" s="346"/>
      <c r="L392" s="346"/>
      <c r="M392" s="346"/>
    </row>
    <row r="393" spans="1:13" ht="13.2">
      <c r="A393" s="951" t="s">
        <v>2180</v>
      </c>
      <c r="B393" s="931"/>
      <c r="C393" s="931"/>
      <c r="D393" s="931"/>
      <c r="E393" s="931"/>
      <c r="F393" s="931"/>
      <c r="G393" s="931"/>
      <c r="H393" s="931"/>
      <c r="I393" s="931"/>
      <c r="J393" s="931"/>
      <c r="K393" s="931"/>
      <c r="L393" s="931"/>
      <c r="M393" s="932"/>
    </row>
    <row r="394" spans="1:13" ht="22.5" customHeight="1">
      <c r="A394" s="347" t="s">
        <v>165</v>
      </c>
      <c r="B394" s="348" t="s">
        <v>166</v>
      </c>
      <c r="C394" s="348" t="s">
        <v>1556</v>
      </c>
      <c r="D394" s="334" t="s">
        <v>168</v>
      </c>
      <c r="E394" s="334" t="s">
        <v>169</v>
      </c>
      <c r="F394" s="348" t="s">
        <v>1557</v>
      </c>
      <c r="G394" s="348" t="s">
        <v>1558</v>
      </c>
      <c r="H394" s="348" t="s">
        <v>1559</v>
      </c>
      <c r="I394" s="348" t="s">
        <v>1560</v>
      </c>
      <c r="J394" s="349" t="s">
        <v>1697</v>
      </c>
      <c r="K394" s="334" t="s">
        <v>1562</v>
      </c>
      <c r="L394" s="350" t="s">
        <v>1563</v>
      </c>
      <c r="M394" s="351" t="s">
        <v>177</v>
      </c>
    </row>
    <row r="395" spans="1:13" ht="22.5" customHeight="1">
      <c r="A395" s="466">
        <v>313</v>
      </c>
      <c r="B395" s="466" t="s">
        <v>2181</v>
      </c>
      <c r="C395" s="466" t="s">
        <v>2182</v>
      </c>
      <c r="D395" s="466" t="s">
        <v>112</v>
      </c>
      <c r="E395" s="467">
        <v>5</v>
      </c>
      <c r="F395" s="468">
        <v>800</v>
      </c>
      <c r="G395" s="469">
        <v>4000</v>
      </c>
      <c r="H395" s="468">
        <v>2000</v>
      </c>
      <c r="I395" s="470">
        <v>0.2</v>
      </c>
      <c r="J395" s="471">
        <f t="shared" ref="J395:J399" si="44">H395*(1-I395)</f>
        <v>1600</v>
      </c>
      <c r="K395" s="469">
        <v>800</v>
      </c>
      <c r="L395" s="472">
        <v>800</v>
      </c>
      <c r="M395" s="473" t="s">
        <v>1565</v>
      </c>
    </row>
    <row r="396" spans="1:13" ht="22.5" customHeight="1">
      <c r="A396" s="466">
        <v>314</v>
      </c>
      <c r="B396" s="466" t="s">
        <v>2183</v>
      </c>
      <c r="C396" s="466" t="s">
        <v>2184</v>
      </c>
      <c r="D396" s="466" t="s">
        <v>112</v>
      </c>
      <c r="E396" s="467">
        <v>5</v>
      </c>
      <c r="F396" s="468">
        <v>720</v>
      </c>
      <c r="G396" s="474">
        <v>3600</v>
      </c>
      <c r="H396" s="468">
        <v>1800</v>
      </c>
      <c r="I396" s="470">
        <v>0.2</v>
      </c>
      <c r="J396" s="471">
        <f t="shared" si="44"/>
        <v>1440</v>
      </c>
      <c r="K396" s="469">
        <v>550</v>
      </c>
      <c r="L396" s="472">
        <v>890</v>
      </c>
      <c r="M396" s="473" t="s">
        <v>1565</v>
      </c>
    </row>
    <row r="397" spans="1:13" ht="22.5" customHeight="1">
      <c r="A397" s="466">
        <v>315</v>
      </c>
      <c r="B397" s="466" t="s">
        <v>2185</v>
      </c>
      <c r="C397" s="466" t="s">
        <v>2186</v>
      </c>
      <c r="D397" s="466" t="s">
        <v>112</v>
      </c>
      <c r="E397" s="467">
        <v>5</v>
      </c>
      <c r="F397" s="468">
        <v>720</v>
      </c>
      <c r="G397" s="474">
        <v>3600</v>
      </c>
      <c r="H397" s="468">
        <v>1800</v>
      </c>
      <c r="I397" s="470">
        <v>0.2</v>
      </c>
      <c r="J397" s="471">
        <f t="shared" si="44"/>
        <v>1440</v>
      </c>
      <c r="K397" s="469">
        <v>550</v>
      </c>
      <c r="L397" s="472">
        <v>890</v>
      </c>
      <c r="M397" s="473" t="s">
        <v>1565</v>
      </c>
    </row>
    <row r="398" spans="1:13" ht="22.5" customHeight="1">
      <c r="A398" s="466">
        <v>316</v>
      </c>
      <c r="B398" s="466" t="s">
        <v>2187</v>
      </c>
      <c r="C398" s="466" t="s">
        <v>2188</v>
      </c>
      <c r="D398" s="466" t="s">
        <v>112</v>
      </c>
      <c r="E398" s="467">
        <v>5.2</v>
      </c>
      <c r="F398" s="468">
        <v>720</v>
      </c>
      <c r="G398" s="468">
        <v>3744</v>
      </c>
      <c r="H398" s="468">
        <v>1872</v>
      </c>
      <c r="I398" s="470">
        <v>0.2</v>
      </c>
      <c r="J398" s="471">
        <f t="shared" si="44"/>
        <v>1497.6000000000001</v>
      </c>
      <c r="K398" s="469">
        <v>572</v>
      </c>
      <c r="L398" s="472">
        <v>925.60000000000014</v>
      </c>
      <c r="M398" s="473" t="s">
        <v>1565</v>
      </c>
    </row>
    <row r="399" spans="1:13" ht="22.5" customHeight="1">
      <c r="A399" s="466">
        <v>317</v>
      </c>
      <c r="B399" s="466" t="s">
        <v>2189</v>
      </c>
      <c r="C399" s="466" t="s">
        <v>2190</v>
      </c>
      <c r="D399" s="466" t="s">
        <v>112</v>
      </c>
      <c r="E399" s="467">
        <v>5.5</v>
      </c>
      <c r="F399" s="468">
        <v>720</v>
      </c>
      <c r="G399" s="468">
        <v>3960</v>
      </c>
      <c r="H399" s="468">
        <v>1980</v>
      </c>
      <c r="I399" s="470">
        <v>0.2</v>
      </c>
      <c r="J399" s="471">
        <f t="shared" si="44"/>
        <v>1584</v>
      </c>
      <c r="K399" s="469">
        <v>605</v>
      </c>
      <c r="L399" s="472">
        <v>979</v>
      </c>
      <c r="M399" s="473" t="s">
        <v>1565</v>
      </c>
    </row>
    <row r="400" spans="1:13" ht="22.5" customHeight="1">
      <c r="A400" s="475"/>
      <c r="B400" s="476" t="s">
        <v>26</v>
      </c>
      <c r="C400" s="477">
        <f>COUNTA(C395:C399)</f>
        <v>5</v>
      </c>
      <c r="D400" s="477"/>
      <c r="E400" s="478">
        <f>SUM(E395:E399)</f>
        <v>25.7</v>
      </c>
      <c r="F400" s="477"/>
      <c r="G400" s="477"/>
      <c r="H400" s="477"/>
      <c r="I400" s="477"/>
      <c r="J400" s="477"/>
      <c r="K400" s="479">
        <f t="shared" ref="K400:L400" si="45">SUM(K395:K399)</f>
        <v>3077</v>
      </c>
      <c r="L400" s="955">
        <f t="shared" si="45"/>
        <v>4484.6000000000004</v>
      </c>
      <c r="M400" s="932"/>
    </row>
    <row r="401" spans="1:13" ht="13.2">
      <c r="A401" s="346"/>
      <c r="B401" s="346"/>
      <c r="C401" s="346"/>
      <c r="D401" s="346"/>
      <c r="E401" s="346"/>
      <c r="F401" s="346"/>
      <c r="G401" s="346"/>
      <c r="H401" s="346"/>
      <c r="I401" s="346"/>
      <c r="J401" s="346"/>
      <c r="K401" s="346"/>
      <c r="L401" s="346"/>
      <c r="M401" s="346"/>
    </row>
    <row r="402" spans="1:13" ht="13.2">
      <c r="A402" s="346"/>
      <c r="B402" s="346"/>
      <c r="C402" s="346"/>
      <c r="D402" s="346"/>
      <c r="E402" s="346"/>
      <c r="F402" s="346"/>
      <c r="G402" s="346"/>
      <c r="H402" s="346"/>
      <c r="I402" s="346"/>
      <c r="J402" s="346"/>
      <c r="K402" s="346"/>
      <c r="L402" s="346"/>
      <c r="M402" s="346"/>
    </row>
    <row r="403" spans="1:13" ht="13.2">
      <c r="A403" s="951" t="s">
        <v>2191</v>
      </c>
      <c r="B403" s="931"/>
      <c r="C403" s="931"/>
      <c r="D403" s="931"/>
      <c r="E403" s="931"/>
      <c r="F403" s="931"/>
      <c r="G403" s="931"/>
      <c r="H403" s="931"/>
      <c r="I403" s="931"/>
      <c r="J403" s="931"/>
      <c r="K403" s="931"/>
      <c r="L403" s="931"/>
      <c r="M403" s="932"/>
    </row>
    <row r="404" spans="1:13" ht="22.5" customHeight="1">
      <c r="A404" s="347" t="s">
        <v>165</v>
      </c>
      <c r="B404" s="348" t="s">
        <v>166</v>
      </c>
      <c r="C404" s="348" t="s">
        <v>1556</v>
      </c>
      <c r="D404" s="334" t="s">
        <v>168</v>
      </c>
      <c r="E404" s="334" t="s">
        <v>169</v>
      </c>
      <c r="F404" s="348" t="s">
        <v>1557</v>
      </c>
      <c r="G404" s="348" t="s">
        <v>1558</v>
      </c>
      <c r="H404" s="348" t="s">
        <v>1559</v>
      </c>
      <c r="I404" s="348" t="s">
        <v>1560</v>
      </c>
      <c r="J404" s="349" t="s">
        <v>1697</v>
      </c>
      <c r="K404" s="334" t="s">
        <v>1562</v>
      </c>
      <c r="L404" s="350" t="s">
        <v>1563</v>
      </c>
      <c r="M404" s="351" t="s">
        <v>177</v>
      </c>
    </row>
    <row r="405" spans="1:13" ht="22.5" customHeight="1">
      <c r="A405" s="466">
        <v>318</v>
      </c>
      <c r="B405" s="466" t="s">
        <v>2192</v>
      </c>
      <c r="C405" s="466" t="s">
        <v>2193</v>
      </c>
      <c r="D405" s="466" t="s">
        <v>112</v>
      </c>
      <c r="E405" s="467">
        <v>5</v>
      </c>
      <c r="F405" s="480">
        <v>720</v>
      </c>
      <c r="G405" s="480">
        <v>3600</v>
      </c>
      <c r="H405" s="480">
        <v>1800</v>
      </c>
      <c r="I405" s="470">
        <v>0.2</v>
      </c>
      <c r="J405" s="471">
        <f t="shared" ref="J405:J409" si="46">H405*(1-I405)</f>
        <v>1440</v>
      </c>
      <c r="K405" s="480">
        <v>575</v>
      </c>
      <c r="L405" s="480">
        <v>685</v>
      </c>
      <c r="M405" s="473" t="s">
        <v>1565</v>
      </c>
    </row>
    <row r="406" spans="1:13" ht="22.5" customHeight="1">
      <c r="A406" s="466">
        <v>319</v>
      </c>
      <c r="B406" s="466" t="s">
        <v>2194</v>
      </c>
      <c r="C406" s="466" t="s">
        <v>2195</v>
      </c>
      <c r="D406" s="466" t="s">
        <v>112</v>
      </c>
      <c r="E406" s="467">
        <v>4.9000000000000004</v>
      </c>
      <c r="F406" s="480">
        <v>720</v>
      </c>
      <c r="G406" s="480">
        <v>3528.0000000000005</v>
      </c>
      <c r="H406" s="480">
        <v>1764.0000000000002</v>
      </c>
      <c r="I406" s="470">
        <v>0.2</v>
      </c>
      <c r="J406" s="471">
        <f t="shared" si="46"/>
        <v>1411.2000000000003</v>
      </c>
      <c r="K406" s="480">
        <v>563.5</v>
      </c>
      <c r="L406" s="480">
        <v>847.70000000000027</v>
      </c>
      <c r="M406" s="473" t="s">
        <v>1565</v>
      </c>
    </row>
    <row r="407" spans="1:13" ht="22.5" customHeight="1">
      <c r="A407" s="466">
        <v>320</v>
      </c>
      <c r="B407" s="466" t="s">
        <v>2196</v>
      </c>
      <c r="C407" s="466" t="s">
        <v>2197</v>
      </c>
      <c r="D407" s="466" t="s">
        <v>112</v>
      </c>
      <c r="E407" s="467">
        <v>5.8</v>
      </c>
      <c r="F407" s="480">
        <v>192</v>
      </c>
      <c r="G407" s="480">
        <v>1113.5999999999999</v>
      </c>
      <c r="H407" s="480">
        <v>1002.2399999999999</v>
      </c>
      <c r="I407" s="470">
        <v>0.1</v>
      </c>
      <c r="J407" s="471">
        <f t="shared" si="46"/>
        <v>902.01599999999996</v>
      </c>
      <c r="K407" s="480">
        <v>667</v>
      </c>
      <c r="L407" s="480">
        <v>446.59999999999991</v>
      </c>
      <c r="M407" s="473" t="s">
        <v>1779</v>
      </c>
    </row>
    <row r="408" spans="1:13" ht="22.5" customHeight="1">
      <c r="A408" s="466">
        <v>321</v>
      </c>
      <c r="B408" s="333" t="s">
        <v>2198</v>
      </c>
      <c r="C408" s="353" t="s">
        <v>2199</v>
      </c>
      <c r="D408" s="353" t="s">
        <v>113</v>
      </c>
      <c r="E408" s="414">
        <v>5</v>
      </c>
      <c r="F408" s="356">
        <v>250</v>
      </c>
      <c r="G408" s="356">
        <v>1250</v>
      </c>
      <c r="H408" s="356">
        <v>1250</v>
      </c>
      <c r="I408" s="481">
        <v>0.2</v>
      </c>
      <c r="J408" s="471">
        <f t="shared" si="46"/>
        <v>1000</v>
      </c>
      <c r="K408" s="356">
        <v>475</v>
      </c>
      <c r="L408" s="480">
        <v>525</v>
      </c>
      <c r="M408" s="473" t="s">
        <v>1653</v>
      </c>
    </row>
    <row r="409" spans="1:13" ht="22.5" customHeight="1">
      <c r="A409" s="466">
        <v>322</v>
      </c>
      <c r="B409" s="466" t="s">
        <v>2200</v>
      </c>
      <c r="C409" s="482" t="s">
        <v>2201</v>
      </c>
      <c r="D409" s="466" t="s">
        <v>112</v>
      </c>
      <c r="E409" s="467">
        <v>5</v>
      </c>
      <c r="F409" s="480">
        <f>G409/E409</f>
        <v>160</v>
      </c>
      <c r="G409" s="380">
        <v>800</v>
      </c>
      <c r="H409" s="380">
        <v>800</v>
      </c>
      <c r="I409" s="481">
        <v>0</v>
      </c>
      <c r="J409" s="471">
        <f t="shared" si="46"/>
        <v>800</v>
      </c>
      <c r="K409" s="480">
        <v>540</v>
      </c>
      <c r="L409" s="480">
        <v>260</v>
      </c>
      <c r="M409" s="473" t="s">
        <v>1724</v>
      </c>
    </row>
    <row r="410" spans="1:13" ht="22.5" customHeight="1">
      <c r="A410" s="466">
        <v>323</v>
      </c>
      <c r="B410" s="483" t="s">
        <v>2202</v>
      </c>
      <c r="C410" s="484" t="s">
        <v>2203</v>
      </c>
      <c r="D410" s="483" t="s">
        <v>112</v>
      </c>
      <c r="E410" s="485">
        <v>5</v>
      </c>
      <c r="F410" s="486">
        <v>800</v>
      </c>
      <c r="G410" s="390">
        <v>800</v>
      </c>
      <c r="H410" s="390">
        <v>800</v>
      </c>
      <c r="I410" s="481">
        <v>0</v>
      </c>
      <c r="J410" s="487">
        <v>800</v>
      </c>
      <c r="K410" s="488">
        <v>575</v>
      </c>
      <c r="L410" s="489">
        <v>225</v>
      </c>
      <c r="M410" s="490" t="s">
        <v>1724</v>
      </c>
    </row>
    <row r="411" spans="1:13" ht="22.5" customHeight="1">
      <c r="A411" s="466">
        <v>324</v>
      </c>
      <c r="B411" s="483" t="s">
        <v>2204</v>
      </c>
      <c r="C411" s="484" t="s">
        <v>2205</v>
      </c>
      <c r="D411" s="491" t="s">
        <v>112</v>
      </c>
      <c r="E411" s="485">
        <v>5</v>
      </c>
      <c r="F411" s="492">
        <v>720</v>
      </c>
      <c r="G411" s="419">
        <v>3600</v>
      </c>
      <c r="H411" s="356">
        <v>1800</v>
      </c>
      <c r="I411" s="481">
        <v>0.2</v>
      </c>
      <c r="J411" s="487">
        <v>1440</v>
      </c>
      <c r="K411" s="493">
        <v>575</v>
      </c>
      <c r="L411" s="489">
        <v>865</v>
      </c>
      <c r="M411" s="490" t="s">
        <v>1565</v>
      </c>
    </row>
    <row r="412" spans="1:13" ht="22.5" customHeight="1">
      <c r="A412" s="466">
        <v>325</v>
      </c>
      <c r="B412" s="366" t="s">
        <v>2206</v>
      </c>
      <c r="C412" s="366" t="s">
        <v>2207</v>
      </c>
      <c r="D412" s="366" t="s">
        <v>112</v>
      </c>
      <c r="E412" s="366" t="s">
        <v>2208</v>
      </c>
      <c r="F412" s="494">
        <v>220</v>
      </c>
      <c r="G412" s="379">
        <f>E412*F412</f>
        <v>1320</v>
      </c>
      <c r="H412" s="370">
        <f>G412*85%</f>
        <v>1122</v>
      </c>
      <c r="I412" s="373">
        <v>0</v>
      </c>
      <c r="J412" s="410">
        <f>H412*(1-I412)</f>
        <v>1122</v>
      </c>
      <c r="K412" s="370">
        <v>690</v>
      </c>
      <c r="L412" s="380">
        <f>J412-K412</f>
        <v>432</v>
      </c>
      <c r="M412" s="490"/>
    </row>
    <row r="413" spans="1:13" ht="22.5" customHeight="1">
      <c r="A413" s="475"/>
      <c r="B413" s="476" t="s">
        <v>26</v>
      </c>
      <c r="C413" s="477">
        <f>COUNTA(C405:C412)</f>
        <v>8</v>
      </c>
      <c r="D413" s="477"/>
      <c r="E413" s="478">
        <f>SUM(E405:E412)</f>
        <v>35.700000000000003</v>
      </c>
      <c r="F413" s="477"/>
      <c r="G413" s="477"/>
      <c r="H413" s="477"/>
      <c r="I413" s="477"/>
      <c r="J413" s="477"/>
      <c r="K413" s="479">
        <f t="shared" ref="K413:L413" si="47">SUM(K405:K412)</f>
        <v>4660.5</v>
      </c>
      <c r="L413" s="955">
        <f t="shared" si="47"/>
        <v>4286.3</v>
      </c>
      <c r="M413" s="932"/>
    </row>
    <row r="414" spans="1:13" ht="13.2">
      <c r="A414" s="346"/>
      <c r="B414" s="346"/>
      <c r="C414" s="346"/>
      <c r="D414" s="346"/>
      <c r="E414" s="346"/>
      <c r="F414" s="346"/>
      <c r="G414" s="346"/>
      <c r="H414" s="346"/>
      <c r="I414" s="346"/>
      <c r="J414" s="346"/>
      <c r="K414" s="346"/>
      <c r="L414" s="346"/>
      <c r="M414" s="346"/>
    </row>
    <row r="415" spans="1:13" ht="13.2">
      <c r="A415" s="346"/>
      <c r="B415" s="346"/>
      <c r="C415" s="346"/>
      <c r="D415" s="346"/>
      <c r="E415" s="346"/>
      <c r="F415" s="346"/>
      <c r="G415" s="346"/>
      <c r="H415" s="346"/>
      <c r="I415" s="346"/>
      <c r="J415" s="346"/>
      <c r="K415" s="346"/>
      <c r="L415" s="346"/>
      <c r="M415" s="346"/>
    </row>
    <row r="416" spans="1:13" ht="13.2">
      <c r="A416" s="346"/>
      <c r="B416" s="346"/>
      <c r="C416" s="346"/>
      <c r="D416" s="346"/>
      <c r="E416" s="346"/>
      <c r="F416" s="346"/>
      <c r="G416" s="346"/>
      <c r="H416" s="346"/>
      <c r="I416" s="346"/>
      <c r="J416" s="346"/>
      <c r="K416" s="346"/>
      <c r="L416" s="346"/>
      <c r="M416" s="346"/>
    </row>
    <row r="417" spans="1:13" ht="13.2">
      <c r="A417" s="949" t="s">
        <v>2209</v>
      </c>
      <c r="B417" s="931"/>
      <c r="C417" s="931"/>
      <c r="D417" s="931"/>
      <c r="E417" s="931"/>
      <c r="F417" s="931"/>
      <c r="G417" s="931"/>
      <c r="H417" s="931"/>
      <c r="I417" s="931"/>
      <c r="J417" s="931"/>
      <c r="K417" s="931"/>
      <c r="L417" s="931"/>
      <c r="M417" s="932"/>
    </row>
    <row r="418" spans="1:13" ht="22.5" customHeight="1">
      <c r="A418" s="347" t="s">
        <v>165</v>
      </c>
      <c r="B418" s="348" t="s">
        <v>166</v>
      </c>
      <c r="C418" s="348" t="s">
        <v>1556</v>
      </c>
      <c r="D418" s="334" t="s">
        <v>168</v>
      </c>
      <c r="E418" s="334" t="s">
        <v>169</v>
      </c>
      <c r="F418" s="348" t="s">
        <v>1557</v>
      </c>
      <c r="G418" s="348" t="s">
        <v>1558</v>
      </c>
      <c r="H418" s="348" t="s">
        <v>1559</v>
      </c>
      <c r="I418" s="348" t="s">
        <v>1560</v>
      </c>
      <c r="J418" s="349" t="s">
        <v>1561</v>
      </c>
      <c r="K418" s="334" t="s">
        <v>1562</v>
      </c>
      <c r="L418" s="350" t="s">
        <v>1563</v>
      </c>
      <c r="M418" s="351" t="s">
        <v>177</v>
      </c>
    </row>
    <row r="419" spans="1:13" ht="22.5" customHeight="1">
      <c r="A419" s="495">
        <v>326</v>
      </c>
      <c r="B419" s="496" t="s">
        <v>2210</v>
      </c>
      <c r="C419" s="497" t="s">
        <v>2211</v>
      </c>
      <c r="D419" s="497" t="s">
        <v>112</v>
      </c>
      <c r="E419" s="498">
        <v>4.9000000000000004</v>
      </c>
      <c r="F419" s="499">
        <v>220</v>
      </c>
      <c r="G419" s="500">
        <v>1078</v>
      </c>
      <c r="H419" s="500">
        <v>916.3</v>
      </c>
      <c r="I419" s="501">
        <v>0</v>
      </c>
      <c r="J419" s="502">
        <v>916.3</v>
      </c>
      <c r="K419" s="503">
        <v>539</v>
      </c>
      <c r="L419" s="502">
        <v>377.29999999999995</v>
      </c>
      <c r="M419" s="504"/>
    </row>
    <row r="420" spans="1:13" ht="22.5" customHeight="1">
      <c r="A420" s="495"/>
      <c r="B420" s="505"/>
      <c r="C420" s="506"/>
      <c r="D420" s="506"/>
      <c r="E420" s="498"/>
      <c r="F420" s="506"/>
      <c r="G420" s="506"/>
      <c r="H420" s="506"/>
      <c r="I420" s="506"/>
      <c r="J420" s="502"/>
      <c r="K420" s="502">
        <v>0</v>
      </c>
      <c r="L420" s="502"/>
      <c r="M420" s="504"/>
    </row>
    <row r="421" spans="1:13" ht="22.5" customHeight="1">
      <c r="A421" s="495"/>
      <c r="B421" s="505"/>
      <c r="C421" s="506"/>
      <c r="D421" s="506"/>
      <c r="E421" s="498"/>
      <c r="F421" s="506"/>
      <c r="G421" s="506"/>
      <c r="H421" s="506"/>
      <c r="I421" s="506"/>
      <c r="J421" s="502"/>
      <c r="K421" s="502">
        <v>0</v>
      </c>
      <c r="L421" s="502"/>
      <c r="M421" s="504"/>
    </row>
    <row r="422" spans="1:13" ht="22.5" customHeight="1">
      <c r="A422" s="495"/>
      <c r="B422" s="505"/>
      <c r="C422" s="506"/>
      <c r="D422" s="506"/>
      <c r="E422" s="498"/>
      <c r="F422" s="506"/>
      <c r="G422" s="506"/>
      <c r="H422" s="506"/>
      <c r="I422" s="506"/>
      <c r="J422" s="502"/>
      <c r="K422" s="502">
        <v>0</v>
      </c>
      <c r="L422" s="502"/>
      <c r="M422" s="504"/>
    </row>
    <row r="423" spans="1:13" ht="22.5" customHeight="1">
      <c r="A423" s="507"/>
      <c r="B423" s="476" t="s">
        <v>26</v>
      </c>
      <c r="C423" s="508">
        <f>COUNTA(C419:C422)</f>
        <v>1</v>
      </c>
      <c r="D423" s="508"/>
      <c r="E423" s="509">
        <f>SUM(E419:E422)</f>
        <v>4.9000000000000004</v>
      </c>
      <c r="F423" s="508"/>
      <c r="G423" s="508"/>
      <c r="H423" s="508"/>
      <c r="I423" s="508"/>
      <c r="J423" s="508"/>
      <c r="K423" s="510">
        <f>SUM(K419:K422)</f>
        <v>539</v>
      </c>
      <c r="L423" s="955">
        <f>SUM(L418:L422)</f>
        <v>377.29999999999995</v>
      </c>
      <c r="M423" s="932"/>
    </row>
    <row r="424" spans="1:13" ht="13.2">
      <c r="A424" s="346"/>
      <c r="B424" s="346"/>
      <c r="C424" s="346"/>
      <c r="D424" s="346"/>
      <c r="E424" s="346"/>
      <c r="F424" s="346"/>
      <c r="G424" s="346"/>
      <c r="H424" s="346"/>
      <c r="I424" s="346"/>
      <c r="J424" s="346"/>
      <c r="K424" s="346"/>
      <c r="L424" s="346"/>
      <c r="M424" s="346"/>
    </row>
    <row r="425" spans="1:13" ht="13.2">
      <c r="A425" s="346"/>
      <c r="B425" s="346"/>
      <c r="C425" s="346"/>
      <c r="D425" s="346"/>
      <c r="E425" s="346"/>
      <c r="F425" s="346"/>
      <c r="G425" s="346"/>
      <c r="H425" s="346"/>
      <c r="I425" s="346"/>
      <c r="J425" s="346"/>
      <c r="K425" s="346"/>
      <c r="L425" s="346"/>
      <c r="M425" s="346"/>
    </row>
    <row r="426" spans="1:13" ht="13.2">
      <c r="A426" s="346"/>
      <c r="B426" s="346"/>
      <c r="C426" s="346"/>
      <c r="D426" s="346"/>
      <c r="E426" s="346"/>
      <c r="F426" s="346"/>
      <c r="G426" s="346"/>
      <c r="H426" s="346"/>
      <c r="I426" s="346"/>
      <c r="J426" s="346"/>
      <c r="K426" s="346"/>
      <c r="L426" s="346"/>
      <c r="M426" s="346"/>
    </row>
    <row r="427" spans="1:13" ht="13.2">
      <c r="A427" s="346"/>
      <c r="B427" s="346"/>
      <c r="C427" s="346"/>
      <c r="D427" s="346"/>
      <c r="E427" s="346"/>
      <c r="F427" s="346"/>
      <c r="G427" s="346"/>
      <c r="H427" s="346"/>
      <c r="I427" s="346"/>
      <c r="J427" s="346"/>
      <c r="K427" s="346"/>
      <c r="L427" s="346"/>
      <c r="M427" s="346"/>
    </row>
    <row r="428" spans="1:13" ht="13.2">
      <c r="A428" s="346"/>
      <c r="B428" s="346"/>
      <c r="C428" s="346"/>
      <c r="D428" s="346"/>
      <c r="E428" s="346"/>
      <c r="F428" s="346"/>
      <c r="G428" s="346"/>
      <c r="H428" s="346"/>
      <c r="I428" s="346"/>
      <c r="J428" s="346"/>
      <c r="K428" s="346"/>
      <c r="L428" s="346"/>
      <c r="M428" s="346"/>
    </row>
    <row r="429" spans="1:13" ht="13.2">
      <c r="A429" s="346"/>
      <c r="B429" s="346"/>
      <c r="C429" s="346"/>
      <c r="D429" s="346"/>
      <c r="E429" s="346"/>
      <c r="F429" s="346"/>
      <c r="G429" s="346"/>
      <c r="H429" s="346"/>
      <c r="I429" s="346"/>
      <c r="J429" s="346"/>
      <c r="K429" s="346"/>
      <c r="L429" s="346"/>
      <c r="M429" s="346"/>
    </row>
    <row r="430" spans="1:13" ht="13.2">
      <c r="A430" s="346"/>
      <c r="B430" s="346"/>
      <c r="C430" s="346"/>
      <c r="D430" s="346"/>
      <c r="E430" s="346"/>
      <c r="F430" s="346"/>
      <c r="G430" s="346"/>
      <c r="H430" s="346"/>
      <c r="I430" s="346"/>
      <c r="J430" s="346"/>
      <c r="K430" s="346"/>
      <c r="L430" s="346"/>
      <c r="M430" s="346"/>
    </row>
    <row r="431" spans="1:13" ht="13.2">
      <c r="A431" s="346"/>
      <c r="B431" s="346"/>
      <c r="C431" s="346"/>
      <c r="D431" s="346"/>
      <c r="E431" s="346"/>
      <c r="F431" s="346"/>
      <c r="G431" s="346"/>
      <c r="H431" s="346"/>
      <c r="I431" s="346"/>
      <c r="J431" s="346"/>
      <c r="K431" s="346"/>
      <c r="L431" s="346"/>
      <c r="M431" s="346"/>
    </row>
    <row r="432" spans="1:13" ht="13.2">
      <c r="A432" s="949" t="s">
        <v>2212</v>
      </c>
      <c r="B432" s="931"/>
      <c r="C432" s="931"/>
      <c r="D432" s="931"/>
      <c r="E432" s="931"/>
      <c r="F432" s="931"/>
      <c r="G432" s="931"/>
      <c r="H432" s="931"/>
      <c r="I432" s="931"/>
      <c r="J432" s="931"/>
      <c r="K432" s="931"/>
      <c r="L432" s="931"/>
      <c r="M432" s="932"/>
    </row>
    <row r="433" spans="1:13" ht="22.5" customHeight="1">
      <c r="A433" s="347" t="s">
        <v>165</v>
      </c>
      <c r="B433" s="348" t="s">
        <v>166</v>
      </c>
      <c r="C433" s="348" t="s">
        <v>1556</v>
      </c>
      <c r="D433" s="334" t="s">
        <v>168</v>
      </c>
      <c r="E433" s="334" t="s">
        <v>169</v>
      </c>
      <c r="F433" s="348" t="s">
        <v>1557</v>
      </c>
      <c r="G433" s="348" t="s">
        <v>1558</v>
      </c>
      <c r="H433" s="348" t="s">
        <v>1559</v>
      </c>
      <c r="I433" s="348" t="s">
        <v>1560</v>
      </c>
      <c r="J433" s="349" t="s">
        <v>1561</v>
      </c>
      <c r="K433" s="334" t="s">
        <v>1562</v>
      </c>
      <c r="L433" s="350" t="s">
        <v>1563</v>
      </c>
      <c r="M433" s="351" t="s">
        <v>177</v>
      </c>
    </row>
    <row r="434" spans="1:13" ht="22.5" customHeight="1">
      <c r="A434" s="466">
        <v>327</v>
      </c>
      <c r="B434" s="466" t="s">
        <v>2213</v>
      </c>
      <c r="C434" s="466" t="s">
        <v>2214</v>
      </c>
      <c r="D434" s="466" t="s">
        <v>117</v>
      </c>
      <c r="E434" s="467">
        <v>5</v>
      </c>
      <c r="F434" s="468">
        <v>800</v>
      </c>
      <c r="G434" s="468">
        <v>4000</v>
      </c>
      <c r="H434" s="468">
        <v>2000</v>
      </c>
      <c r="I434" s="470">
        <v>0.2</v>
      </c>
      <c r="J434" s="472">
        <v>1400</v>
      </c>
      <c r="K434" s="468">
        <v>850</v>
      </c>
      <c r="L434" s="472">
        <v>550</v>
      </c>
      <c r="M434" s="473" t="s">
        <v>1565</v>
      </c>
    </row>
    <row r="435" spans="1:13" ht="22.5" customHeight="1">
      <c r="A435" s="466">
        <v>328</v>
      </c>
      <c r="B435" s="466" t="s">
        <v>2215</v>
      </c>
      <c r="C435" s="466" t="s">
        <v>2216</v>
      </c>
      <c r="D435" s="466" t="s">
        <v>112</v>
      </c>
      <c r="E435" s="467">
        <v>5</v>
      </c>
      <c r="F435" s="468">
        <v>720</v>
      </c>
      <c r="G435" s="468">
        <v>3600</v>
      </c>
      <c r="H435" s="468">
        <v>1800</v>
      </c>
      <c r="I435" s="470">
        <v>0.2</v>
      </c>
      <c r="J435" s="472">
        <v>1260</v>
      </c>
      <c r="K435" s="468">
        <v>700</v>
      </c>
      <c r="L435" s="472">
        <v>560</v>
      </c>
      <c r="M435" s="473" t="s">
        <v>1565</v>
      </c>
    </row>
    <row r="436" spans="1:13" ht="22.5" customHeight="1">
      <c r="A436" s="466">
        <v>329</v>
      </c>
      <c r="B436" s="466" t="s">
        <v>2217</v>
      </c>
      <c r="C436" s="466" t="s">
        <v>2218</v>
      </c>
      <c r="D436" s="466" t="s">
        <v>112</v>
      </c>
      <c r="E436" s="467">
        <v>5</v>
      </c>
      <c r="F436" s="480">
        <v>192</v>
      </c>
      <c r="G436" s="480">
        <v>960</v>
      </c>
      <c r="H436" s="480">
        <v>864</v>
      </c>
      <c r="I436" s="470">
        <v>0.1</v>
      </c>
      <c r="J436" s="480">
        <v>777.6</v>
      </c>
      <c r="K436" s="480">
        <v>700</v>
      </c>
      <c r="L436" s="480">
        <v>260</v>
      </c>
      <c r="M436" s="473" t="s">
        <v>1779</v>
      </c>
    </row>
    <row r="437" spans="1:13" ht="22.5" customHeight="1">
      <c r="A437" s="466">
        <v>330</v>
      </c>
      <c r="B437" s="466" t="s">
        <v>2219</v>
      </c>
      <c r="C437" s="466" t="s">
        <v>2220</v>
      </c>
      <c r="D437" s="466" t="s">
        <v>112</v>
      </c>
      <c r="E437" s="467">
        <v>5</v>
      </c>
      <c r="F437" s="480">
        <v>192</v>
      </c>
      <c r="G437" s="480">
        <v>960</v>
      </c>
      <c r="H437" s="480">
        <v>864</v>
      </c>
      <c r="I437" s="470">
        <v>0.1</v>
      </c>
      <c r="J437" s="480">
        <v>777.6</v>
      </c>
      <c r="K437" s="480">
        <v>700</v>
      </c>
      <c r="L437" s="480">
        <v>260</v>
      </c>
      <c r="M437" s="473" t="s">
        <v>1779</v>
      </c>
    </row>
    <row r="438" spans="1:13" ht="22.5" customHeight="1">
      <c r="A438" s="466">
        <v>331</v>
      </c>
      <c r="B438" s="466" t="s">
        <v>2221</v>
      </c>
      <c r="C438" s="466" t="s">
        <v>2222</v>
      </c>
      <c r="D438" s="466" t="s">
        <v>114</v>
      </c>
      <c r="E438" s="467">
        <v>3</v>
      </c>
      <c r="F438" s="480">
        <v>144</v>
      </c>
      <c r="G438" s="480">
        <v>432</v>
      </c>
      <c r="H438" s="480">
        <v>388.8</v>
      </c>
      <c r="I438" s="470">
        <v>0.1</v>
      </c>
      <c r="J438" s="480">
        <v>349.92</v>
      </c>
      <c r="K438" s="480">
        <v>300</v>
      </c>
      <c r="L438" s="480">
        <v>132</v>
      </c>
      <c r="M438" s="473" t="s">
        <v>1779</v>
      </c>
    </row>
    <row r="439" spans="1:13" ht="22.5" customHeight="1">
      <c r="A439" s="466">
        <v>332</v>
      </c>
      <c r="B439" s="466" t="s">
        <v>2223</v>
      </c>
      <c r="C439" s="466" t="s">
        <v>2224</v>
      </c>
      <c r="D439" s="466" t="s">
        <v>117</v>
      </c>
      <c r="E439" s="467">
        <v>5</v>
      </c>
      <c r="F439" s="474">
        <v>470</v>
      </c>
      <c r="G439" s="468">
        <v>2350</v>
      </c>
      <c r="H439" s="468">
        <v>2350</v>
      </c>
      <c r="I439" s="470">
        <v>0.2</v>
      </c>
      <c r="J439" s="480">
        <v>1880</v>
      </c>
      <c r="K439" s="469">
        <v>850</v>
      </c>
      <c r="L439" s="469">
        <v>1500</v>
      </c>
      <c r="M439" s="473" t="s">
        <v>1653</v>
      </c>
    </row>
    <row r="440" spans="1:13" ht="22.5" customHeight="1">
      <c r="A440" s="466">
        <v>333</v>
      </c>
      <c r="B440" s="466" t="s">
        <v>2225</v>
      </c>
      <c r="C440" s="466" t="s">
        <v>2226</v>
      </c>
      <c r="D440" s="466" t="s">
        <v>112</v>
      </c>
      <c r="E440" s="467">
        <v>5</v>
      </c>
      <c r="F440" s="480">
        <f>G440/E440</f>
        <v>160</v>
      </c>
      <c r="G440" s="480">
        <v>800</v>
      </c>
      <c r="H440" s="480">
        <v>800</v>
      </c>
      <c r="I440" s="470">
        <v>0</v>
      </c>
      <c r="J440" s="480">
        <v>800</v>
      </c>
      <c r="K440" s="469">
        <v>490</v>
      </c>
      <c r="L440" s="480">
        <f>J440-K440</f>
        <v>310</v>
      </c>
      <c r="M440" s="473" t="s">
        <v>1724</v>
      </c>
    </row>
    <row r="441" spans="1:13" ht="22.5" customHeight="1">
      <c r="A441" s="466">
        <v>334</v>
      </c>
      <c r="B441" s="483" t="s">
        <v>2194</v>
      </c>
      <c r="C441" s="491" t="s">
        <v>2227</v>
      </c>
      <c r="D441" s="491" t="s">
        <v>112</v>
      </c>
      <c r="E441" s="485">
        <v>5</v>
      </c>
      <c r="F441" s="492">
        <v>720</v>
      </c>
      <c r="G441" s="489">
        <v>3600</v>
      </c>
      <c r="H441" s="489">
        <v>1800</v>
      </c>
      <c r="I441" s="511">
        <v>0.2</v>
      </c>
      <c r="J441" s="489">
        <v>1440</v>
      </c>
      <c r="K441" s="489">
        <v>700</v>
      </c>
      <c r="L441" s="489">
        <v>740</v>
      </c>
      <c r="M441" s="473" t="s">
        <v>1565</v>
      </c>
    </row>
    <row r="442" spans="1:13" ht="22.5" customHeight="1">
      <c r="A442" s="466">
        <v>335</v>
      </c>
      <c r="B442" s="483" t="s">
        <v>2228</v>
      </c>
      <c r="C442" s="491" t="s">
        <v>2229</v>
      </c>
      <c r="D442" s="491" t="s">
        <v>114</v>
      </c>
      <c r="E442" s="485">
        <v>3</v>
      </c>
      <c r="F442" s="492">
        <v>720</v>
      </c>
      <c r="G442" s="489">
        <v>2160</v>
      </c>
      <c r="H442" s="489">
        <v>1080</v>
      </c>
      <c r="I442" s="511">
        <v>0.2</v>
      </c>
      <c r="J442" s="489">
        <v>864</v>
      </c>
      <c r="K442" s="489">
        <v>300</v>
      </c>
      <c r="L442" s="489">
        <v>564</v>
      </c>
      <c r="M442" s="473" t="s">
        <v>1565</v>
      </c>
    </row>
    <row r="443" spans="1:13" ht="22.5" customHeight="1">
      <c r="A443" s="466">
        <v>336</v>
      </c>
      <c r="B443" s="483" t="s">
        <v>2230</v>
      </c>
      <c r="C443" s="491" t="s">
        <v>2231</v>
      </c>
      <c r="D443" s="491" t="s">
        <v>112</v>
      </c>
      <c r="E443" s="485">
        <v>5</v>
      </c>
      <c r="F443" s="492">
        <v>720</v>
      </c>
      <c r="G443" s="489">
        <v>3600</v>
      </c>
      <c r="H443" s="489">
        <v>1800</v>
      </c>
      <c r="I443" s="511">
        <v>0.15</v>
      </c>
      <c r="J443" s="489">
        <v>1530</v>
      </c>
      <c r="K443" s="489">
        <v>700</v>
      </c>
      <c r="L443" s="489">
        <v>830</v>
      </c>
      <c r="M443" s="473" t="s">
        <v>1565</v>
      </c>
    </row>
    <row r="444" spans="1:13" ht="22.5" customHeight="1">
      <c r="A444" s="466">
        <v>337</v>
      </c>
      <c r="B444" s="483" t="s">
        <v>2232</v>
      </c>
      <c r="C444" s="491" t="s">
        <v>2233</v>
      </c>
      <c r="D444" s="491" t="s">
        <v>114</v>
      </c>
      <c r="E444" s="485">
        <v>3</v>
      </c>
      <c r="F444" s="492">
        <v>720</v>
      </c>
      <c r="G444" s="489">
        <v>2160</v>
      </c>
      <c r="H444" s="489">
        <v>1080</v>
      </c>
      <c r="I444" s="511">
        <v>0.15</v>
      </c>
      <c r="J444" s="489">
        <v>918</v>
      </c>
      <c r="K444" s="489">
        <v>300</v>
      </c>
      <c r="L444" s="489">
        <v>618</v>
      </c>
      <c r="M444" s="473" t="s">
        <v>1565</v>
      </c>
    </row>
    <row r="445" spans="1:13" ht="22.5" customHeight="1">
      <c r="A445" s="466">
        <v>338</v>
      </c>
      <c r="B445" s="483" t="s">
        <v>2234</v>
      </c>
      <c r="C445" s="484" t="s">
        <v>2235</v>
      </c>
      <c r="D445" s="491" t="s">
        <v>112</v>
      </c>
      <c r="E445" s="485">
        <v>5</v>
      </c>
      <c r="F445" s="492">
        <v>720</v>
      </c>
      <c r="G445" s="489">
        <v>3600</v>
      </c>
      <c r="H445" s="489">
        <v>1800</v>
      </c>
      <c r="I445" s="511">
        <v>0.15</v>
      </c>
      <c r="J445" s="489">
        <v>1530</v>
      </c>
      <c r="K445" s="489">
        <v>700</v>
      </c>
      <c r="L445" s="489">
        <v>830</v>
      </c>
      <c r="M445" s="473" t="s">
        <v>1565</v>
      </c>
    </row>
    <row r="446" spans="1:13" ht="22.5" customHeight="1">
      <c r="A446" s="466">
        <v>339</v>
      </c>
      <c r="B446" s="483" t="s">
        <v>2236</v>
      </c>
      <c r="C446" s="484" t="s">
        <v>2237</v>
      </c>
      <c r="D446" s="491" t="s">
        <v>114</v>
      </c>
      <c r="E446" s="485">
        <v>3</v>
      </c>
      <c r="F446" s="492">
        <v>720</v>
      </c>
      <c r="G446" s="489">
        <v>2160</v>
      </c>
      <c r="H446" s="489">
        <v>1080</v>
      </c>
      <c r="I446" s="511">
        <v>0.15</v>
      </c>
      <c r="J446" s="489">
        <v>918</v>
      </c>
      <c r="K446" s="489">
        <v>300</v>
      </c>
      <c r="L446" s="489">
        <v>618</v>
      </c>
      <c r="M446" s="473" t="s">
        <v>1565</v>
      </c>
    </row>
    <row r="447" spans="1:13" ht="22.5" customHeight="1">
      <c r="A447" s="475"/>
      <c r="B447" s="476" t="s">
        <v>26</v>
      </c>
      <c r="C447" s="477">
        <f>COUNTA(C434:C446)</f>
        <v>13</v>
      </c>
      <c r="D447" s="477"/>
      <c r="E447" s="478">
        <f>SUM(E434:E446)</f>
        <v>57</v>
      </c>
      <c r="F447" s="477"/>
      <c r="G447" s="477"/>
      <c r="H447" s="477"/>
      <c r="I447" s="477"/>
      <c r="J447" s="477"/>
      <c r="K447" s="510">
        <f t="shared" ref="K447:L447" si="48">SUM(K434:K446)</f>
        <v>7590</v>
      </c>
      <c r="L447" s="955">
        <f t="shared" si="48"/>
        <v>7772</v>
      </c>
      <c r="M447" s="932"/>
    </row>
    <row r="448" spans="1:13" ht="13.2">
      <c r="A448" s="346"/>
      <c r="B448" s="346"/>
      <c r="C448" s="346"/>
      <c r="D448" s="346"/>
      <c r="E448" s="346"/>
      <c r="F448" s="346"/>
      <c r="G448" s="346"/>
      <c r="H448" s="346"/>
      <c r="I448" s="346"/>
      <c r="J448" s="346"/>
      <c r="K448" s="346"/>
      <c r="L448" s="346"/>
      <c r="M448" s="346"/>
    </row>
    <row r="449" spans="1:13" ht="13.2">
      <c r="A449" s="346"/>
      <c r="B449" s="346"/>
      <c r="C449" s="346"/>
      <c r="D449" s="346"/>
      <c r="E449" s="346"/>
      <c r="F449" s="346"/>
      <c r="G449" s="346"/>
      <c r="H449" s="346"/>
      <c r="I449" s="346"/>
      <c r="J449" s="346"/>
      <c r="K449" s="346"/>
      <c r="L449" s="346"/>
      <c r="M449" s="346"/>
    </row>
    <row r="450" spans="1:13" ht="13.2">
      <c r="A450" s="949" t="s">
        <v>2238</v>
      </c>
      <c r="B450" s="931"/>
      <c r="C450" s="931"/>
      <c r="D450" s="931"/>
      <c r="E450" s="931"/>
      <c r="F450" s="931"/>
      <c r="G450" s="931"/>
      <c r="H450" s="931"/>
      <c r="I450" s="931"/>
      <c r="J450" s="931"/>
      <c r="K450" s="931"/>
      <c r="L450" s="931"/>
      <c r="M450" s="932"/>
    </row>
    <row r="451" spans="1:13" ht="22.5" customHeight="1">
      <c r="A451" s="347" t="s">
        <v>165</v>
      </c>
      <c r="B451" s="348" t="s">
        <v>166</v>
      </c>
      <c r="C451" s="348" t="s">
        <v>1556</v>
      </c>
      <c r="D451" s="334" t="s">
        <v>168</v>
      </c>
      <c r="E451" s="334" t="s">
        <v>169</v>
      </c>
      <c r="F451" s="348" t="s">
        <v>1557</v>
      </c>
      <c r="G451" s="348" t="s">
        <v>1558</v>
      </c>
      <c r="H451" s="348" t="s">
        <v>1559</v>
      </c>
      <c r="I451" s="348" t="s">
        <v>1560</v>
      </c>
      <c r="J451" s="349" t="s">
        <v>1697</v>
      </c>
      <c r="K451" s="334" t="s">
        <v>1562</v>
      </c>
      <c r="L451" s="350" t="s">
        <v>1563</v>
      </c>
      <c r="M451" s="351" t="s">
        <v>177</v>
      </c>
    </row>
    <row r="452" spans="1:13" ht="22.5" customHeight="1">
      <c r="A452" s="466">
        <v>340</v>
      </c>
      <c r="B452" s="466" t="s">
        <v>2239</v>
      </c>
      <c r="C452" s="389" t="s">
        <v>2240</v>
      </c>
      <c r="D452" s="389" t="s">
        <v>113</v>
      </c>
      <c r="E452" s="355">
        <v>5</v>
      </c>
      <c r="F452" s="390">
        <v>144</v>
      </c>
      <c r="G452" s="390">
        <f>F452*E452</f>
        <v>720</v>
      </c>
      <c r="H452" s="512">
        <v>720</v>
      </c>
      <c r="I452" s="470">
        <v>0</v>
      </c>
      <c r="J452" s="480">
        <v>720</v>
      </c>
      <c r="K452" s="480">
        <v>400</v>
      </c>
      <c r="L452" s="480">
        <f t="shared" ref="L452:L465" si="49">J452-K452</f>
        <v>320</v>
      </c>
      <c r="M452" s="473" t="s">
        <v>2241</v>
      </c>
    </row>
    <row r="453" spans="1:13" ht="22.5" customHeight="1">
      <c r="A453" s="466">
        <v>341</v>
      </c>
      <c r="B453" s="469" t="s">
        <v>2242</v>
      </c>
      <c r="C453" s="466" t="s">
        <v>2243</v>
      </c>
      <c r="D453" s="466" t="s">
        <v>112</v>
      </c>
      <c r="E453" s="467">
        <v>5</v>
      </c>
      <c r="F453" s="474">
        <v>300</v>
      </c>
      <c r="G453" s="468">
        <v>1500</v>
      </c>
      <c r="H453" s="468">
        <v>1500</v>
      </c>
      <c r="I453" s="470">
        <v>0.2</v>
      </c>
      <c r="J453" s="480">
        <v>1200</v>
      </c>
      <c r="K453" s="468">
        <v>550</v>
      </c>
      <c r="L453" s="480">
        <f t="shared" si="49"/>
        <v>650</v>
      </c>
      <c r="M453" s="473" t="s">
        <v>1653</v>
      </c>
    </row>
    <row r="454" spans="1:13" ht="22.5" customHeight="1">
      <c r="A454" s="466">
        <v>342</v>
      </c>
      <c r="B454" s="469" t="s">
        <v>2244</v>
      </c>
      <c r="C454" s="466" t="s">
        <v>2245</v>
      </c>
      <c r="D454" s="466" t="s">
        <v>113</v>
      </c>
      <c r="E454" s="467">
        <v>2.7</v>
      </c>
      <c r="F454" s="474">
        <v>250</v>
      </c>
      <c r="G454" s="468">
        <v>675</v>
      </c>
      <c r="H454" s="468">
        <v>675</v>
      </c>
      <c r="I454" s="470">
        <v>0.2</v>
      </c>
      <c r="J454" s="480">
        <v>540</v>
      </c>
      <c r="K454" s="468">
        <v>243.00000000000003</v>
      </c>
      <c r="L454" s="480">
        <f t="shared" si="49"/>
        <v>297</v>
      </c>
      <c r="M454" s="473" t="s">
        <v>1653</v>
      </c>
    </row>
    <row r="455" spans="1:13" ht="22.5" customHeight="1">
      <c r="A455" s="466">
        <v>343</v>
      </c>
      <c r="B455" s="469" t="s">
        <v>2246</v>
      </c>
      <c r="C455" s="466" t="s">
        <v>2247</v>
      </c>
      <c r="D455" s="466" t="s">
        <v>113</v>
      </c>
      <c r="E455" s="467">
        <v>5</v>
      </c>
      <c r="F455" s="474">
        <v>280</v>
      </c>
      <c r="G455" s="468">
        <v>1400</v>
      </c>
      <c r="H455" s="468">
        <v>1400</v>
      </c>
      <c r="I455" s="470">
        <v>0.2</v>
      </c>
      <c r="J455" s="480">
        <v>1120</v>
      </c>
      <c r="K455" s="468">
        <v>500</v>
      </c>
      <c r="L455" s="480">
        <f t="shared" si="49"/>
        <v>620</v>
      </c>
      <c r="M455" s="473" t="s">
        <v>1653</v>
      </c>
    </row>
    <row r="456" spans="1:13" ht="22.5" customHeight="1">
      <c r="A456" s="466">
        <v>344</v>
      </c>
      <c r="B456" s="469" t="s">
        <v>2248</v>
      </c>
      <c r="C456" s="466" t="s">
        <v>2247</v>
      </c>
      <c r="D456" s="466" t="s">
        <v>112</v>
      </c>
      <c r="E456" s="467">
        <v>5</v>
      </c>
      <c r="F456" s="473" t="s">
        <v>1803</v>
      </c>
      <c r="G456" s="473" t="s">
        <v>1803</v>
      </c>
      <c r="H456" s="473" t="s">
        <v>1803</v>
      </c>
      <c r="I456" s="466">
        <v>0</v>
      </c>
      <c r="J456" s="473">
        <v>0</v>
      </c>
      <c r="K456" s="480">
        <v>700</v>
      </c>
      <c r="L456" s="513">
        <f t="shared" si="49"/>
        <v>-700</v>
      </c>
      <c r="M456" s="473" t="s">
        <v>1653</v>
      </c>
    </row>
    <row r="457" spans="1:13" ht="22.5" customHeight="1">
      <c r="A457" s="466">
        <v>345</v>
      </c>
      <c r="B457" s="483" t="s">
        <v>2249</v>
      </c>
      <c r="C457" s="484" t="s">
        <v>2250</v>
      </c>
      <c r="D457" s="491" t="s">
        <v>112</v>
      </c>
      <c r="E457" s="485">
        <v>5.3</v>
      </c>
      <c r="F457" s="492">
        <v>720</v>
      </c>
      <c r="G457" s="489">
        <f t="shared" ref="G457:G468" si="50">F457*E457</f>
        <v>3816</v>
      </c>
      <c r="H457" s="489">
        <v>1908</v>
      </c>
      <c r="I457" s="511">
        <v>0.2</v>
      </c>
      <c r="J457" s="489">
        <v>1526.4</v>
      </c>
      <c r="K457" s="489">
        <v>503.5</v>
      </c>
      <c r="L457" s="480">
        <f t="shared" si="49"/>
        <v>1022.9000000000001</v>
      </c>
      <c r="M457" s="490" t="s">
        <v>1565</v>
      </c>
    </row>
    <row r="458" spans="1:13" ht="22.5" customHeight="1">
      <c r="A458" s="466">
        <v>346</v>
      </c>
      <c r="B458" s="483" t="s">
        <v>2251</v>
      </c>
      <c r="C458" s="484" t="s">
        <v>2252</v>
      </c>
      <c r="D458" s="491" t="s">
        <v>112</v>
      </c>
      <c r="E458" s="485">
        <v>5.5</v>
      </c>
      <c r="F458" s="492">
        <v>720</v>
      </c>
      <c r="G458" s="489">
        <f t="shared" si="50"/>
        <v>3960</v>
      </c>
      <c r="H458" s="489">
        <v>1980</v>
      </c>
      <c r="I458" s="511">
        <v>0.2</v>
      </c>
      <c r="J458" s="489">
        <v>1584</v>
      </c>
      <c r="K458" s="489">
        <v>522.5</v>
      </c>
      <c r="L458" s="480">
        <f t="shared" si="49"/>
        <v>1061.5</v>
      </c>
      <c r="M458" s="490" t="s">
        <v>1565</v>
      </c>
    </row>
    <row r="459" spans="1:13" ht="22.5" customHeight="1">
      <c r="A459" s="466">
        <v>347</v>
      </c>
      <c r="B459" s="483" t="s">
        <v>2253</v>
      </c>
      <c r="C459" s="484" t="s">
        <v>2254</v>
      </c>
      <c r="D459" s="491" t="s">
        <v>112</v>
      </c>
      <c r="E459" s="485">
        <v>5</v>
      </c>
      <c r="F459" s="492">
        <v>720</v>
      </c>
      <c r="G459" s="489">
        <f t="shared" si="50"/>
        <v>3600</v>
      </c>
      <c r="H459" s="489">
        <v>1800</v>
      </c>
      <c r="I459" s="511">
        <v>0.2</v>
      </c>
      <c r="J459" s="489">
        <v>1440</v>
      </c>
      <c r="K459" s="489">
        <v>575</v>
      </c>
      <c r="L459" s="480">
        <f t="shared" si="49"/>
        <v>865</v>
      </c>
      <c r="M459" s="490" t="s">
        <v>1565</v>
      </c>
    </row>
    <row r="460" spans="1:13" ht="22.5" customHeight="1">
      <c r="A460" s="466">
        <v>348</v>
      </c>
      <c r="B460" s="483" t="s">
        <v>2255</v>
      </c>
      <c r="C460" s="484" t="s">
        <v>2256</v>
      </c>
      <c r="D460" s="491" t="s">
        <v>112</v>
      </c>
      <c r="E460" s="485">
        <v>5</v>
      </c>
      <c r="F460" s="492">
        <v>720</v>
      </c>
      <c r="G460" s="489">
        <f t="shared" si="50"/>
        <v>3600</v>
      </c>
      <c r="H460" s="489">
        <v>1800</v>
      </c>
      <c r="I460" s="511">
        <v>0.2</v>
      </c>
      <c r="J460" s="489">
        <v>1440</v>
      </c>
      <c r="K460" s="489">
        <v>475</v>
      </c>
      <c r="L460" s="480">
        <f t="shared" si="49"/>
        <v>965</v>
      </c>
      <c r="M460" s="490" t="s">
        <v>1565</v>
      </c>
    </row>
    <row r="461" spans="1:13" ht="22.5" customHeight="1">
      <c r="A461" s="466">
        <v>349</v>
      </c>
      <c r="B461" s="483" t="s">
        <v>2257</v>
      </c>
      <c r="C461" s="484" t="s">
        <v>2258</v>
      </c>
      <c r="D461" s="491" t="s">
        <v>112</v>
      </c>
      <c r="E461" s="485">
        <v>5.4</v>
      </c>
      <c r="F461" s="492">
        <v>720</v>
      </c>
      <c r="G461" s="489">
        <f t="shared" si="50"/>
        <v>3888.0000000000005</v>
      </c>
      <c r="H461" s="489">
        <v>1944.0000000000002</v>
      </c>
      <c r="I461" s="511">
        <v>0.2</v>
      </c>
      <c r="J461" s="489">
        <v>1555.2000000000003</v>
      </c>
      <c r="K461" s="489">
        <v>513</v>
      </c>
      <c r="L461" s="480">
        <f t="shared" si="49"/>
        <v>1042.2000000000003</v>
      </c>
      <c r="M461" s="490" t="s">
        <v>1565</v>
      </c>
    </row>
    <row r="462" spans="1:13" ht="22.5" customHeight="1">
      <c r="A462" s="466">
        <v>350</v>
      </c>
      <c r="B462" s="483" t="s">
        <v>2259</v>
      </c>
      <c r="C462" s="484" t="s">
        <v>2260</v>
      </c>
      <c r="D462" s="491" t="s">
        <v>112</v>
      </c>
      <c r="E462" s="485">
        <v>5.3</v>
      </c>
      <c r="F462" s="492">
        <v>720</v>
      </c>
      <c r="G462" s="489">
        <f t="shared" si="50"/>
        <v>3816</v>
      </c>
      <c r="H462" s="489">
        <v>1908</v>
      </c>
      <c r="I462" s="511">
        <v>0.2</v>
      </c>
      <c r="J462" s="489">
        <v>1526.4</v>
      </c>
      <c r="K462" s="489">
        <v>503.5</v>
      </c>
      <c r="L462" s="480">
        <f t="shared" si="49"/>
        <v>1022.9000000000001</v>
      </c>
      <c r="M462" s="490" t="s">
        <v>1565</v>
      </c>
    </row>
    <row r="463" spans="1:13" ht="22.5" customHeight="1">
      <c r="A463" s="466">
        <v>351</v>
      </c>
      <c r="B463" s="483" t="s">
        <v>2261</v>
      </c>
      <c r="C463" s="484" t="s">
        <v>2262</v>
      </c>
      <c r="D463" s="491" t="s">
        <v>112</v>
      </c>
      <c r="E463" s="485">
        <v>5</v>
      </c>
      <c r="F463" s="492">
        <v>720</v>
      </c>
      <c r="G463" s="489">
        <f t="shared" si="50"/>
        <v>3600</v>
      </c>
      <c r="H463" s="489">
        <v>1800</v>
      </c>
      <c r="I463" s="511">
        <v>0.2</v>
      </c>
      <c r="J463" s="489">
        <v>1440</v>
      </c>
      <c r="K463" s="489">
        <v>475</v>
      </c>
      <c r="L463" s="480">
        <f t="shared" si="49"/>
        <v>965</v>
      </c>
      <c r="M463" s="490" t="s">
        <v>1565</v>
      </c>
    </row>
    <row r="464" spans="1:13" ht="22.5" customHeight="1">
      <c r="A464" s="466">
        <v>352</v>
      </c>
      <c r="B464" s="483" t="s">
        <v>2263</v>
      </c>
      <c r="C464" s="484" t="s">
        <v>2264</v>
      </c>
      <c r="D464" s="491" t="s">
        <v>112</v>
      </c>
      <c r="E464" s="485">
        <v>5</v>
      </c>
      <c r="F464" s="492">
        <v>720</v>
      </c>
      <c r="G464" s="489">
        <f t="shared" si="50"/>
        <v>3600</v>
      </c>
      <c r="H464" s="489">
        <v>1800</v>
      </c>
      <c r="I464" s="511">
        <v>0.2</v>
      </c>
      <c r="J464" s="489">
        <v>1440</v>
      </c>
      <c r="K464" s="489">
        <v>475</v>
      </c>
      <c r="L464" s="480">
        <f t="shared" si="49"/>
        <v>965</v>
      </c>
      <c r="M464" s="490" t="s">
        <v>1565</v>
      </c>
    </row>
    <row r="465" spans="1:13" ht="22.5" customHeight="1">
      <c r="A465" s="466">
        <v>353</v>
      </c>
      <c r="B465" s="483" t="s">
        <v>2265</v>
      </c>
      <c r="C465" s="484" t="s">
        <v>2266</v>
      </c>
      <c r="D465" s="491" t="s">
        <v>113</v>
      </c>
      <c r="E465" s="485">
        <v>5</v>
      </c>
      <c r="F465" s="492">
        <v>720</v>
      </c>
      <c r="G465" s="489">
        <f t="shared" si="50"/>
        <v>3600</v>
      </c>
      <c r="H465" s="489">
        <v>1800</v>
      </c>
      <c r="I465" s="511">
        <v>0.2</v>
      </c>
      <c r="J465" s="489">
        <v>1440</v>
      </c>
      <c r="K465" s="489">
        <v>437.5</v>
      </c>
      <c r="L465" s="480">
        <f t="shared" si="49"/>
        <v>1002.5</v>
      </c>
      <c r="M465" s="490" t="s">
        <v>1565</v>
      </c>
    </row>
    <row r="466" spans="1:13" ht="22.5" customHeight="1">
      <c r="A466" s="466">
        <v>354</v>
      </c>
      <c r="B466" s="483" t="s">
        <v>2267</v>
      </c>
      <c r="C466" s="484" t="s">
        <v>2268</v>
      </c>
      <c r="D466" s="491" t="s">
        <v>112</v>
      </c>
      <c r="E466" s="485">
        <v>5.3</v>
      </c>
      <c r="F466" s="492">
        <v>720</v>
      </c>
      <c r="G466" s="489">
        <f t="shared" si="50"/>
        <v>3816</v>
      </c>
      <c r="H466" s="489">
        <v>1908</v>
      </c>
      <c r="I466" s="511">
        <v>0.2</v>
      </c>
      <c r="J466" s="489">
        <v>1526.4</v>
      </c>
      <c r="K466" s="488">
        <v>503.5</v>
      </c>
      <c r="L466" s="489">
        <v>1022.9000000000001</v>
      </c>
      <c r="M466" s="490" t="s">
        <v>1565</v>
      </c>
    </row>
    <row r="467" spans="1:13" ht="22.5" customHeight="1">
      <c r="A467" s="466">
        <v>355</v>
      </c>
      <c r="B467" s="483" t="s">
        <v>2269</v>
      </c>
      <c r="C467" s="484" t="s">
        <v>2270</v>
      </c>
      <c r="D467" s="491" t="s">
        <v>112</v>
      </c>
      <c r="E467" s="485">
        <v>5</v>
      </c>
      <c r="F467" s="486">
        <v>160</v>
      </c>
      <c r="G467" s="489">
        <f t="shared" si="50"/>
        <v>800</v>
      </c>
      <c r="H467" s="483">
        <v>800</v>
      </c>
      <c r="I467" s="511">
        <v>0</v>
      </c>
      <c r="J467" s="489">
        <v>800</v>
      </c>
      <c r="K467" s="488">
        <v>575</v>
      </c>
      <c r="L467" s="489">
        <v>225</v>
      </c>
      <c r="M467" s="490" t="s">
        <v>1724</v>
      </c>
    </row>
    <row r="468" spans="1:13" ht="22.5" customHeight="1">
      <c r="A468" s="466">
        <v>356</v>
      </c>
      <c r="B468" s="483" t="s">
        <v>2271</v>
      </c>
      <c r="C468" s="484" t="s">
        <v>2272</v>
      </c>
      <c r="D468" s="491" t="s">
        <v>112</v>
      </c>
      <c r="E468" s="485">
        <v>5</v>
      </c>
      <c r="F468" s="486">
        <v>160</v>
      </c>
      <c r="G468" s="489">
        <f t="shared" si="50"/>
        <v>800</v>
      </c>
      <c r="H468" s="483">
        <v>800</v>
      </c>
      <c r="I468" s="511">
        <v>0</v>
      </c>
      <c r="J468" s="489">
        <v>800</v>
      </c>
      <c r="K468" s="488">
        <v>575</v>
      </c>
      <c r="L468" s="489">
        <v>225</v>
      </c>
      <c r="M468" s="490" t="s">
        <v>1724</v>
      </c>
    </row>
    <row r="469" spans="1:13" ht="22.5" customHeight="1">
      <c r="A469" s="466">
        <v>357</v>
      </c>
      <c r="B469" s="483" t="s">
        <v>2273</v>
      </c>
      <c r="C469" s="484" t="s">
        <v>2274</v>
      </c>
      <c r="D469" s="491" t="s">
        <v>112</v>
      </c>
      <c r="E469" s="485">
        <v>5</v>
      </c>
      <c r="F469" s="492">
        <v>720</v>
      </c>
      <c r="G469" s="483">
        <v>3600</v>
      </c>
      <c r="H469" s="489">
        <v>1800</v>
      </c>
      <c r="I469" s="511">
        <v>0.2</v>
      </c>
      <c r="J469" s="489">
        <v>1440</v>
      </c>
      <c r="K469" s="488">
        <v>475</v>
      </c>
      <c r="L469" s="489">
        <v>965</v>
      </c>
      <c r="M469" s="490" t="s">
        <v>1565</v>
      </c>
    </row>
    <row r="470" spans="1:13" ht="22.5" customHeight="1">
      <c r="A470" s="466">
        <v>358</v>
      </c>
      <c r="B470" s="483" t="s">
        <v>2275</v>
      </c>
      <c r="C470" s="484" t="s">
        <v>2276</v>
      </c>
      <c r="D470" s="491" t="s">
        <v>112</v>
      </c>
      <c r="E470" s="485">
        <v>5</v>
      </c>
      <c r="F470" s="492">
        <v>720</v>
      </c>
      <c r="G470" s="483">
        <v>3600</v>
      </c>
      <c r="H470" s="489">
        <v>1800</v>
      </c>
      <c r="I470" s="511">
        <v>0.2</v>
      </c>
      <c r="J470" s="489">
        <v>1440</v>
      </c>
      <c r="K470" s="488">
        <v>700</v>
      </c>
      <c r="L470" s="489">
        <v>740</v>
      </c>
      <c r="M470" s="490" t="s">
        <v>1565</v>
      </c>
    </row>
    <row r="471" spans="1:13" ht="22.5" customHeight="1">
      <c r="A471" s="466">
        <v>359</v>
      </c>
      <c r="B471" s="483" t="s">
        <v>2277</v>
      </c>
      <c r="C471" s="484" t="s">
        <v>2278</v>
      </c>
      <c r="D471" s="491" t="s">
        <v>112</v>
      </c>
      <c r="E471" s="485">
        <v>5</v>
      </c>
      <c r="F471" s="492">
        <v>720</v>
      </c>
      <c r="G471" s="483">
        <v>3600</v>
      </c>
      <c r="H471" s="489">
        <v>1800</v>
      </c>
      <c r="I471" s="511">
        <v>0.2</v>
      </c>
      <c r="J471" s="489">
        <v>1440</v>
      </c>
      <c r="K471" s="493">
        <v>700</v>
      </c>
      <c r="L471" s="489">
        <v>740</v>
      </c>
      <c r="M471" s="490" t="s">
        <v>1565</v>
      </c>
    </row>
    <row r="472" spans="1:13" ht="22.5" customHeight="1">
      <c r="A472" s="466">
        <v>360</v>
      </c>
      <c r="B472" s="439" t="s">
        <v>2279</v>
      </c>
      <c r="C472" s="439" t="s">
        <v>2280</v>
      </c>
      <c r="D472" s="439" t="s">
        <v>113</v>
      </c>
      <c r="E472" s="442" t="s">
        <v>2281</v>
      </c>
      <c r="F472" s="435">
        <v>220</v>
      </c>
      <c r="G472" s="436">
        <f>F472*E472</f>
        <v>1386</v>
      </c>
      <c r="H472" s="436">
        <f>G472*80%</f>
        <v>1108.8</v>
      </c>
      <c r="I472" s="511">
        <v>0</v>
      </c>
      <c r="J472" s="514">
        <v>1108.8</v>
      </c>
      <c r="K472" s="515">
        <v>504</v>
      </c>
      <c r="L472" s="514">
        <v>604.79999999999995</v>
      </c>
      <c r="M472" s="490" t="s">
        <v>1636</v>
      </c>
    </row>
    <row r="473" spans="1:13" ht="22.5" customHeight="1">
      <c r="A473" s="475"/>
      <c r="B473" s="476" t="s">
        <v>26</v>
      </c>
      <c r="C473" s="477">
        <f>COUNTA(C452:C472)</f>
        <v>21</v>
      </c>
      <c r="D473" s="477"/>
      <c r="E473" s="478">
        <f>SUM(E451:E472)</f>
        <v>99.499999999999986</v>
      </c>
      <c r="F473" s="477"/>
      <c r="G473" s="477"/>
      <c r="H473" s="477"/>
      <c r="I473" s="477"/>
      <c r="J473" s="477"/>
      <c r="K473" s="479">
        <f t="shared" ref="K473:L473" si="51">SUM(K452:K472)</f>
        <v>10905.5</v>
      </c>
      <c r="L473" s="955">
        <f t="shared" si="51"/>
        <v>14621.699999999999</v>
      </c>
      <c r="M473" s="932"/>
    </row>
  </sheetData>
  <mergeCells count="56">
    <mergeCell ref="A175:M175"/>
    <mergeCell ref="L267:M267"/>
    <mergeCell ref="A271:M272"/>
    <mergeCell ref="L281:M281"/>
    <mergeCell ref="A284:M284"/>
    <mergeCell ref="L79:M79"/>
    <mergeCell ref="A84:M84"/>
    <mergeCell ref="A110:M110"/>
    <mergeCell ref="L107:M107"/>
    <mergeCell ref="L171:M171"/>
    <mergeCell ref="I2:M3"/>
    <mergeCell ref="A3:C3"/>
    <mergeCell ref="A4:C4"/>
    <mergeCell ref="A11:M11"/>
    <mergeCell ref="A12:M12"/>
    <mergeCell ref="A5:C5"/>
    <mergeCell ref="F5:G5"/>
    <mergeCell ref="A6:C6"/>
    <mergeCell ref="F6:G6"/>
    <mergeCell ref="A7:C7"/>
    <mergeCell ref="F7:G7"/>
    <mergeCell ref="F8:G8"/>
    <mergeCell ref="I4:J4"/>
    <mergeCell ref="K4:L4"/>
    <mergeCell ref="I5:J6"/>
    <mergeCell ref="K5:L6"/>
    <mergeCell ref="F3:G3"/>
    <mergeCell ref="F4:G4"/>
    <mergeCell ref="F145:H145"/>
    <mergeCell ref="A1:D1"/>
    <mergeCell ref="F1:H1"/>
    <mergeCell ref="A2:C2"/>
    <mergeCell ref="F2:G2"/>
    <mergeCell ref="L473:M473"/>
    <mergeCell ref="A432:M432"/>
    <mergeCell ref="A450:M450"/>
    <mergeCell ref="A375:M375"/>
    <mergeCell ref="A385:M385"/>
    <mergeCell ref="L389:M389"/>
    <mergeCell ref="A393:M393"/>
    <mergeCell ref="L400:M400"/>
    <mergeCell ref="A403:M403"/>
    <mergeCell ref="A417:M417"/>
    <mergeCell ref="L382:M382"/>
    <mergeCell ref="A348:M348"/>
    <mergeCell ref="A365:M366"/>
    <mergeCell ref="L413:M413"/>
    <mergeCell ref="L423:M423"/>
    <mergeCell ref="L447:M447"/>
    <mergeCell ref="L362:M362"/>
    <mergeCell ref="L371:M371"/>
    <mergeCell ref="L300:M300"/>
    <mergeCell ref="A303:M303"/>
    <mergeCell ref="L330:M330"/>
    <mergeCell ref="A334:M334"/>
    <mergeCell ref="L345:M345"/>
  </mergeCells>
  <conditionalFormatting sqref="L79:M79">
    <cfRule type="notContainsBlanks" dxfId="0" priority="1">
      <formula>LEN(TRIM(L79))&gt;0</formula>
    </cfRule>
  </conditionalFormatting>
  <dataValidations count="2">
    <dataValidation type="custom" allowBlank="1" showDropDown="1" sqref="K14:K79 E14:E79 E86:E107 K377:K382 E377:E382 K419:K423" xr:uid="{00000000-0002-0000-0500-000000000000}">
      <formula1>AND(ISNUMBER(E14),(NOT(OR(NOT(ISERROR(DATEVALUE(E14))), AND(ISNUMBER(E14), LEFT(CELL("format", E14))="D")))))</formula1>
    </dataValidation>
    <dataValidation allowBlank="1" showDropDown="1" sqref="D14:D78 D112:D171 D177:D267 D305:D330 D350:D362 D377:D382" xr:uid="{00000000-0002-0000-0500-000001000000}"/>
  </dataValidations>
  <pageMargins left="0.7" right="0.7" top="0.75" bottom="0.75" header="0.3" footer="0.3"/>
  <tableParts count="5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  <pageSetUpPr fitToPage="1"/>
  </sheetPr>
  <dimension ref="A1:M171"/>
  <sheetViews>
    <sheetView workbookViewId="0"/>
  </sheetViews>
  <sheetFormatPr defaultColWidth="12.6640625" defaultRowHeight="15.75" customHeight="1"/>
  <cols>
    <col min="1" max="1" width="6" customWidth="1"/>
    <col min="2" max="2" width="18.21875" customWidth="1"/>
    <col min="3" max="3" width="13.88671875" customWidth="1"/>
    <col min="4" max="4" width="18.33203125" customWidth="1"/>
    <col min="5" max="5" width="10.21875" customWidth="1"/>
    <col min="6" max="6" width="11.33203125" customWidth="1"/>
    <col min="7" max="7" width="15.109375" customWidth="1"/>
    <col min="8" max="8" width="15" customWidth="1"/>
    <col min="9" max="9" width="12.21875" customWidth="1"/>
    <col min="10" max="10" width="13.33203125" customWidth="1"/>
    <col min="11" max="11" width="13.44140625" customWidth="1"/>
    <col min="12" max="12" width="13.21875" customWidth="1"/>
    <col min="13" max="13" width="10.21875" customWidth="1"/>
  </cols>
  <sheetData>
    <row r="1" spans="1:13" ht="18">
      <c r="A1" s="516"/>
      <c r="B1" s="971" t="s">
        <v>147</v>
      </c>
      <c r="C1" s="931"/>
      <c r="D1" s="932"/>
      <c r="E1" s="517"/>
      <c r="F1" s="518"/>
      <c r="G1" s="518"/>
      <c r="H1" s="518"/>
      <c r="I1" s="518"/>
      <c r="J1" s="516"/>
      <c r="K1" s="516"/>
      <c r="L1" s="516"/>
      <c r="M1" s="516"/>
    </row>
    <row r="2" spans="1:13" ht="18">
      <c r="A2" s="516"/>
      <c r="B2" s="972" t="s">
        <v>150</v>
      </c>
      <c r="C2" s="932"/>
      <c r="D2" s="519"/>
      <c r="E2" s="973"/>
      <c r="F2" s="953"/>
      <c r="G2" s="953"/>
      <c r="H2" s="953"/>
      <c r="I2" s="941"/>
      <c r="J2" s="516"/>
      <c r="K2" s="516"/>
      <c r="L2" s="516"/>
      <c r="M2" s="516"/>
    </row>
    <row r="3" spans="1:13" ht="18">
      <c r="A3" s="516"/>
      <c r="B3" s="971" t="s">
        <v>153</v>
      </c>
      <c r="C3" s="932"/>
      <c r="D3" s="520" t="s">
        <v>2282</v>
      </c>
      <c r="E3" s="942"/>
      <c r="F3" s="954"/>
      <c r="G3" s="954"/>
      <c r="H3" s="954"/>
      <c r="I3" s="943"/>
      <c r="J3" s="974" t="s">
        <v>159</v>
      </c>
      <c r="K3" s="964"/>
      <c r="L3" s="975">
        <f>H18+H27+H37+H46+H57+H65+H75+H84+H91+H99+H110+H118+H125+H132+H141+H151+H171</f>
        <v>24677.5</v>
      </c>
      <c r="M3" s="964"/>
    </row>
    <row r="4" spans="1:13" ht="18">
      <c r="A4" s="516"/>
      <c r="B4" s="976" t="s">
        <v>156</v>
      </c>
      <c r="C4" s="932"/>
      <c r="D4" s="519"/>
      <c r="E4" s="517"/>
      <c r="F4" s="518"/>
      <c r="G4" s="518"/>
      <c r="H4" s="518"/>
      <c r="I4" s="518"/>
      <c r="J4" s="967"/>
      <c r="K4" s="968"/>
      <c r="L4" s="967"/>
      <c r="M4" s="968"/>
    </row>
    <row r="5" spans="1:13" ht="18">
      <c r="A5" s="516"/>
      <c r="B5" s="976" t="s">
        <v>158</v>
      </c>
      <c r="C5" s="932"/>
      <c r="D5" s="521" t="s">
        <v>164</v>
      </c>
      <c r="E5" s="522"/>
      <c r="F5" s="516"/>
      <c r="G5" s="516"/>
      <c r="H5" s="516"/>
      <c r="I5" s="516"/>
      <c r="J5" s="516"/>
      <c r="K5" s="516"/>
      <c r="L5" s="516"/>
      <c r="M5" s="516"/>
    </row>
    <row r="6" spans="1:13" ht="18">
      <c r="A6" s="523"/>
      <c r="B6" s="976" t="s">
        <v>161</v>
      </c>
      <c r="C6" s="932"/>
      <c r="D6" s="519"/>
      <c r="E6" s="524"/>
      <c r="F6" s="516"/>
      <c r="G6" s="516"/>
      <c r="H6" s="516"/>
      <c r="I6" s="516"/>
      <c r="J6" s="516"/>
      <c r="K6" s="516"/>
      <c r="L6" s="516"/>
      <c r="M6" s="516"/>
    </row>
    <row r="7" spans="1:13" ht="18">
      <c r="A7" s="523"/>
      <c r="B7" s="976" t="s">
        <v>163</v>
      </c>
      <c r="C7" s="932"/>
      <c r="D7" s="519"/>
      <c r="E7" s="525"/>
      <c r="F7" s="516"/>
      <c r="G7" s="516"/>
      <c r="H7" s="516"/>
      <c r="I7" s="516"/>
      <c r="J7" s="516"/>
      <c r="K7" s="516"/>
      <c r="L7" s="516"/>
      <c r="M7" s="516"/>
    </row>
    <row r="8" spans="1:13" ht="18">
      <c r="A8" s="516"/>
      <c r="B8" s="516"/>
      <c r="C8" s="516"/>
      <c r="D8" s="516"/>
      <c r="E8" s="525"/>
      <c r="F8" s="526"/>
      <c r="G8" s="526"/>
      <c r="H8" s="516"/>
      <c r="I8" s="516"/>
      <c r="J8" s="516"/>
      <c r="K8" s="516"/>
      <c r="L8" s="516"/>
      <c r="M8" s="516"/>
    </row>
    <row r="9" spans="1:13" ht="18">
      <c r="A9" s="516"/>
      <c r="B9" s="527"/>
      <c r="C9" s="527"/>
      <c r="D9" s="528"/>
      <c r="E9" s="525"/>
      <c r="F9" s="516"/>
      <c r="G9" s="529"/>
      <c r="H9" s="516"/>
      <c r="I9" s="516"/>
      <c r="J9" s="516"/>
      <c r="K9" s="516"/>
      <c r="L9" s="516"/>
      <c r="M9" s="516"/>
    </row>
    <row r="10" spans="1:13" ht="18">
      <c r="A10" s="516"/>
      <c r="B10" s="516"/>
      <c r="C10" s="516"/>
      <c r="D10" s="516"/>
      <c r="E10" s="525"/>
      <c r="F10" s="516"/>
      <c r="G10" s="516"/>
      <c r="H10" s="516"/>
      <c r="I10" s="516"/>
      <c r="J10" s="516"/>
      <c r="K10" s="516"/>
      <c r="L10" s="516"/>
      <c r="M10" s="516"/>
    </row>
    <row r="11" spans="1:13" ht="13.2">
      <c r="A11" s="972" t="s">
        <v>27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2"/>
    </row>
    <row r="12" spans="1:13" ht="13.2">
      <c r="A12" s="944" t="s">
        <v>31</v>
      </c>
      <c r="B12" s="931"/>
      <c r="C12" s="931"/>
      <c r="D12" s="931"/>
      <c r="E12" s="931"/>
      <c r="F12" s="931"/>
      <c r="G12" s="931"/>
      <c r="H12" s="931"/>
      <c r="I12" s="931"/>
      <c r="J12" s="931"/>
      <c r="K12" s="931"/>
      <c r="L12" s="931"/>
      <c r="M12" s="932"/>
    </row>
    <row r="13" spans="1:13" ht="22.5" customHeight="1">
      <c r="A13" s="530" t="s">
        <v>165</v>
      </c>
      <c r="B13" s="531" t="s">
        <v>166</v>
      </c>
      <c r="C13" s="531" t="s">
        <v>167</v>
      </c>
      <c r="D13" s="532" t="s">
        <v>168</v>
      </c>
      <c r="E13" s="533" t="s">
        <v>169</v>
      </c>
      <c r="F13" s="534" t="s">
        <v>2283</v>
      </c>
      <c r="G13" s="535" t="s">
        <v>2284</v>
      </c>
      <c r="H13" s="532" t="s">
        <v>172</v>
      </c>
      <c r="I13" s="536" t="s">
        <v>2285</v>
      </c>
      <c r="J13" s="536" t="s">
        <v>2286</v>
      </c>
      <c r="K13" s="531" t="s">
        <v>175</v>
      </c>
      <c r="L13" s="531" t="s">
        <v>2287</v>
      </c>
      <c r="M13" s="537" t="s">
        <v>177</v>
      </c>
    </row>
    <row r="14" spans="1:13" ht="22.5" customHeight="1">
      <c r="A14" s="538">
        <v>1</v>
      </c>
      <c r="B14" s="538" t="s">
        <v>2288</v>
      </c>
      <c r="C14" s="538" t="s">
        <v>2289</v>
      </c>
      <c r="D14" s="538" t="s">
        <v>112</v>
      </c>
      <c r="E14" s="539">
        <v>5.7</v>
      </c>
      <c r="F14" s="540">
        <v>28</v>
      </c>
      <c r="G14" s="541">
        <f t="shared" ref="G14:G17" si="0">F14*5</f>
        <v>140</v>
      </c>
      <c r="H14" s="541">
        <f t="shared" ref="H14:H17" si="1">G14*E14</f>
        <v>798</v>
      </c>
      <c r="I14" s="541">
        <v>720</v>
      </c>
      <c r="J14" s="541">
        <f t="shared" ref="J14:J17" si="2">I14*E14</f>
        <v>4104</v>
      </c>
      <c r="K14" s="541">
        <f t="shared" ref="K14:K17" si="3">I14/2</f>
        <v>360</v>
      </c>
      <c r="L14" s="541">
        <f t="shared" ref="L14:L17" si="4">K14*E14</f>
        <v>2052</v>
      </c>
      <c r="M14" s="538" t="s">
        <v>2290</v>
      </c>
    </row>
    <row r="15" spans="1:13" ht="22.5" customHeight="1">
      <c r="A15" s="538">
        <v>2</v>
      </c>
      <c r="B15" s="538" t="s">
        <v>2291</v>
      </c>
      <c r="C15" s="538" t="s">
        <v>2292</v>
      </c>
      <c r="D15" s="538" t="s">
        <v>113</v>
      </c>
      <c r="E15" s="539">
        <v>5</v>
      </c>
      <c r="F15" s="540">
        <v>22</v>
      </c>
      <c r="G15" s="541">
        <f t="shared" si="0"/>
        <v>110</v>
      </c>
      <c r="H15" s="541">
        <f t="shared" si="1"/>
        <v>550</v>
      </c>
      <c r="I15" s="541">
        <v>720</v>
      </c>
      <c r="J15" s="541">
        <f t="shared" si="2"/>
        <v>3600</v>
      </c>
      <c r="K15" s="541">
        <f t="shared" si="3"/>
        <v>360</v>
      </c>
      <c r="L15" s="541">
        <f t="shared" si="4"/>
        <v>1800</v>
      </c>
      <c r="M15" s="538" t="s">
        <v>2290</v>
      </c>
    </row>
    <row r="16" spans="1:13" ht="22.5" customHeight="1">
      <c r="A16" s="538">
        <v>3</v>
      </c>
      <c r="B16" s="538" t="s">
        <v>2293</v>
      </c>
      <c r="C16" s="538" t="s">
        <v>2294</v>
      </c>
      <c r="D16" s="538" t="s">
        <v>112</v>
      </c>
      <c r="E16" s="539">
        <v>5.5</v>
      </c>
      <c r="F16" s="540">
        <v>28</v>
      </c>
      <c r="G16" s="541">
        <f t="shared" si="0"/>
        <v>140</v>
      </c>
      <c r="H16" s="541">
        <f t="shared" si="1"/>
        <v>770</v>
      </c>
      <c r="I16" s="541">
        <v>720</v>
      </c>
      <c r="J16" s="541">
        <f t="shared" si="2"/>
        <v>3960</v>
      </c>
      <c r="K16" s="541">
        <f t="shared" si="3"/>
        <v>360</v>
      </c>
      <c r="L16" s="541">
        <f t="shared" si="4"/>
        <v>1980</v>
      </c>
      <c r="M16" s="538" t="s">
        <v>2290</v>
      </c>
    </row>
    <row r="17" spans="1:13" ht="22.5" customHeight="1">
      <c r="A17" s="538">
        <v>4</v>
      </c>
      <c r="B17" s="538" t="s">
        <v>2295</v>
      </c>
      <c r="C17" s="538" t="s">
        <v>2296</v>
      </c>
      <c r="D17" s="538" t="s">
        <v>113</v>
      </c>
      <c r="E17" s="539">
        <v>6</v>
      </c>
      <c r="F17" s="540">
        <v>22</v>
      </c>
      <c r="G17" s="541">
        <f t="shared" si="0"/>
        <v>110</v>
      </c>
      <c r="H17" s="541">
        <f t="shared" si="1"/>
        <v>660</v>
      </c>
      <c r="I17" s="541">
        <v>720</v>
      </c>
      <c r="J17" s="541">
        <f t="shared" si="2"/>
        <v>4320</v>
      </c>
      <c r="K17" s="541">
        <f t="shared" si="3"/>
        <v>360</v>
      </c>
      <c r="L17" s="541">
        <f t="shared" si="4"/>
        <v>2160</v>
      </c>
      <c r="M17" s="538" t="s">
        <v>2290</v>
      </c>
    </row>
    <row r="18" spans="1:13" ht="22.5" customHeight="1">
      <c r="A18" s="977" t="s">
        <v>318</v>
      </c>
      <c r="B18" s="931"/>
      <c r="C18" s="932"/>
      <c r="D18" s="542">
        <f>COUNTA(D14:D17)</f>
        <v>4</v>
      </c>
      <c r="E18" s="543">
        <f>SUM(E14:E17)</f>
        <v>22.2</v>
      </c>
      <c r="F18" s="544"/>
      <c r="G18" s="544"/>
      <c r="H18" s="545">
        <f>SUM(H14:H17)</f>
        <v>2778</v>
      </c>
      <c r="I18" s="544"/>
      <c r="J18" s="544"/>
      <c r="K18" s="544"/>
      <c r="L18" s="544"/>
      <c r="M18" s="544"/>
    </row>
    <row r="19" spans="1:13" ht="18">
      <c r="A19" s="516"/>
      <c r="B19" s="516"/>
      <c r="C19" s="516"/>
      <c r="D19" s="516"/>
      <c r="E19" s="525"/>
      <c r="F19" s="516"/>
      <c r="G19" s="516"/>
      <c r="H19" s="516"/>
      <c r="I19" s="516"/>
      <c r="J19" s="516"/>
      <c r="K19" s="516"/>
      <c r="L19" s="516"/>
      <c r="M19" s="516"/>
    </row>
    <row r="20" spans="1:13" ht="18">
      <c r="A20" s="532"/>
      <c r="B20" s="532"/>
      <c r="C20" s="532"/>
      <c r="D20" s="532"/>
      <c r="E20" s="533"/>
      <c r="F20" s="532"/>
      <c r="G20" s="532"/>
      <c r="H20" s="532"/>
      <c r="I20" s="532"/>
      <c r="J20" s="532"/>
      <c r="K20" s="532"/>
      <c r="L20" s="532"/>
      <c r="M20" s="532"/>
    </row>
    <row r="21" spans="1:13" ht="13.2">
      <c r="A21" s="944" t="s">
        <v>32</v>
      </c>
      <c r="B21" s="931"/>
      <c r="C21" s="931"/>
      <c r="D21" s="931"/>
      <c r="E21" s="931"/>
      <c r="F21" s="931"/>
      <c r="G21" s="931"/>
      <c r="H21" s="931"/>
      <c r="I21" s="931"/>
      <c r="J21" s="931"/>
      <c r="K21" s="931"/>
      <c r="L21" s="931"/>
      <c r="M21" s="932"/>
    </row>
    <row r="22" spans="1:13" ht="22.5" customHeight="1">
      <c r="A22" s="253" t="s">
        <v>165</v>
      </c>
      <c r="B22" s="253" t="s">
        <v>165</v>
      </c>
      <c r="C22" s="282" t="s">
        <v>167</v>
      </c>
      <c r="D22" s="255" t="s">
        <v>168</v>
      </c>
      <c r="E22" s="283" t="s">
        <v>169</v>
      </c>
      <c r="F22" s="284" t="s">
        <v>2297</v>
      </c>
      <c r="G22" s="285" t="s">
        <v>2298</v>
      </c>
      <c r="H22" s="255" t="s">
        <v>172</v>
      </c>
      <c r="I22" s="286" t="s">
        <v>2299</v>
      </c>
      <c r="J22" s="286" t="s">
        <v>2300</v>
      </c>
      <c r="K22" s="282" t="s">
        <v>175</v>
      </c>
      <c r="L22" s="282" t="s">
        <v>2301</v>
      </c>
      <c r="M22" s="287" t="s">
        <v>177</v>
      </c>
    </row>
    <row r="23" spans="1:13" ht="22.5" customHeight="1">
      <c r="A23" s="538"/>
      <c r="B23" s="538"/>
      <c r="C23" s="538"/>
      <c r="D23" s="538"/>
      <c r="E23" s="539"/>
      <c r="F23" s="540"/>
      <c r="G23" s="541"/>
      <c r="H23" s="541"/>
      <c r="I23" s="541"/>
      <c r="J23" s="541"/>
      <c r="K23" s="541"/>
      <c r="L23" s="541"/>
      <c r="M23" s="538"/>
    </row>
    <row r="24" spans="1:13" ht="22.5" customHeight="1">
      <c r="A24" s="538"/>
      <c r="B24" s="538"/>
      <c r="C24" s="538"/>
      <c r="D24" s="546"/>
      <c r="E24" s="539"/>
      <c r="F24" s="540"/>
      <c r="G24" s="541"/>
      <c r="H24" s="541"/>
      <c r="I24" s="541"/>
      <c r="J24" s="541"/>
      <c r="K24" s="541"/>
      <c r="L24" s="541"/>
      <c r="M24" s="538"/>
    </row>
    <row r="25" spans="1:13" ht="22.5" customHeight="1">
      <c r="A25" s="538"/>
      <c r="B25" s="538"/>
      <c r="C25" s="538"/>
      <c r="D25" s="546"/>
      <c r="E25" s="539"/>
      <c r="F25" s="540"/>
      <c r="G25" s="541"/>
      <c r="H25" s="541"/>
      <c r="I25" s="541"/>
      <c r="J25" s="541"/>
      <c r="K25" s="541"/>
      <c r="L25" s="541"/>
      <c r="M25" s="538"/>
    </row>
    <row r="26" spans="1:13" ht="22.5" customHeight="1">
      <c r="A26" s="538"/>
      <c r="B26" s="538"/>
      <c r="C26" s="538"/>
      <c r="D26" s="547"/>
      <c r="E26" s="539"/>
      <c r="F26" s="540"/>
      <c r="G26" s="541"/>
      <c r="H26" s="541"/>
      <c r="I26" s="541"/>
      <c r="J26" s="541"/>
      <c r="K26" s="541"/>
      <c r="L26" s="541"/>
      <c r="M26" s="538"/>
    </row>
    <row r="27" spans="1:13" ht="22.5" customHeight="1">
      <c r="A27" s="977" t="s">
        <v>318</v>
      </c>
      <c r="B27" s="931"/>
      <c r="C27" s="932"/>
      <c r="D27" s="542">
        <f>COUNTA(D23:D26)</f>
        <v>0</v>
      </c>
      <c r="E27" s="543">
        <f>SUM(E22:E25)</f>
        <v>0</v>
      </c>
      <c r="F27" s="544"/>
      <c r="G27" s="544"/>
      <c r="H27" s="545">
        <f>SUM(H22:H26)</f>
        <v>0</v>
      </c>
      <c r="I27" s="544"/>
      <c r="J27" s="544"/>
      <c r="K27" s="544"/>
      <c r="L27" s="544"/>
      <c r="M27" s="544"/>
    </row>
    <row r="28" spans="1:13" ht="18">
      <c r="A28" s="532"/>
      <c r="B28" s="532"/>
      <c r="C28" s="532"/>
      <c r="D28" s="532"/>
      <c r="E28" s="533"/>
      <c r="F28" s="532"/>
      <c r="G28" s="532"/>
      <c r="H28" s="532"/>
      <c r="I28" s="532"/>
      <c r="J28" s="532"/>
      <c r="K28" s="532"/>
      <c r="L28" s="532"/>
      <c r="M28" s="532"/>
    </row>
    <row r="29" spans="1:13" ht="18">
      <c r="A29" s="532"/>
      <c r="B29" s="532"/>
      <c r="C29" s="532"/>
      <c r="D29" s="532"/>
      <c r="E29" s="533"/>
      <c r="F29" s="532"/>
      <c r="G29" s="532"/>
      <c r="H29" s="532"/>
      <c r="I29" s="532"/>
      <c r="J29" s="532"/>
      <c r="K29" s="532"/>
      <c r="L29" s="532"/>
      <c r="M29" s="532"/>
    </row>
    <row r="30" spans="1:13" ht="18">
      <c r="A30" s="532"/>
      <c r="B30" s="532"/>
      <c r="C30" s="532"/>
      <c r="D30" s="532"/>
      <c r="E30" s="533"/>
      <c r="F30" s="532"/>
      <c r="G30" s="532"/>
      <c r="H30" s="532"/>
      <c r="I30" s="532"/>
      <c r="J30" s="532"/>
      <c r="K30" s="532"/>
      <c r="L30" s="532"/>
      <c r="M30" s="532"/>
    </row>
    <row r="31" spans="1:13" ht="13.2">
      <c r="A31" s="944" t="s">
        <v>33</v>
      </c>
      <c r="B31" s="931"/>
      <c r="C31" s="931"/>
      <c r="D31" s="931"/>
      <c r="E31" s="931"/>
      <c r="F31" s="931"/>
      <c r="G31" s="931"/>
      <c r="H31" s="931"/>
      <c r="I31" s="931"/>
      <c r="J31" s="931"/>
      <c r="K31" s="931"/>
      <c r="L31" s="931"/>
      <c r="M31" s="932"/>
    </row>
    <row r="32" spans="1:13" ht="22.5" customHeight="1">
      <c r="A32" s="253" t="s">
        <v>165</v>
      </c>
      <c r="B32" s="282" t="s">
        <v>166</v>
      </c>
      <c r="C32" s="282" t="s">
        <v>167</v>
      </c>
      <c r="D32" s="255" t="s">
        <v>168</v>
      </c>
      <c r="E32" s="283" t="s">
        <v>169</v>
      </c>
      <c r="F32" s="284" t="s">
        <v>2302</v>
      </c>
      <c r="G32" s="285" t="s">
        <v>2303</v>
      </c>
      <c r="H32" s="255" t="s">
        <v>172</v>
      </c>
      <c r="I32" s="286" t="s">
        <v>2304</v>
      </c>
      <c r="J32" s="286" t="s">
        <v>2305</v>
      </c>
      <c r="K32" s="282" t="s">
        <v>175</v>
      </c>
      <c r="L32" s="282" t="s">
        <v>2306</v>
      </c>
      <c r="M32" s="287" t="s">
        <v>177</v>
      </c>
    </row>
    <row r="33" spans="1:13" ht="22.5" customHeight="1">
      <c r="A33" s="548">
        <v>5</v>
      </c>
      <c r="B33" s="548" t="s">
        <v>2307</v>
      </c>
      <c r="C33" s="548" t="s">
        <v>2308</v>
      </c>
      <c r="D33" s="548" t="s">
        <v>112</v>
      </c>
      <c r="E33" s="549">
        <v>6.3</v>
      </c>
      <c r="F33" s="550" t="s">
        <v>614</v>
      </c>
      <c r="G33" s="541">
        <f>F33*5</f>
        <v>110</v>
      </c>
      <c r="H33" s="541">
        <f>G33*E33</f>
        <v>693</v>
      </c>
      <c r="I33" s="541">
        <v>720</v>
      </c>
      <c r="J33" s="541">
        <f>I33*E33</f>
        <v>4536</v>
      </c>
      <c r="K33" s="541">
        <f>I33/2</f>
        <v>360</v>
      </c>
      <c r="L33" s="541">
        <f>K33*E33</f>
        <v>2268</v>
      </c>
      <c r="M33" s="548" t="s">
        <v>1724</v>
      </c>
    </row>
    <row r="34" spans="1:13" ht="22.5" customHeight="1">
      <c r="A34" s="548"/>
      <c r="B34" s="548"/>
      <c r="C34" s="548"/>
      <c r="D34" s="551"/>
      <c r="E34" s="549"/>
      <c r="F34" s="552"/>
      <c r="G34" s="553"/>
      <c r="H34" s="553"/>
      <c r="I34" s="553"/>
      <c r="J34" s="553"/>
      <c r="K34" s="553"/>
      <c r="L34" s="553"/>
      <c r="M34" s="554"/>
    </row>
    <row r="35" spans="1:13" ht="22.5" customHeight="1">
      <c r="A35" s="548"/>
      <c r="B35" s="548"/>
      <c r="C35" s="548"/>
      <c r="D35" s="551"/>
      <c r="E35" s="549"/>
      <c r="F35" s="552"/>
      <c r="G35" s="553"/>
      <c r="H35" s="553"/>
      <c r="I35" s="553"/>
      <c r="J35" s="553"/>
      <c r="K35" s="553"/>
      <c r="L35" s="553"/>
      <c r="M35" s="554"/>
    </row>
    <row r="36" spans="1:13" ht="22.5" customHeight="1">
      <c r="A36" s="548"/>
      <c r="B36" s="548"/>
      <c r="C36" s="548"/>
      <c r="D36" s="555"/>
      <c r="E36" s="549"/>
      <c r="F36" s="552"/>
      <c r="G36" s="553"/>
      <c r="H36" s="553"/>
      <c r="I36" s="553"/>
      <c r="J36" s="553"/>
      <c r="K36" s="553"/>
      <c r="L36" s="553"/>
      <c r="M36" s="554"/>
    </row>
    <row r="37" spans="1:13" ht="22.5" customHeight="1">
      <c r="A37" s="977" t="s">
        <v>318</v>
      </c>
      <c r="B37" s="931"/>
      <c r="C37" s="932"/>
      <c r="D37" s="542">
        <f>COUNTA(D33:D36)</f>
        <v>1</v>
      </c>
      <c r="E37" s="543">
        <f>SUM(E32:E35)</f>
        <v>6.3</v>
      </c>
      <c r="F37" s="544"/>
      <c r="G37" s="544"/>
      <c r="H37" s="545">
        <f>SUM(H32:H35)</f>
        <v>693</v>
      </c>
      <c r="I37" s="544"/>
      <c r="J37" s="544"/>
      <c r="K37" s="544"/>
      <c r="L37" s="544"/>
      <c r="M37" s="544"/>
    </row>
    <row r="38" spans="1:13" ht="18">
      <c r="A38" s="532"/>
      <c r="B38" s="532"/>
      <c r="C38" s="532"/>
      <c r="D38" s="532"/>
      <c r="E38" s="533"/>
      <c r="F38" s="532"/>
      <c r="G38" s="532"/>
      <c r="H38" s="532"/>
      <c r="I38" s="532"/>
      <c r="J38" s="532"/>
      <c r="K38" s="532"/>
      <c r="L38" s="532"/>
      <c r="M38" s="532"/>
    </row>
    <row r="39" spans="1:13" ht="18">
      <c r="A39" s="532"/>
      <c r="B39" s="532"/>
      <c r="C39" s="532"/>
      <c r="D39" s="532"/>
      <c r="E39" s="533"/>
      <c r="F39" s="532"/>
      <c r="G39" s="532"/>
      <c r="H39" s="532"/>
      <c r="I39" s="532"/>
      <c r="J39" s="532"/>
      <c r="K39" s="532"/>
      <c r="L39" s="532"/>
      <c r="M39" s="532"/>
    </row>
    <row r="40" spans="1:13" ht="18">
      <c r="A40" s="532"/>
      <c r="B40" s="532"/>
      <c r="C40" s="532"/>
      <c r="D40" s="532"/>
      <c r="E40" s="533"/>
      <c r="F40" s="532"/>
      <c r="G40" s="532"/>
      <c r="H40" s="532"/>
      <c r="I40" s="532"/>
      <c r="J40" s="532"/>
      <c r="K40" s="532"/>
      <c r="L40" s="532"/>
      <c r="M40" s="532"/>
    </row>
    <row r="41" spans="1:13" ht="13.2">
      <c r="A41" s="944" t="s">
        <v>34</v>
      </c>
      <c r="B41" s="931"/>
      <c r="C41" s="931"/>
      <c r="D41" s="931"/>
      <c r="E41" s="931"/>
      <c r="F41" s="931"/>
      <c r="G41" s="931"/>
      <c r="H41" s="931"/>
      <c r="I41" s="931"/>
      <c r="J41" s="931"/>
      <c r="K41" s="931"/>
      <c r="L41" s="931"/>
      <c r="M41" s="932"/>
    </row>
    <row r="42" spans="1:13" ht="22.5" customHeight="1">
      <c r="A42" s="253" t="s">
        <v>165</v>
      </c>
      <c r="B42" s="253" t="s">
        <v>166</v>
      </c>
      <c r="C42" s="253" t="s">
        <v>167</v>
      </c>
      <c r="D42" s="255" t="s">
        <v>168</v>
      </c>
      <c r="E42" s="283" t="s">
        <v>169</v>
      </c>
      <c r="F42" s="311" t="s">
        <v>2309</v>
      </c>
      <c r="G42" s="316" t="s">
        <v>2310</v>
      </c>
      <c r="H42" s="255" t="s">
        <v>172</v>
      </c>
      <c r="I42" s="317" t="s">
        <v>2311</v>
      </c>
      <c r="J42" s="317" t="s">
        <v>2312</v>
      </c>
      <c r="K42" s="253" t="s">
        <v>2313</v>
      </c>
      <c r="L42" s="253" t="s">
        <v>2314</v>
      </c>
      <c r="M42" s="318" t="s">
        <v>177</v>
      </c>
    </row>
    <row r="43" spans="1:13" ht="22.5" customHeight="1">
      <c r="A43" s="538">
        <v>6</v>
      </c>
      <c r="B43" s="538" t="s">
        <v>829</v>
      </c>
      <c r="C43" s="556" t="s">
        <v>830</v>
      </c>
      <c r="D43" s="557" t="s">
        <v>117</v>
      </c>
      <c r="E43" s="539">
        <v>5</v>
      </c>
      <c r="F43" s="540">
        <v>34</v>
      </c>
      <c r="G43" s="541">
        <f>F43*5</f>
        <v>170</v>
      </c>
      <c r="H43" s="541">
        <f>G43*E43</f>
        <v>850</v>
      </c>
      <c r="I43" s="541">
        <v>720</v>
      </c>
      <c r="J43" s="541">
        <f>I43*E43</f>
        <v>3600</v>
      </c>
      <c r="K43" s="541">
        <f>I43/2</f>
        <v>360</v>
      </c>
      <c r="L43" s="541">
        <f>K43*E43</f>
        <v>1800</v>
      </c>
      <c r="M43" s="538" t="s">
        <v>1724</v>
      </c>
    </row>
    <row r="44" spans="1:13" ht="22.5" customHeight="1">
      <c r="A44" s="538"/>
      <c r="B44" s="538"/>
      <c r="C44" s="556"/>
      <c r="D44" s="538"/>
      <c r="E44" s="539"/>
      <c r="F44" s="540"/>
      <c r="G44" s="558"/>
      <c r="H44" s="558"/>
      <c r="I44" s="558"/>
      <c r="J44" s="558"/>
      <c r="K44" s="558"/>
      <c r="L44" s="558"/>
      <c r="M44" s="538"/>
    </row>
    <row r="45" spans="1:13" ht="22.5" customHeight="1">
      <c r="A45" s="538"/>
      <c r="B45" s="538"/>
      <c r="C45" s="556"/>
      <c r="D45" s="538"/>
      <c r="E45" s="539"/>
      <c r="F45" s="540"/>
      <c r="G45" s="558"/>
      <c r="H45" s="558"/>
      <c r="I45" s="559"/>
      <c r="J45" s="558"/>
      <c r="K45" s="558"/>
      <c r="L45" s="558"/>
      <c r="M45" s="538"/>
    </row>
    <row r="46" spans="1:13" ht="22.5" customHeight="1">
      <c r="A46" s="977" t="s">
        <v>318</v>
      </c>
      <c r="B46" s="931"/>
      <c r="C46" s="932"/>
      <c r="D46" s="542">
        <f>COUNTA(D43:D45)</f>
        <v>1</v>
      </c>
      <c r="E46" s="543">
        <f>SUM(E43:E45)</f>
        <v>5</v>
      </c>
      <c r="F46" s="544"/>
      <c r="G46" s="544"/>
      <c r="H46" s="545">
        <f>SUM(H43:H45)</f>
        <v>850</v>
      </c>
      <c r="I46" s="544"/>
      <c r="J46" s="544"/>
      <c r="K46" s="544"/>
      <c r="L46" s="544"/>
      <c r="M46" s="544"/>
    </row>
    <row r="47" spans="1:13" ht="18">
      <c r="A47" s="532"/>
      <c r="B47" s="532"/>
      <c r="C47" s="532"/>
      <c r="D47" s="532"/>
      <c r="E47" s="533"/>
      <c r="F47" s="532"/>
      <c r="G47" s="532"/>
      <c r="H47" s="532"/>
      <c r="I47" s="532"/>
      <c r="J47" s="532"/>
      <c r="K47" s="532"/>
      <c r="L47" s="532"/>
      <c r="M47" s="532"/>
    </row>
    <row r="48" spans="1:13" ht="18">
      <c r="A48" s="532"/>
      <c r="B48" s="532"/>
      <c r="C48" s="532"/>
      <c r="D48" s="532"/>
      <c r="E48" s="533"/>
      <c r="F48" s="532"/>
      <c r="G48" s="532"/>
      <c r="H48" s="532"/>
      <c r="I48" s="532"/>
      <c r="J48" s="532"/>
      <c r="K48" s="532"/>
      <c r="L48" s="532"/>
      <c r="M48" s="532"/>
    </row>
    <row r="49" spans="1:13" ht="18">
      <c r="A49" s="532"/>
      <c r="B49" s="532"/>
      <c r="C49" s="532"/>
      <c r="D49" s="532"/>
      <c r="E49" s="533"/>
      <c r="F49" s="532"/>
      <c r="G49" s="532"/>
      <c r="H49" s="532"/>
      <c r="I49" s="532"/>
      <c r="J49" s="532"/>
      <c r="K49" s="532"/>
      <c r="L49" s="532"/>
      <c r="M49" s="532"/>
    </row>
    <row r="50" spans="1:13" ht="13.2">
      <c r="A50" s="944" t="s">
        <v>2315</v>
      </c>
      <c r="B50" s="931"/>
      <c r="C50" s="931"/>
      <c r="D50" s="931"/>
      <c r="E50" s="931"/>
      <c r="F50" s="931"/>
      <c r="G50" s="931"/>
      <c r="H50" s="931"/>
      <c r="I50" s="931"/>
      <c r="J50" s="931"/>
      <c r="K50" s="931"/>
      <c r="L50" s="931"/>
      <c r="M50" s="932"/>
    </row>
    <row r="51" spans="1:13" ht="22.5" customHeight="1">
      <c r="A51" s="530" t="s">
        <v>165</v>
      </c>
      <c r="B51" s="531" t="s">
        <v>166</v>
      </c>
      <c r="C51" s="531" t="s">
        <v>167</v>
      </c>
      <c r="D51" s="532" t="s">
        <v>168</v>
      </c>
      <c r="E51" s="533" t="s">
        <v>169</v>
      </c>
      <c r="F51" s="534" t="s">
        <v>2316</v>
      </c>
      <c r="G51" s="535" t="s">
        <v>2317</v>
      </c>
      <c r="H51" s="532" t="s">
        <v>172</v>
      </c>
      <c r="I51" s="536" t="s">
        <v>2318</v>
      </c>
      <c r="J51" s="536" t="s">
        <v>2319</v>
      </c>
      <c r="K51" s="531" t="s">
        <v>175</v>
      </c>
      <c r="L51" s="531" t="s">
        <v>2320</v>
      </c>
      <c r="M51" s="537" t="s">
        <v>177</v>
      </c>
    </row>
    <row r="52" spans="1:13" ht="22.5" customHeight="1">
      <c r="A52" s="538">
        <v>7</v>
      </c>
      <c r="B52" s="538" t="s">
        <v>2321</v>
      </c>
      <c r="C52" s="560" t="s">
        <v>2322</v>
      </c>
      <c r="D52" s="560" t="s">
        <v>126</v>
      </c>
      <c r="E52" s="561">
        <v>5</v>
      </c>
      <c r="F52" s="540">
        <v>28</v>
      </c>
      <c r="G52" s="541">
        <f t="shared" ref="G52:G53" si="5">F52*5</f>
        <v>140</v>
      </c>
      <c r="H52" s="541">
        <f t="shared" ref="H52:H53" si="6">G52*E52</f>
        <v>700</v>
      </c>
      <c r="I52" s="541">
        <v>720</v>
      </c>
      <c r="J52" s="541">
        <f t="shared" ref="J52:J53" si="7">I52*E52</f>
        <v>3600</v>
      </c>
      <c r="K52" s="541">
        <f t="shared" ref="K52:K53" si="8">I52/2</f>
        <v>360</v>
      </c>
      <c r="L52" s="541">
        <f t="shared" ref="L52:L53" si="9">K52*E52</f>
        <v>1800</v>
      </c>
      <c r="M52" s="538" t="s">
        <v>2323</v>
      </c>
    </row>
    <row r="53" spans="1:13" ht="22.5" customHeight="1">
      <c r="A53" s="538">
        <v>8</v>
      </c>
      <c r="B53" s="538" t="s">
        <v>2324</v>
      </c>
      <c r="C53" s="560" t="s">
        <v>2325</v>
      </c>
      <c r="D53" s="560" t="s">
        <v>115</v>
      </c>
      <c r="E53" s="561">
        <v>5</v>
      </c>
      <c r="F53" s="540">
        <v>28</v>
      </c>
      <c r="G53" s="541">
        <f t="shared" si="5"/>
        <v>140</v>
      </c>
      <c r="H53" s="541">
        <f t="shared" si="6"/>
        <v>700</v>
      </c>
      <c r="I53" s="541">
        <v>720</v>
      </c>
      <c r="J53" s="541">
        <f t="shared" si="7"/>
        <v>3600</v>
      </c>
      <c r="K53" s="541">
        <f t="shared" si="8"/>
        <v>360</v>
      </c>
      <c r="L53" s="541">
        <f t="shared" si="9"/>
        <v>1800</v>
      </c>
      <c r="M53" s="562" t="s">
        <v>1724</v>
      </c>
    </row>
    <row r="54" spans="1:13" ht="22.5" customHeight="1">
      <c r="A54" s="538"/>
      <c r="B54" s="538"/>
      <c r="C54" s="538"/>
      <c r="D54" s="538"/>
      <c r="E54" s="539"/>
      <c r="F54" s="540"/>
      <c r="G54" s="541"/>
      <c r="H54" s="541"/>
      <c r="I54" s="541"/>
      <c r="J54" s="558"/>
      <c r="K54" s="558"/>
      <c r="L54" s="558"/>
      <c r="M54" s="562"/>
    </row>
    <row r="55" spans="1:13" ht="22.5" customHeight="1">
      <c r="A55" s="538"/>
      <c r="B55" s="538"/>
      <c r="C55" s="538"/>
      <c r="D55" s="538"/>
      <c r="E55" s="539"/>
      <c r="F55" s="540"/>
      <c r="G55" s="541"/>
      <c r="H55" s="541"/>
      <c r="I55" s="541"/>
      <c r="J55" s="558"/>
      <c r="K55" s="558"/>
      <c r="L55" s="558"/>
      <c r="M55" s="562"/>
    </row>
    <row r="56" spans="1:13" ht="22.5" customHeight="1">
      <c r="A56" s="538"/>
      <c r="B56" s="520"/>
      <c r="C56" s="563"/>
      <c r="D56" s="563"/>
      <c r="E56" s="564"/>
      <c r="F56" s="540"/>
      <c r="G56" s="541"/>
      <c r="H56" s="541"/>
      <c r="I56" s="541"/>
      <c r="J56" s="541"/>
      <c r="K56" s="541"/>
      <c r="L56" s="541"/>
      <c r="M56" s="538"/>
    </row>
    <row r="57" spans="1:13" ht="22.5" customHeight="1">
      <c r="A57" s="977" t="s">
        <v>318</v>
      </c>
      <c r="B57" s="931"/>
      <c r="C57" s="932"/>
      <c r="D57" s="542">
        <f>COUNTA(D52:D56)</f>
        <v>2</v>
      </c>
      <c r="E57" s="543">
        <f>SUM(E52:E56)</f>
        <v>10</v>
      </c>
      <c r="F57" s="544"/>
      <c r="G57" s="544"/>
      <c r="H57" s="545">
        <f>SUM(H52:H56)</f>
        <v>1400</v>
      </c>
      <c r="I57" s="544"/>
      <c r="J57" s="544"/>
      <c r="K57" s="544"/>
      <c r="L57" s="544"/>
      <c r="M57" s="544"/>
    </row>
    <row r="58" spans="1:13" ht="24.75" customHeight="1">
      <c r="A58" s="516"/>
      <c r="B58" s="516"/>
      <c r="C58" s="516"/>
      <c r="D58" s="516"/>
      <c r="E58" s="525"/>
      <c r="F58" s="516"/>
      <c r="G58" s="516"/>
      <c r="H58" s="516"/>
      <c r="I58" s="516"/>
      <c r="J58" s="516"/>
      <c r="K58" s="516"/>
      <c r="L58" s="516"/>
      <c r="M58" s="516"/>
    </row>
    <row r="59" spans="1:13" ht="18">
      <c r="A59" s="516"/>
      <c r="B59" s="516"/>
      <c r="C59" s="516"/>
      <c r="D59" s="516"/>
      <c r="E59" s="525"/>
      <c r="F59" s="516"/>
      <c r="G59" s="516"/>
      <c r="H59" s="516"/>
      <c r="I59" s="516"/>
      <c r="J59" s="516"/>
      <c r="K59" s="516"/>
      <c r="L59" s="516"/>
      <c r="M59" s="516"/>
    </row>
    <row r="60" spans="1:13" ht="13.2">
      <c r="A60" s="944" t="s">
        <v>36</v>
      </c>
      <c r="B60" s="931"/>
      <c r="C60" s="931"/>
      <c r="D60" s="931"/>
      <c r="E60" s="931"/>
      <c r="F60" s="931"/>
      <c r="G60" s="931"/>
      <c r="H60" s="931"/>
      <c r="I60" s="931"/>
      <c r="J60" s="931"/>
      <c r="K60" s="931"/>
      <c r="L60" s="931"/>
      <c r="M60" s="932"/>
    </row>
    <row r="61" spans="1:13" ht="22.5" customHeight="1">
      <c r="A61" s="530" t="s">
        <v>165</v>
      </c>
      <c r="B61" s="531" t="s">
        <v>166</v>
      </c>
      <c r="C61" s="531" t="s">
        <v>167</v>
      </c>
      <c r="D61" s="532" t="s">
        <v>168</v>
      </c>
      <c r="E61" s="533" t="s">
        <v>169</v>
      </c>
      <c r="F61" s="534" t="s">
        <v>2326</v>
      </c>
      <c r="G61" s="565" t="s">
        <v>2327</v>
      </c>
      <c r="H61" s="532" t="s">
        <v>172</v>
      </c>
      <c r="I61" s="536" t="s">
        <v>2328</v>
      </c>
      <c r="J61" s="536" t="s">
        <v>2329</v>
      </c>
      <c r="K61" s="531" t="s">
        <v>175</v>
      </c>
      <c r="L61" s="531" t="s">
        <v>2330</v>
      </c>
      <c r="M61" s="537" t="s">
        <v>177</v>
      </c>
    </row>
    <row r="62" spans="1:13" ht="22.5" customHeight="1">
      <c r="A62" s="538">
        <v>9</v>
      </c>
      <c r="B62" s="538" t="s">
        <v>2331</v>
      </c>
      <c r="C62" s="538" t="s">
        <v>2332</v>
      </c>
      <c r="D62" s="538" t="s">
        <v>113</v>
      </c>
      <c r="E62" s="539">
        <v>5</v>
      </c>
      <c r="F62" s="540">
        <v>19</v>
      </c>
      <c r="G62" s="558">
        <f t="shared" ref="G62:G63" si="10">F62*5</f>
        <v>95</v>
      </c>
      <c r="H62" s="558">
        <f t="shared" ref="H62:H63" si="11">E62*G62</f>
        <v>475</v>
      </c>
      <c r="I62" s="558">
        <v>720</v>
      </c>
      <c r="J62" s="558">
        <f t="shared" ref="J62:J63" si="12">I62*E62</f>
        <v>3600</v>
      </c>
      <c r="K62" s="558">
        <f t="shared" ref="K62:K63" si="13">I62/2</f>
        <v>360</v>
      </c>
      <c r="L62" s="558">
        <f t="shared" ref="L62:L63" si="14">K62*E62</f>
        <v>1800</v>
      </c>
      <c r="M62" s="538" t="s">
        <v>2290</v>
      </c>
    </row>
    <row r="63" spans="1:13" ht="22.5" customHeight="1">
      <c r="A63" s="538">
        <v>10</v>
      </c>
      <c r="B63" s="538" t="s">
        <v>2333</v>
      </c>
      <c r="C63" s="538" t="s">
        <v>2334</v>
      </c>
      <c r="D63" s="538" t="s">
        <v>113</v>
      </c>
      <c r="E63" s="539">
        <v>5</v>
      </c>
      <c r="F63" s="540">
        <v>19</v>
      </c>
      <c r="G63" s="558">
        <f t="shared" si="10"/>
        <v>95</v>
      </c>
      <c r="H63" s="558">
        <f t="shared" si="11"/>
        <v>475</v>
      </c>
      <c r="I63" s="558">
        <v>720</v>
      </c>
      <c r="J63" s="558">
        <f t="shared" si="12"/>
        <v>3600</v>
      </c>
      <c r="K63" s="558">
        <f t="shared" si="13"/>
        <v>360</v>
      </c>
      <c r="L63" s="558">
        <f t="shared" si="14"/>
        <v>1800</v>
      </c>
      <c r="M63" s="538" t="s">
        <v>2290</v>
      </c>
    </row>
    <row r="64" spans="1:13" ht="22.5" customHeight="1">
      <c r="A64" s="538"/>
      <c r="B64" s="538"/>
      <c r="C64" s="538"/>
      <c r="D64" s="547"/>
      <c r="E64" s="539"/>
      <c r="F64" s="540"/>
      <c r="G64" s="558"/>
      <c r="H64" s="558"/>
      <c r="I64" s="558"/>
      <c r="J64" s="558"/>
      <c r="K64" s="558"/>
      <c r="L64" s="558"/>
      <c r="M64" s="562"/>
    </row>
    <row r="65" spans="1:13" ht="22.5" customHeight="1">
      <c r="A65" s="977" t="s">
        <v>318</v>
      </c>
      <c r="B65" s="931"/>
      <c r="C65" s="932"/>
      <c r="D65" s="542">
        <f>COUNTA(D62:D64)</f>
        <v>2</v>
      </c>
      <c r="E65" s="543">
        <f>SUM(E62:E64)</f>
        <v>10</v>
      </c>
      <c r="F65" s="544"/>
      <c r="G65" s="544"/>
      <c r="H65" s="545">
        <f>SUM(H62:H64)</f>
        <v>950</v>
      </c>
      <c r="I65" s="544"/>
      <c r="J65" s="544"/>
      <c r="K65" s="544"/>
      <c r="L65" s="544"/>
      <c r="M65" s="544"/>
    </row>
    <row r="66" spans="1:13" ht="18">
      <c r="A66" s="516"/>
      <c r="B66" s="516"/>
      <c r="C66" s="516"/>
      <c r="D66" s="516"/>
      <c r="E66" s="525"/>
      <c r="F66" s="516"/>
      <c r="G66" s="516"/>
      <c r="H66" s="516"/>
      <c r="I66" s="516"/>
      <c r="J66" s="516"/>
      <c r="K66" s="516"/>
      <c r="L66" s="516"/>
      <c r="M66" s="516"/>
    </row>
    <row r="67" spans="1:13" ht="18">
      <c r="A67" s="516"/>
      <c r="B67" s="516"/>
      <c r="C67" s="516"/>
      <c r="D67" s="516"/>
      <c r="E67" s="525"/>
      <c r="F67" s="516"/>
      <c r="G67" s="516"/>
      <c r="H67" s="516"/>
      <c r="I67" s="516"/>
      <c r="J67" s="516"/>
      <c r="K67" s="516"/>
      <c r="L67" s="516"/>
      <c r="M67" s="516"/>
    </row>
    <row r="68" spans="1:13" ht="18">
      <c r="A68" s="516"/>
      <c r="B68" s="516"/>
      <c r="C68" s="516"/>
      <c r="D68" s="516"/>
      <c r="E68" s="525"/>
      <c r="F68" s="516"/>
      <c r="G68" s="516"/>
      <c r="H68" s="516"/>
      <c r="I68" s="516"/>
      <c r="J68" s="516"/>
      <c r="K68" s="516"/>
      <c r="L68" s="516"/>
      <c r="M68" s="516"/>
    </row>
    <row r="69" spans="1:13" ht="13.2">
      <c r="A69" s="944" t="s">
        <v>37</v>
      </c>
      <c r="B69" s="931"/>
      <c r="C69" s="931"/>
      <c r="D69" s="931"/>
      <c r="E69" s="931"/>
      <c r="F69" s="931"/>
      <c r="G69" s="931"/>
      <c r="H69" s="931"/>
      <c r="I69" s="931"/>
      <c r="J69" s="931"/>
      <c r="K69" s="931"/>
      <c r="L69" s="931"/>
      <c r="M69" s="932"/>
    </row>
    <row r="70" spans="1:13" ht="22.5" customHeight="1">
      <c r="A70" s="530" t="s">
        <v>165</v>
      </c>
      <c r="B70" s="531" t="s">
        <v>166</v>
      </c>
      <c r="C70" s="531" t="s">
        <v>167</v>
      </c>
      <c r="D70" s="532" t="s">
        <v>168</v>
      </c>
      <c r="E70" s="533" t="s">
        <v>169</v>
      </c>
      <c r="F70" s="534" t="s">
        <v>2335</v>
      </c>
      <c r="G70" s="565" t="s">
        <v>2336</v>
      </c>
      <c r="H70" s="532" t="s">
        <v>172</v>
      </c>
      <c r="I70" s="536" t="s">
        <v>2337</v>
      </c>
      <c r="J70" s="536" t="s">
        <v>2338</v>
      </c>
      <c r="K70" s="531" t="s">
        <v>175</v>
      </c>
      <c r="L70" s="531" t="s">
        <v>2339</v>
      </c>
      <c r="M70" s="537" t="s">
        <v>177</v>
      </c>
    </row>
    <row r="71" spans="1:13" ht="22.5" customHeight="1">
      <c r="A71" s="538">
        <v>11</v>
      </c>
      <c r="B71" s="538" t="s">
        <v>2340</v>
      </c>
      <c r="C71" s="538" t="s">
        <v>2080</v>
      </c>
      <c r="D71" s="538" t="s">
        <v>112</v>
      </c>
      <c r="E71" s="539">
        <v>5</v>
      </c>
      <c r="F71" s="540">
        <v>24</v>
      </c>
      <c r="G71" s="558">
        <f t="shared" ref="G71:G74" si="15">F71*5</f>
        <v>120</v>
      </c>
      <c r="H71" s="558">
        <f t="shared" ref="H71:H74" si="16">G71*E71</f>
        <v>600</v>
      </c>
      <c r="I71" s="558">
        <v>720</v>
      </c>
      <c r="J71" s="558">
        <f t="shared" ref="J71:J74" si="17">I71*E71</f>
        <v>3600</v>
      </c>
      <c r="K71" s="558">
        <f t="shared" ref="K71:K74" si="18">I71/2</f>
        <v>360</v>
      </c>
      <c r="L71" s="558">
        <f t="shared" ref="L71:L74" si="19">K71*E71</f>
        <v>1800</v>
      </c>
      <c r="M71" s="538" t="s">
        <v>2290</v>
      </c>
    </row>
    <row r="72" spans="1:13" ht="22.5" customHeight="1">
      <c r="A72" s="538">
        <v>12</v>
      </c>
      <c r="B72" s="538" t="s">
        <v>2341</v>
      </c>
      <c r="C72" s="538" t="s">
        <v>2342</v>
      </c>
      <c r="D72" s="538" t="s">
        <v>112</v>
      </c>
      <c r="E72" s="539">
        <v>3</v>
      </c>
      <c r="F72" s="540">
        <v>24</v>
      </c>
      <c r="G72" s="558">
        <f t="shared" si="15"/>
        <v>120</v>
      </c>
      <c r="H72" s="558">
        <f t="shared" si="16"/>
        <v>360</v>
      </c>
      <c r="I72" s="558">
        <v>720</v>
      </c>
      <c r="J72" s="558">
        <f t="shared" si="17"/>
        <v>2160</v>
      </c>
      <c r="K72" s="558">
        <f t="shared" si="18"/>
        <v>360</v>
      </c>
      <c r="L72" s="558">
        <f t="shared" si="19"/>
        <v>1080</v>
      </c>
      <c r="M72" s="538" t="s">
        <v>2290</v>
      </c>
    </row>
    <row r="73" spans="1:13" ht="22.5" customHeight="1">
      <c r="A73" s="538">
        <v>13</v>
      </c>
      <c r="B73" s="538" t="s">
        <v>2343</v>
      </c>
      <c r="C73" s="538" t="s">
        <v>2344</v>
      </c>
      <c r="D73" s="538" t="s">
        <v>115</v>
      </c>
      <c r="E73" s="539">
        <v>5.7</v>
      </c>
      <c r="F73" s="540">
        <v>24</v>
      </c>
      <c r="G73" s="558">
        <f t="shared" si="15"/>
        <v>120</v>
      </c>
      <c r="H73" s="558">
        <f t="shared" si="16"/>
        <v>684</v>
      </c>
      <c r="I73" s="558">
        <v>800</v>
      </c>
      <c r="J73" s="558">
        <f t="shared" si="17"/>
        <v>4560</v>
      </c>
      <c r="K73" s="558">
        <f t="shared" si="18"/>
        <v>400</v>
      </c>
      <c r="L73" s="558">
        <f t="shared" si="19"/>
        <v>2280</v>
      </c>
      <c r="M73" s="538" t="s">
        <v>2290</v>
      </c>
    </row>
    <row r="74" spans="1:13" ht="22.5" customHeight="1">
      <c r="A74" s="538">
        <v>14</v>
      </c>
      <c r="B74" s="538" t="s">
        <v>2345</v>
      </c>
      <c r="C74" s="538" t="s">
        <v>2346</v>
      </c>
      <c r="D74" s="538" t="s">
        <v>115</v>
      </c>
      <c r="E74" s="539">
        <v>2.2999999999999998</v>
      </c>
      <c r="F74" s="540">
        <v>24</v>
      </c>
      <c r="G74" s="558">
        <f t="shared" si="15"/>
        <v>120</v>
      </c>
      <c r="H74" s="558">
        <f t="shared" si="16"/>
        <v>276</v>
      </c>
      <c r="I74" s="558">
        <v>800</v>
      </c>
      <c r="J74" s="558">
        <f t="shared" si="17"/>
        <v>1839.9999999999998</v>
      </c>
      <c r="K74" s="558">
        <f t="shared" si="18"/>
        <v>400</v>
      </c>
      <c r="L74" s="558">
        <f t="shared" si="19"/>
        <v>919.99999999999989</v>
      </c>
      <c r="M74" s="538" t="s">
        <v>2323</v>
      </c>
    </row>
    <row r="75" spans="1:13" ht="22.5" customHeight="1">
      <c r="A75" s="977" t="s">
        <v>318</v>
      </c>
      <c r="B75" s="931"/>
      <c r="C75" s="932"/>
      <c r="D75" s="542">
        <f>COUNTA(D71:D74)</f>
        <v>4</v>
      </c>
      <c r="E75" s="543">
        <f>SUM(E71:E74)</f>
        <v>16</v>
      </c>
      <c r="F75" s="544"/>
      <c r="G75" s="544"/>
      <c r="H75" s="545">
        <f>SUM(H71:H74)</f>
        <v>1920</v>
      </c>
      <c r="I75" s="544"/>
      <c r="J75" s="544"/>
      <c r="K75" s="544"/>
      <c r="L75" s="544"/>
      <c r="M75" s="544"/>
    </row>
    <row r="76" spans="1:13" ht="18">
      <c r="A76" s="516"/>
      <c r="B76" s="516"/>
      <c r="C76" s="516"/>
      <c r="D76" s="516"/>
      <c r="E76" s="525"/>
      <c r="F76" s="516"/>
      <c r="G76" s="516"/>
      <c r="H76" s="516"/>
      <c r="I76" s="516"/>
      <c r="J76" s="516"/>
      <c r="K76" s="516"/>
      <c r="L76" s="516"/>
      <c r="M76" s="516"/>
    </row>
    <row r="77" spans="1:13" ht="13.2">
      <c r="A77" s="944" t="s">
        <v>38</v>
      </c>
      <c r="B77" s="931"/>
      <c r="C77" s="931"/>
      <c r="D77" s="931"/>
      <c r="E77" s="931"/>
      <c r="F77" s="931"/>
      <c r="G77" s="931"/>
      <c r="H77" s="931"/>
      <c r="I77" s="931"/>
      <c r="J77" s="931"/>
      <c r="K77" s="931"/>
      <c r="L77" s="931"/>
      <c r="M77" s="932"/>
    </row>
    <row r="78" spans="1:13" ht="22.5" customHeight="1">
      <c r="A78" s="530" t="s">
        <v>165</v>
      </c>
      <c r="B78" s="531" t="s">
        <v>166</v>
      </c>
      <c r="C78" s="531" t="s">
        <v>167</v>
      </c>
      <c r="D78" s="532" t="s">
        <v>168</v>
      </c>
      <c r="E78" s="533" t="s">
        <v>169</v>
      </c>
      <c r="F78" s="534" t="s">
        <v>2347</v>
      </c>
      <c r="G78" s="565" t="s">
        <v>2348</v>
      </c>
      <c r="H78" s="532" t="s">
        <v>172</v>
      </c>
      <c r="I78" s="536" t="s">
        <v>2349</v>
      </c>
      <c r="J78" s="536" t="s">
        <v>2350</v>
      </c>
      <c r="K78" s="531" t="s">
        <v>175</v>
      </c>
      <c r="L78" s="531" t="s">
        <v>2351</v>
      </c>
      <c r="M78" s="537" t="s">
        <v>177</v>
      </c>
    </row>
    <row r="79" spans="1:13" ht="22.5" customHeight="1">
      <c r="A79" s="538">
        <v>15</v>
      </c>
      <c r="B79" s="541" t="s">
        <v>2352</v>
      </c>
      <c r="C79" s="538" t="s">
        <v>2353</v>
      </c>
      <c r="D79" s="538" t="s">
        <v>113</v>
      </c>
      <c r="E79" s="539">
        <v>2.7</v>
      </c>
      <c r="F79" s="540">
        <v>25</v>
      </c>
      <c r="G79" s="558">
        <f t="shared" ref="G79:G82" si="20">F79*5</f>
        <v>125</v>
      </c>
      <c r="H79" s="558">
        <f t="shared" ref="H79:H82" si="21">G79*E79</f>
        <v>337.5</v>
      </c>
      <c r="I79" s="558">
        <v>720</v>
      </c>
      <c r="J79" s="558">
        <f t="shared" ref="J79:J82" si="22">I79*E79</f>
        <v>1944.0000000000002</v>
      </c>
      <c r="K79" s="558">
        <f t="shared" ref="K79:K82" si="23">I79/2</f>
        <v>360</v>
      </c>
      <c r="L79" s="558">
        <f t="shared" ref="L79:L82" si="24">K79*E79</f>
        <v>972.00000000000011</v>
      </c>
      <c r="M79" s="538" t="s">
        <v>2323</v>
      </c>
    </row>
    <row r="80" spans="1:13" ht="22.5" customHeight="1">
      <c r="A80" s="562">
        <v>16</v>
      </c>
      <c r="B80" s="562" t="s">
        <v>2354</v>
      </c>
      <c r="C80" s="566" t="s">
        <v>2355</v>
      </c>
      <c r="D80" s="566" t="s">
        <v>113</v>
      </c>
      <c r="E80" s="567">
        <v>3.5</v>
      </c>
      <c r="F80" s="568">
        <v>25</v>
      </c>
      <c r="G80" s="558">
        <f t="shared" si="20"/>
        <v>125</v>
      </c>
      <c r="H80" s="558">
        <f t="shared" si="21"/>
        <v>437.5</v>
      </c>
      <c r="I80" s="558">
        <v>720</v>
      </c>
      <c r="J80" s="558">
        <f t="shared" si="22"/>
        <v>2520</v>
      </c>
      <c r="K80" s="558">
        <f t="shared" si="23"/>
        <v>360</v>
      </c>
      <c r="L80" s="558">
        <f t="shared" si="24"/>
        <v>1260</v>
      </c>
      <c r="M80" s="554" t="s">
        <v>1724</v>
      </c>
    </row>
    <row r="81" spans="1:13" ht="22.5" customHeight="1">
      <c r="A81" s="562">
        <v>17</v>
      </c>
      <c r="B81" s="569" t="s">
        <v>2356</v>
      </c>
      <c r="C81" s="566" t="s">
        <v>2357</v>
      </c>
      <c r="D81" s="566" t="s">
        <v>112</v>
      </c>
      <c r="E81" s="567">
        <v>5</v>
      </c>
      <c r="F81" s="568">
        <v>29</v>
      </c>
      <c r="G81" s="558">
        <f t="shared" si="20"/>
        <v>145</v>
      </c>
      <c r="H81" s="558">
        <f t="shared" si="21"/>
        <v>725</v>
      </c>
      <c r="I81" s="558">
        <v>720</v>
      </c>
      <c r="J81" s="558">
        <f t="shared" si="22"/>
        <v>3600</v>
      </c>
      <c r="K81" s="558">
        <f t="shared" si="23"/>
        <v>360</v>
      </c>
      <c r="L81" s="558">
        <f t="shared" si="24"/>
        <v>1800</v>
      </c>
      <c r="M81" s="554" t="s">
        <v>1724</v>
      </c>
    </row>
    <row r="82" spans="1:13" ht="22.5" customHeight="1">
      <c r="A82" s="538">
        <v>18</v>
      </c>
      <c r="B82" s="541" t="s">
        <v>2358</v>
      </c>
      <c r="C82" s="538" t="s">
        <v>2359</v>
      </c>
      <c r="D82" s="538" t="s">
        <v>112</v>
      </c>
      <c r="E82" s="539">
        <v>5</v>
      </c>
      <c r="F82" s="540">
        <v>29</v>
      </c>
      <c r="G82" s="558">
        <f t="shared" si="20"/>
        <v>145</v>
      </c>
      <c r="H82" s="558">
        <f t="shared" si="21"/>
        <v>725</v>
      </c>
      <c r="I82" s="558">
        <v>720</v>
      </c>
      <c r="J82" s="558">
        <f t="shared" si="22"/>
        <v>3600</v>
      </c>
      <c r="K82" s="558">
        <f t="shared" si="23"/>
        <v>360</v>
      </c>
      <c r="L82" s="558">
        <f t="shared" si="24"/>
        <v>1800</v>
      </c>
      <c r="M82" s="538" t="s">
        <v>1724</v>
      </c>
    </row>
    <row r="83" spans="1:13" ht="22.5" customHeight="1">
      <c r="A83" s="538"/>
      <c r="B83" s="541"/>
      <c r="C83" s="538"/>
      <c r="D83" s="538"/>
      <c r="E83" s="539"/>
      <c r="F83" s="540"/>
      <c r="G83" s="558"/>
      <c r="H83" s="558"/>
      <c r="I83" s="558"/>
      <c r="J83" s="558"/>
      <c r="K83" s="558"/>
      <c r="L83" s="558"/>
      <c r="M83" s="538"/>
    </row>
    <row r="84" spans="1:13" ht="22.5" customHeight="1">
      <c r="A84" s="977" t="s">
        <v>318</v>
      </c>
      <c r="B84" s="931"/>
      <c r="C84" s="932"/>
      <c r="D84" s="542">
        <f>COUNTA(D79:D83)</f>
        <v>4</v>
      </c>
      <c r="E84" s="543">
        <f>SUM(E79:E83)</f>
        <v>16.2</v>
      </c>
      <c r="F84" s="544"/>
      <c r="G84" s="544"/>
      <c r="H84" s="545">
        <f>SUM(H79:H83)</f>
        <v>2225</v>
      </c>
      <c r="I84" s="544"/>
      <c r="J84" s="544"/>
      <c r="K84" s="544"/>
      <c r="L84" s="544"/>
      <c r="M84" s="544"/>
    </row>
    <row r="85" spans="1:13" ht="18">
      <c r="A85" s="516"/>
      <c r="B85" s="516"/>
      <c r="C85" s="516"/>
      <c r="D85" s="516"/>
      <c r="E85" s="525"/>
      <c r="F85" s="516"/>
      <c r="G85" s="516"/>
      <c r="H85" s="516"/>
      <c r="I85" s="516"/>
      <c r="J85" s="516"/>
      <c r="K85" s="516"/>
      <c r="L85" s="516"/>
      <c r="M85" s="516"/>
    </row>
    <row r="86" spans="1:13" ht="18">
      <c r="A86" s="516"/>
      <c r="B86" s="516"/>
      <c r="C86" s="516"/>
      <c r="D86" s="516"/>
      <c r="E86" s="525"/>
      <c r="F86" s="516"/>
      <c r="G86" s="516"/>
      <c r="H86" s="516"/>
      <c r="I86" s="516"/>
      <c r="J86" s="516"/>
      <c r="K86" s="516"/>
      <c r="L86" s="516"/>
      <c r="M86" s="516"/>
    </row>
    <row r="87" spans="1:13" ht="19.8">
      <c r="A87" s="980" t="s">
        <v>39</v>
      </c>
      <c r="B87" s="931"/>
      <c r="C87" s="931"/>
      <c r="D87" s="931"/>
      <c r="E87" s="931"/>
      <c r="F87" s="931"/>
      <c r="G87" s="931"/>
      <c r="H87" s="931"/>
      <c r="I87" s="931"/>
      <c r="J87" s="931"/>
      <c r="K87" s="931"/>
      <c r="L87" s="931"/>
      <c r="M87" s="932"/>
    </row>
    <row r="88" spans="1:13" ht="22.5" customHeight="1">
      <c r="A88" s="570" t="s">
        <v>165</v>
      </c>
      <c r="B88" s="571" t="s">
        <v>166</v>
      </c>
      <c r="C88" s="571" t="s">
        <v>167</v>
      </c>
      <c r="D88" s="572" t="s">
        <v>168</v>
      </c>
      <c r="E88" s="573" t="s">
        <v>169</v>
      </c>
      <c r="F88" s="284" t="s">
        <v>2360</v>
      </c>
      <c r="G88" s="285" t="s">
        <v>2361</v>
      </c>
      <c r="H88" s="255" t="s">
        <v>172</v>
      </c>
      <c r="I88" s="286" t="s">
        <v>2362</v>
      </c>
      <c r="J88" s="286" t="s">
        <v>2363</v>
      </c>
      <c r="K88" s="282" t="s">
        <v>175</v>
      </c>
      <c r="L88" s="282" t="s">
        <v>2364</v>
      </c>
      <c r="M88" s="287" t="s">
        <v>177</v>
      </c>
    </row>
    <row r="89" spans="1:13" ht="22.5" customHeight="1">
      <c r="A89" s="566">
        <v>19</v>
      </c>
      <c r="B89" s="566" t="s">
        <v>2365</v>
      </c>
      <c r="C89" s="566" t="s">
        <v>2366</v>
      </c>
      <c r="D89" s="566" t="s">
        <v>113</v>
      </c>
      <c r="E89" s="567">
        <v>5</v>
      </c>
      <c r="F89" s="568">
        <v>20</v>
      </c>
      <c r="G89" s="574">
        <f>F89*5</f>
        <v>100</v>
      </c>
      <c r="H89" s="574">
        <f>E89*G89</f>
        <v>500</v>
      </c>
      <c r="I89" s="575">
        <v>720</v>
      </c>
      <c r="J89" s="576">
        <f>I89*E89</f>
        <v>3600</v>
      </c>
      <c r="K89" s="576">
        <f>I89/2</f>
        <v>360</v>
      </c>
      <c r="L89" s="576">
        <f>K89*E89</f>
        <v>1800</v>
      </c>
      <c r="M89" s="566" t="s">
        <v>2290</v>
      </c>
    </row>
    <row r="90" spans="1:13" ht="22.5" customHeight="1">
      <c r="A90" s="566"/>
      <c r="B90" s="566"/>
      <c r="C90" s="566"/>
      <c r="D90" s="566"/>
      <c r="E90" s="567"/>
      <c r="F90" s="568"/>
      <c r="G90" s="574"/>
      <c r="H90" s="574"/>
      <c r="I90" s="575"/>
      <c r="J90" s="576"/>
      <c r="K90" s="576"/>
      <c r="L90" s="576"/>
      <c r="M90" s="566"/>
    </row>
    <row r="91" spans="1:13" ht="22.5" customHeight="1">
      <c r="A91" s="978" t="s">
        <v>318</v>
      </c>
      <c r="B91" s="931"/>
      <c r="C91" s="932"/>
      <c r="D91" s="542">
        <f>COUNTA(D89:D90)</f>
        <v>1</v>
      </c>
      <c r="E91" s="577">
        <f>SUM(E89:E90)</f>
        <v>5</v>
      </c>
      <c r="F91" s="578"/>
      <c r="G91" s="578"/>
      <c r="H91" s="579">
        <f>SUM(H89:H90)</f>
        <v>500</v>
      </c>
      <c r="I91" s="578"/>
      <c r="J91" s="578"/>
      <c r="K91" s="578"/>
      <c r="L91" s="578"/>
      <c r="M91" s="578"/>
    </row>
    <row r="92" spans="1:13" ht="16.2">
      <c r="A92" s="526"/>
      <c r="B92" s="526"/>
      <c r="C92" s="526"/>
      <c r="D92" s="526"/>
      <c r="E92" s="524"/>
      <c r="F92" s="526"/>
      <c r="G92" s="526"/>
      <c r="H92" s="526"/>
      <c r="I92" s="526"/>
      <c r="J92" s="526"/>
      <c r="K92" s="526"/>
      <c r="L92" s="526"/>
      <c r="M92" s="526"/>
    </row>
    <row r="93" spans="1:13" ht="18">
      <c r="A93" s="516"/>
      <c r="B93" s="516"/>
      <c r="C93" s="516"/>
      <c r="D93" s="516"/>
      <c r="E93" s="525"/>
      <c r="F93" s="516"/>
      <c r="G93" s="516"/>
      <c r="H93" s="516"/>
      <c r="I93" s="516"/>
      <c r="J93" s="516"/>
      <c r="K93" s="516"/>
      <c r="L93" s="516"/>
      <c r="M93" s="516"/>
    </row>
    <row r="94" spans="1:13" ht="18">
      <c r="A94" s="516"/>
      <c r="B94" s="516"/>
      <c r="C94" s="516"/>
      <c r="D94" s="516"/>
      <c r="E94" s="525"/>
      <c r="F94" s="516"/>
      <c r="G94" s="516"/>
      <c r="H94" s="516"/>
      <c r="I94" s="516"/>
      <c r="J94" s="516"/>
      <c r="K94" s="516"/>
      <c r="L94" s="516"/>
      <c r="M94" s="516"/>
    </row>
    <row r="95" spans="1:13" ht="19.8">
      <c r="A95" s="980" t="s">
        <v>40</v>
      </c>
      <c r="B95" s="931"/>
      <c r="C95" s="931"/>
      <c r="D95" s="931"/>
      <c r="E95" s="931"/>
      <c r="F95" s="931"/>
      <c r="G95" s="931"/>
      <c r="H95" s="931"/>
      <c r="I95" s="931"/>
      <c r="J95" s="931"/>
      <c r="K95" s="931"/>
      <c r="L95" s="931"/>
      <c r="M95" s="932"/>
    </row>
    <row r="96" spans="1:13" ht="22.5" customHeight="1">
      <c r="A96" s="570" t="s">
        <v>165</v>
      </c>
      <c r="B96" s="571" t="s">
        <v>166</v>
      </c>
      <c r="C96" s="571" t="s">
        <v>167</v>
      </c>
      <c r="D96" s="572" t="s">
        <v>168</v>
      </c>
      <c r="E96" s="573" t="s">
        <v>169</v>
      </c>
      <c r="F96" s="284" t="s">
        <v>2367</v>
      </c>
      <c r="G96" s="285" t="s">
        <v>2368</v>
      </c>
      <c r="H96" s="255" t="s">
        <v>172</v>
      </c>
      <c r="I96" s="286" t="s">
        <v>2369</v>
      </c>
      <c r="J96" s="286" t="s">
        <v>2370</v>
      </c>
      <c r="K96" s="282" t="s">
        <v>175</v>
      </c>
      <c r="L96" s="282" t="s">
        <v>2371</v>
      </c>
      <c r="M96" s="287" t="s">
        <v>177</v>
      </c>
    </row>
    <row r="97" spans="1:13" ht="22.5" customHeight="1">
      <c r="A97" s="566"/>
      <c r="B97" s="566"/>
      <c r="C97" s="566"/>
      <c r="D97" s="566"/>
      <c r="E97" s="567"/>
      <c r="F97" s="568"/>
      <c r="G97" s="574"/>
      <c r="H97" s="574"/>
      <c r="I97" s="575"/>
      <c r="J97" s="576"/>
      <c r="K97" s="576"/>
      <c r="L97" s="576"/>
      <c r="M97" s="566"/>
    </row>
    <row r="98" spans="1:13" ht="22.5" customHeight="1">
      <c r="A98" s="566"/>
      <c r="B98" s="566"/>
      <c r="C98" s="566"/>
      <c r="D98" s="566"/>
      <c r="E98" s="567"/>
      <c r="F98" s="568"/>
      <c r="G98" s="574"/>
      <c r="H98" s="574"/>
      <c r="I98" s="575"/>
      <c r="J98" s="576"/>
      <c r="K98" s="576"/>
      <c r="L98" s="576"/>
      <c r="M98" s="566"/>
    </row>
    <row r="99" spans="1:13" ht="22.5" customHeight="1">
      <c r="A99" s="978" t="s">
        <v>318</v>
      </c>
      <c r="B99" s="931"/>
      <c r="C99" s="932"/>
      <c r="D99" s="542">
        <f>COUNTA(D97:D98)</f>
        <v>0</v>
      </c>
      <c r="E99" s="577">
        <f>SUM(E97:E98)</f>
        <v>0</v>
      </c>
      <c r="F99" s="578"/>
      <c r="G99" s="578"/>
      <c r="H99" s="579">
        <f>SUM(H97:H98)</f>
        <v>0</v>
      </c>
      <c r="I99" s="578"/>
      <c r="J99" s="578"/>
      <c r="K99" s="578"/>
      <c r="L99" s="578"/>
      <c r="M99" s="578"/>
    </row>
    <row r="100" spans="1:13" ht="18">
      <c r="A100" s="516"/>
      <c r="B100" s="516"/>
      <c r="C100" s="516"/>
      <c r="D100" s="516"/>
      <c r="E100" s="525"/>
      <c r="F100" s="516"/>
      <c r="G100" s="516"/>
      <c r="H100" s="516"/>
      <c r="I100" s="516"/>
      <c r="J100" s="516"/>
      <c r="K100" s="516"/>
      <c r="L100" s="516"/>
      <c r="M100" s="516"/>
    </row>
    <row r="101" spans="1:13" ht="18">
      <c r="A101" s="516"/>
      <c r="B101" s="516"/>
      <c r="C101" s="516"/>
      <c r="D101" s="516"/>
      <c r="E101" s="525"/>
      <c r="F101" s="516"/>
      <c r="G101" s="516"/>
      <c r="H101" s="516"/>
      <c r="I101" s="516"/>
      <c r="J101" s="516"/>
      <c r="K101" s="516"/>
      <c r="L101" s="516"/>
      <c r="M101" s="516"/>
    </row>
    <row r="102" spans="1:13" ht="18">
      <c r="A102" s="516"/>
      <c r="B102" s="516"/>
      <c r="C102" s="516"/>
      <c r="D102" s="516"/>
      <c r="E102" s="525"/>
      <c r="F102" s="516"/>
      <c r="G102" s="516"/>
      <c r="H102" s="516"/>
      <c r="I102" s="516"/>
      <c r="J102" s="516"/>
      <c r="K102" s="516"/>
      <c r="L102" s="516"/>
      <c r="M102" s="516"/>
    </row>
    <row r="103" spans="1:13" ht="18">
      <c r="A103" s="516"/>
      <c r="B103" s="516"/>
      <c r="C103" s="516"/>
      <c r="D103" s="516"/>
      <c r="E103" s="525"/>
      <c r="F103" s="516"/>
      <c r="G103" s="516"/>
      <c r="H103" s="516"/>
      <c r="I103" s="516"/>
      <c r="J103" s="516"/>
      <c r="K103" s="516"/>
      <c r="L103" s="516"/>
      <c r="M103" s="516"/>
    </row>
    <row r="104" spans="1:13" ht="18">
      <c r="A104" s="516"/>
      <c r="B104" s="516"/>
      <c r="C104" s="516"/>
      <c r="D104" s="516"/>
      <c r="E104" s="525"/>
      <c r="F104" s="516"/>
      <c r="G104" s="516"/>
      <c r="H104" s="516"/>
      <c r="I104" s="516"/>
      <c r="J104" s="516"/>
      <c r="K104" s="516"/>
      <c r="L104" s="516"/>
      <c r="M104" s="516"/>
    </row>
    <row r="105" spans="1:13" ht="19.8">
      <c r="A105" s="980" t="s">
        <v>41</v>
      </c>
      <c r="B105" s="931"/>
      <c r="C105" s="931"/>
      <c r="D105" s="931"/>
      <c r="E105" s="931"/>
      <c r="F105" s="931"/>
      <c r="G105" s="931"/>
      <c r="H105" s="931"/>
      <c r="I105" s="931"/>
      <c r="J105" s="931"/>
      <c r="K105" s="931"/>
      <c r="L105" s="931"/>
      <c r="M105" s="932"/>
    </row>
    <row r="106" spans="1:13" ht="22.5" customHeight="1">
      <c r="A106" s="570" t="s">
        <v>165</v>
      </c>
      <c r="B106" s="571" t="s">
        <v>166</v>
      </c>
      <c r="C106" s="571" t="s">
        <v>167</v>
      </c>
      <c r="D106" s="526" t="s">
        <v>168</v>
      </c>
      <c r="E106" s="573" t="s">
        <v>169</v>
      </c>
      <c r="F106" s="284" t="s">
        <v>2372</v>
      </c>
      <c r="G106" s="285" t="s">
        <v>2373</v>
      </c>
      <c r="H106" s="255" t="s">
        <v>172</v>
      </c>
      <c r="I106" s="286" t="s">
        <v>2374</v>
      </c>
      <c r="J106" s="286" t="s">
        <v>2375</v>
      </c>
      <c r="K106" s="282" t="s">
        <v>175</v>
      </c>
      <c r="L106" s="282" t="s">
        <v>2376</v>
      </c>
      <c r="M106" s="287" t="s">
        <v>177</v>
      </c>
    </row>
    <row r="107" spans="1:13" ht="22.5" customHeight="1">
      <c r="A107" s="562">
        <v>20</v>
      </c>
      <c r="B107" s="580" t="s">
        <v>2377</v>
      </c>
      <c r="C107" s="581" t="s">
        <v>2378</v>
      </c>
      <c r="D107" s="562" t="s">
        <v>115</v>
      </c>
      <c r="E107" s="582">
        <v>4.4000000000000004</v>
      </c>
      <c r="F107" s="583">
        <v>40</v>
      </c>
      <c r="G107" s="584">
        <f>F107*5</f>
        <v>200</v>
      </c>
      <c r="H107" s="584">
        <f>G107*E107</f>
        <v>880.00000000000011</v>
      </c>
      <c r="I107" s="584">
        <f>G107*5</f>
        <v>1000</v>
      </c>
      <c r="J107" s="584">
        <f>E107*I107</f>
        <v>4400</v>
      </c>
      <c r="K107" s="584">
        <f>I107/2</f>
        <v>500</v>
      </c>
      <c r="L107" s="584">
        <f>K107*E107</f>
        <v>2200</v>
      </c>
      <c r="M107" s="562" t="s">
        <v>2323</v>
      </c>
    </row>
    <row r="108" spans="1:13" ht="22.5" customHeight="1">
      <c r="A108" s="562"/>
      <c r="B108" s="580"/>
      <c r="C108" s="581"/>
      <c r="D108" s="562"/>
      <c r="E108" s="582"/>
      <c r="F108" s="583"/>
      <c r="G108" s="584"/>
      <c r="H108" s="584"/>
      <c r="I108" s="584"/>
      <c r="J108" s="584"/>
      <c r="K108" s="584"/>
      <c r="L108" s="584"/>
      <c r="M108" s="562"/>
    </row>
    <row r="109" spans="1:13" ht="22.5" customHeight="1">
      <c r="A109" s="562"/>
      <c r="B109" s="562"/>
      <c r="C109" s="562"/>
      <c r="D109" s="562"/>
      <c r="E109" s="582"/>
      <c r="F109" s="583"/>
      <c r="G109" s="584"/>
      <c r="H109" s="584"/>
      <c r="I109" s="584"/>
      <c r="J109" s="584"/>
      <c r="K109" s="584"/>
      <c r="L109" s="584"/>
      <c r="M109" s="562"/>
    </row>
    <row r="110" spans="1:13" ht="22.5" customHeight="1">
      <c r="A110" s="978" t="s">
        <v>318</v>
      </c>
      <c r="B110" s="931"/>
      <c r="C110" s="585"/>
      <c r="D110" s="586">
        <f>COUNTA(D107:D109)</f>
        <v>1</v>
      </c>
      <c r="E110" s="587">
        <f>SUM(E106:E109)</f>
        <v>4.4000000000000004</v>
      </c>
      <c r="F110" s="578"/>
      <c r="G110" s="578"/>
      <c r="H110" s="579">
        <f>SUM(H107:H109)</f>
        <v>880.00000000000011</v>
      </c>
      <c r="I110" s="578"/>
      <c r="J110" s="578"/>
      <c r="K110" s="578"/>
      <c r="L110" s="578"/>
      <c r="M110" s="578"/>
    </row>
    <row r="111" spans="1:13" ht="18">
      <c r="A111" s="516"/>
      <c r="B111" s="516"/>
      <c r="C111" s="516"/>
      <c r="D111" s="516"/>
      <c r="E111" s="525"/>
      <c r="F111" s="516"/>
      <c r="G111" s="516"/>
      <c r="H111" s="516"/>
      <c r="I111" s="516"/>
      <c r="J111" s="516"/>
      <c r="K111" s="516"/>
      <c r="L111" s="516"/>
      <c r="M111" s="516"/>
    </row>
    <row r="112" spans="1:13" ht="18">
      <c r="A112" s="516"/>
      <c r="B112" s="516"/>
      <c r="C112" s="516"/>
      <c r="D112" s="516"/>
      <c r="E112" s="525"/>
      <c r="F112" s="516"/>
      <c r="G112" s="516"/>
      <c r="H112" s="516"/>
      <c r="I112" s="516"/>
      <c r="J112" s="516"/>
      <c r="K112" s="516"/>
      <c r="L112" s="516"/>
      <c r="M112" s="516"/>
    </row>
    <row r="113" spans="1:13" ht="18">
      <c r="A113" s="516"/>
      <c r="B113" s="516"/>
      <c r="C113" s="516"/>
      <c r="D113" s="516"/>
      <c r="E113" s="525"/>
      <c r="F113" s="516"/>
      <c r="G113" s="516"/>
      <c r="H113" s="516"/>
      <c r="I113" s="516"/>
      <c r="J113" s="516"/>
      <c r="K113" s="516"/>
      <c r="L113" s="516"/>
      <c r="M113" s="516"/>
    </row>
    <row r="114" spans="1:13" ht="19.8">
      <c r="A114" s="980" t="s">
        <v>42</v>
      </c>
      <c r="B114" s="931"/>
      <c r="C114" s="931"/>
      <c r="D114" s="931"/>
      <c r="E114" s="931"/>
      <c r="F114" s="931"/>
      <c r="G114" s="931"/>
      <c r="H114" s="931"/>
      <c r="I114" s="931"/>
      <c r="J114" s="931"/>
      <c r="K114" s="931"/>
      <c r="L114" s="931"/>
      <c r="M114" s="932"/>
    </row>
    <row r="115" spans="1:13" ht="22.5" customHeight="1">
      <c r="A115" s="570" t="s">
        <v>165</v>
      </c>
      <c r="B115" s="571" t="s">
        <v>166</v>
      </c>
      <c r="C115" s="571" t="s">
        <v>167</v>
      </c>
      <c r="D115" s="572" t="s">
        <v>168</v>
      </c>
      <c r="E115" s="573" t="s">
        <v>169</v>
      </c>
      <c r="F115" s="284" t="s">
        <v>2379</v>
      </c>
      <c r="G115" s="285" t="s">
        <v>2380</v>
      </c>
      <c r="H115" s="255" t="s">
        <v>172</v>
      </c>
      <c r="I115" s="286" t="s">
        <v>2381</v>
      </c>
      <c r="J115" s="286" t="s">
        <v>2382</v>
      </c>
      <c r="K115" s="282" t="s">
        <v>175</v>
      </c>
      <c r="L115" s="282" t="s">
        <v>2383</v>
      </c>
      <c r="M115" s="287" t="s">
        <v>177</v>
      </c>
    </row>
    <row r="116" spans="1:13" ht="22.5" customHeight="1">
      <c r="A116" s="566"/>
      <c r="B116" s="566"/>
      <c r="C116" s="588"/>
      <c r="D116" s="588"/>
      <c r="E116" s="589"/>
      <c r="F116" s="590"/>
      <c r="G116" s="591"/>
      <c r="H116" s="591"/>
      <c r="I116" s="591"/>
      <c r="J116" s="591"/>
      <c r="K116" s="591"/>
      <c r="L116" s="591"/>
      <c r="M116" s="554"/>
    </row>
    <row r="117" spans="1:13" ht="22.5" customHeight="1">
      <c r="A117" s="566"/>
      <c r="B117" s="566"/>
      <c r="C117" s="588"/>
      <c r="D117" s="588"/>
      <c r="E117" s="589"/>
      <c r="F117" s="590"/>
      <c r="G117" s="591"/>
      <c r="H117" s="591"/>
      <c r="I117" s="591"/>
      <c r="J117" s="591"/>
      <c r="K117" s="591"/>
      <c r="L117" s="591"/>
      <c r="M117" s="554"/>
    </row>
    <row r="118" spans="1:13" ht="22.5" customHeight="1">
      <c r="A118" s="978" t="s">
        <v>318</v>
      </c>
      <c r="B118" s="931"/>
      <c r="C118" s="932"/>
      <c r="D118" s="542">
        <f>COUNTA(D116:D117)</f>
        <v>0</v>
      </c>
      <c r="E118" s="577">
        <f>SUM(E116:E117)</f>
        <v>0</v>
      </c>
      <c r="F118" s="578"/>
      <c r="G118" s="578"/>
      <c r="H118" s="579">
        <f>SUM(H116:H117)</f>
        <v>0</v>
      </c>
      <c r="I118" s="578"/>
      <c r="J118" s="578"/>
      <c r="K118" s="578"/>
      <c r="L118" s="578"/>
      <c r="M118" s="578"/>
    </row>
    <row r="119" spans="1:13" ht="18">
      <c r="A119" s="516"/>
      <c r="B119" s="516"/>
      <c r="C119" s="516"/>
      <c r="D119" s="516"/>
      <c r="E119" s="525"/>
      <c r="F119" s="516"/>
      <c r="G119" s="516"/>
      <c r="H119" s="516"/>
      <c r="I119" s="516"/>
      <c r="J119" s="516"/>
      <c r="K119" s="516"/>
      <c r="L119" s="516"/>
      <c r="M119" s="516"/>
    </row>
    <row r="120" spans="1:13" ht="18">
      <c r="A120" s="516"/>
      <c r="B120" s="516"/>
      <c r="C120" s="516"/>
      <c r="D120" s="516"/>
      <c r="E120" s="525"/>
      <c r="F120" s="516"/>
      <c r="G120" s="516"/>
      <c r="H120" s="516"/>
      <c r="I120" s="516"/>
      <c r="J120" s="516"/>
      <c r="K120" s="516"/>
      <c r="L120" s="516"/>
      <c r="M120" s="516"/>
    </row>
    <row r="121" spans="1:13" ht="19.8">
      <c r="A121" s="980" t="s">
        <v>43</v>
      </c>
      <c r="B121" s="931"/>
      <c r="C121" s="931"/>
      <c r="D121" s="931"/>
      <c r="E121" s="931"/>
      <c r="F121" s="931"/>
      <c r="G121" s="931"/>
      <c r="H121" s="931"/>
      <c r="I121" s="931"/>
      <c r="J121" s="931"/>
      <c r="K121" s="931"/>
      <c r="L121" s="931"/>
      <c r="M121" s="932"/>
    </row>
    <row r="122" spans="1:13" ht="22.5" customHeight="1">
      <c r="A122" s="570" t="s">
        <v>165</v>
      </c>
      <c r="B122" s="571" t="s">
        <v>166</v>
      </c>
      <c r="C122" s="571" t="s">
        <v>167</v>
      </c>
      <c r="D122" s="572" t="s">
        <v>168</v>
      </c>
      <c r="E122" s="573" t="s">
        <v>169</v>
      </c>
      <c r="F122" s="284" t="s">
        <v>2384</v>
      </c>
      <c r="G122" s="285" t="s">
        <v>2385</v>
      </c>
      <c r="H122" s="255" t="s">
        <v>172</v>
      </c>
      <c r="I122" s="286" t="s">
        <v>2386</v>
      </c>
      <c r="J122" s="286" t="s">
        <v>2387</v>
      </c>
      <c r="K122" s="282" t="s">
        <v>175</v>
      </c>
      <c r="L122" s="282" t="s">
        <v>2388</v>
      </c>
      <c r="M122" s="287" t="s">
        <v>177</v>
      </c>
    </row>
    <row r="123" spans="1:13" ht="22.5" customHeight="1">
      <c r="A123" s="566"/>
      <c r="B123" s="566"/>
      <c r="C123" s="588"/>
      <c r="D123" s="588"/>
      <c r="E123" s="589"/>
      <c r="F123" s="590"/>
      <c r="G123" s="591"/>
      <c r="H123" s="591"/>
      <c r="I123" s="591"/>
      <c r="J123" s="591"/>
      <c r="K123" s="591"/>
      <c r="L123" s="591"/>
      <c r="M123" s="554"/>
    </row>
    <row r="124" spans="1:13" ht="22.5" customHeight="1">
      <c r="A124" s="566"/>
      <c r="B124" s="566"/>
      <c r="C124" s="588"/>
      <c r="D124" s="588"/>
      <c r="E124" s="589"/>
      <c r="F124" s="590"/>
      <c r="G124" s="591"/>
      <c r="H124" s="591"/>
      <c r="I124" s="591"/>
      <c r="J124" s="591"/>
      <c r="K124" s="591"/>
      <c r="L124" s="591"/>
      <c r="M124" s="554"/>
    </row>
    <row r="125" spans="1:13" ht="22.5" customHeight="1">
      <c r="A125" s="978" t="s">
        <v>318</v>
      </c>
      <c r="B125" s="931"/>
      <c r="C125" s="932"/>
      <c r="D125" s="542">
        <f>COUNTA(D123:D124)</f>
        <v>0</v>
      </c>
      <c r="E125" s="577">
        <f>SUM(E123:E124)</f>
        <v>0</v>
      </c>
      <c r="F125" s="578"/>
      <c r="G125" s="578"/>
      <c r="H125" s="579">
        <f>SUM(H123:H124)</f>
        <v>0</v>
      </c>
      <c r="I125" s="578"/>
      <c r="J125" s="578"/>
      <c r="K125" s="578"/>
      <c r="L125" s="578"/>
      <c r="M125" s="578"/>
    </row>
    <row r="126" spans="1:13" ht="18">
      <c r="A126" s="516"/>
      <c r="B126" s="516"/>
      <c r="C126" s="516"/>
      <c r="D126" s="516"/>
      <c r="E126" s="525"/>
      <c r="F126" s="516"/>
      <c r="G126" s="516"/>
      <c r="H126" s="516"/>
      <c r="I126" s="516"/>
      <c r="J126" s="516"/>
      <c r="K126" s="516"/>
      <c r="L126" s="516"/>
      <c r="M126" s="516"/>
    </row>
    <row r="127" spans="1:13" ht="18">
      <c r="A127" s="516"/>
      <c r="B127" s="516"/>
      <c r="C127" s="516"/>
      <c r="D127" s="516"/>
      <c r="E127" s="525"/>
      <c r="F127" s="516"/>
      <c r="G127" s="516"/>
      <c r="H127" s="516"/>
      <c r="I127" s="516"/>
      <c r="J127" s="516"/>
      <c r="K127" s="516"/>
      <c r="L127" s="516"/>
      <c r="M127" s="516"/>
    </row>
    <row r="128" spans="1:13" ht="19.8">
      <c r="A128" s="980" t="s">
        <v>44</v>
      </c>
      <c r="B128" s="931"/>
      <c r="C128" s="931"/>
      <c r="D128" s="931"/>
      <c r="E128" s="931"/>
      <c r="F128" s="931"/>
      <c r="G128" s="931"/>
      <c r="H128" s="931"/>
      <c r="I128" s="931"/>
      <c r="J128" s="931"/>
      <c r="K128" s="931"/>
      <c r="L128" s="931"/>
      <c r="M128" s="932"/>
    </row>
    <row r="129" spans="1:13" ht="22.5" customHeight="1">
      <c r="A129" s="570" t="s">
        <v>165</v>
      </c>
      <c r="B129" s="571" t="s">
        <v>166</v>
      </c>
      <c r="C129" s="571" t="s">
        <v>167</v>
      </c>
      <c r="D129" s="572" t="s">
        <v>168</v>
      </c>
      <c r="E129" s="573" t="s">
        <v>169</v>
      </c>
      <c r="F129" s="284" t="s">
        <v>2389</v>
      </c>
      <c r="G129" s="285" t="s">
        <v>2390</v>
      </c>
      <c r="H129" s="255" t="s">
        <v>172</v>
      </c>
      <c r="I129" s="286" t="s">
        <v>2391</v>
      </c>
      <c r="J129" s="286" t="s">
        <v>2392</v>
      </c>
      <c r="K129" s="282" t="s">
        <v>175</v>
      </c>
      <c r="L129" s="282" t="s">
        <v>2393</v>
      </c>
      <c r="M129" s="287" t="s">
        <v>177</v>
      </c>
    </row>
    <row r="130" spans="1:13" ht="22.5" customHeight="1">
      <c r="A130" s="566">
        <v>21</v>
      </c>
      <c r="B130" s="566" t="s">
        <v>2394</v>
      </c>
      <c r="C130" s="588" t="s">
        <v>2395</v>
      </c>
      <c r="D130" s="588" t="s">
        <v>114</v>
      </c>
      <c r="E130" s="589">
        <v>5.5</v>
      </c>
      <c r="F130" s="590">
        <v>19</v>
      </c>
      <c r="G130" s="574">
        <f>F130*5</f>
        <v>95</v>
      </c>
      <c r="H130" s="574">
        <f>E130*G130</f>
        <v>522.5</v>
      </c>
      <c r="I130" s="574">
        <v>720</v>
      </c>
      <c r="J130" s="574">
        <f>I130*E130</f>
        <v>3960</v>
      </c>
      <c r="K130" s="574">
        <f>I130/2</f>
        <v>360</v>
      </c>
      <c r="L130" s="574">
        <f>K130*E130</f>
        <v>1980</v>
      </c>
      <c r="M130" s="592" t="s">
        <v>1724</v>
      </c>
    </row>
    <row r="131" spans="1:13" ht="22.5" customHeight="1">
      <c r="A131" s="566"/>
      <c r="B131" s="566"/>
      <c r="C131" s="588"/>
      <c r="D131" s="588"/>
      <c r="E131" s="589"/>
      <c r="F131" s="590"/>
      <c r="G131" s="591"/>
      <c r="H131" s="591"/>
      <c r="I131" s="591"/>
      <c r="J131" s="591"/>
      <c r="K131" s="591"/>
      <c r="L131" s="591"/>
      <c r="M131" s="592"/>
    </row>
    <row r="132" spans="1:13" ht="22.5" customHeight="1">
      <c r="A132" s="978" t="s">
        <v>318</v>
      </c>
      <c r="B132" s="931"/>
      <c r="C132" s="932"/>
      <c r="D132" s="542">
        <f>COUNTA(D130:D131)</f>
        <v>1</v>
      </c>
      <c r="E132" s="577">
        <f>SUM(E130:E131)</f>
        <v>5.5</v>
      </c>
      <c r="F132" s="578"/>
      <c r="G132" s="578"/>
      <c r="H132" s="579">
        <f>SUM(H130:H131)</f>
        <v>522.5</v>
      </c>
      <c r="I132" s="578"/>
      <c r="J132" s="578"/>
      <c r="K132" s="578"/>
      <c r="L132" s="578"/>
      <c r="M132" s="578"/>
    </row>
    <row r="133" spans="1:13" ht="18">
      <c r="A133" s="516"/>
      <c r="B133" s="516"/>
      <c r="C133" s="516"/>
      <c r="D133" s="516"/>
      <c r="E133" s="525"/>
      <c r="F133" s="516"/>
      <c r="G133" s="516"/>
      <c r="H133" s="516"/>
      <c r="I133" s="516"/>
      <c r="J133" s="516"/>
      <c r="K133" s="516"/>
      <c r="L133" s="516"/>
      <c r="M133" s="516"/>
    </row>
    <row r="134" spans="1:13" ht="18">
      <c r="A134" s="516"/>
      <c r="B134" s="516"/>
      <c r="C134" s="516"/>
      <c r="D134" s="516"/>
      <c r="E134" s="525"/>
      <c r="F134" s="516"/>
      <c r="G134" s="516"/>
      <c r="H134" s="516"/>
      <c r="I134" s="516"/>
      <c r="J134" s="516"/>
      <c r="K134" s="516"/>
      <c r="L134" s="516"/>
      <c r="M134" s="516"/>
    </row>
    <row r="135" spans="1:13" ht="18">
      <c r="A135" s="516"/>
      <c r="B135" s="516"/>
      <c r="C135" s="516"/>
      <c r="D135" s="516"/>
      <c r="E135" s="525"/>
      <c r="F135" s="516"/>
      <c r="G135" s="516"/>
      <c r="H135" s="516"/>
      <c r="I135" s="516"/>
      <c r="J135" s="516"/>
      <c r="K135" s="516"/>
      <c r="L135" s="516"/>
      <c r="M135" s="516"/>
    </row>
    <row r="136" spans="1:13" ht="19.8">
      <c r="A136" s="980" t="s">
        <v>45</v>
      </c>
      <c r="B136" s="931"/>
      <c r="C136" s="931"/>
      <c r="D136" s="931"/>
      <c r="E136" s="931"/>
      <c r="F136" s="931"/>
      <c r="G136" s="931"/>
      <c r="H136" s="931"/>
      <c r="I136" s="931"/>
      <c r="J136" s="931"/>
      <c r="K136" s="931"/>
      <c r="L136" s="931"/>
      <c r="M136" s="932"/>
    </row>
    <row r="137" spans="1:13" ht="22.5" customHeight="1">
      <c r="A137" s="570" t="s">
        <v>165</v>
      </c>
      <c r="B137" s="570" t="s">
        <v>166</v>
      </c>
      <c r="C137" s="570" t="s">
        <v>167</v>
      </c>
      <c r="D137" s="572" t="s">
        <v>168</v>
      </c>
      <c r="E137" s="573" t="s">
        <v>169</v>
      </c>
      <c r="F137" s="311" t="s">
        <v>2396</v>
      </c>
      <c r="G137" s="316" t="s">
        <v>2397</v>
      </c>
      <c r="H137" s="255" t="s">
        <v>172</v>
      </c>
      <c r="I137" s="317" t="s">
        <v>2398</v>
      </c>
      <c r="J137" s="317" t="s">
        <v>2399</v>
      </c>
      <c r="K137" s="282" t="s">
        <v>175</v>
      </c>
      <c r="L137" s="253" t="s">
        <v>2400</v>
      </c>
      <c r="M137" s="318" t="s">
        <v>177</v>
      </c>
    </row>
    <row r="138" spans="1:13" ht="22.5" customHeight="1">
      <c r="A138" s="566">
        <v>22</v>
      </c>
      <c r="B138" s="566" t="s">
        <v>1439</v>
      </c>
      <c r="C138" s="566" t="s">
        <v>2401</v>
      </c>
      <c r="D138" s="566" t="s">
        <v>124</v>
      </c>
      <c r="E138" s="567">
        <v>4.5</v>
      </c>
      <c r="F138" s="568">
        <v>20</v>
      </c>
      <c r="G138" s="574">
        <f t="shared" ref="G138:G140" si="25">F138*5</f>
        <v>100</v>
      </c>
      <c r="H138" s="574">
        <f t="shared" ref="H138:H140" si="26">E138*G138</f>
        <v>450</v>
      </c>
      <c r="I138" s="574">
        <v>720</v>
      </c>
      <c r="J138" s="574">
        <f t="shared" ref="J138:J140" si="27">I138*E138</f>
        <v>3240</v>
      </c>
      <c r="K138" s="574">
        <f t="shared" ref="K138:K140" si="28">I138/2</f>
        <v>360</v>
      </c>
      <c r="L138" s="574">
        <f t="shared" ref="L138:L140" si="29">K138*E138</f>
        <v>1620</v>
      </c>
      <c r="M138" s="566" t="s">
        <v>2290</v>
      </c>
    </row>
    <row r="139" spans="1:13" ht="22.5" customHeight="1">
      <c r="A139" s="566">
        <v>23</v>
      </c>
      <c r="B139" s="574" t="s">
        <v>2402</v>
      </c>
      <c r="C139" s="593" t="s">
        <v>2403</v>
      </c>
      <c r="D139" s="566" t="s">
        <v>143</v>
      </c>
      <c r="E139" s="567">
        <v>6</v>
      </c>
      <c r="F139" s="568">
        <v>20</v>
      </c>
      <c r="G139" s="574">
        <f t="shared" si="25"/>
        <v>100</v>
      </c>
      <c r="H139" s="574">
        <f t="shared" si="26"/>
        <v>600</v>
      </c>
      <c r="I139" s="574">
        <v>720</v>
      </c>
      <c r="J139" s="574">
        <f t="shared" si="27"/>
        <v>4320</v>
      </c>
      <c r="K139" s="574">
        <f t="shared" si="28"/>
        <v>360</v>
      </c>
      <c r="L139" s="574">
        <f t="shared" si="29"/>
        <v>2160</v>
      </c>
      <c r="M139" s="566" t="s">
        <v>1724</v>
      </c>
    </row>
    <row r="140" spans="1:13" ht="22.5" customHeight="1">
      <c r="A140" s="566">
        <v>24</v>
      </c>
      <c r="B140" s="574" t="s">
        <v>2404</v>
      </c>
      <c r="C140" s="593" t="s">
        <v>2405</v>
      </c>
      <c r="D140" s="566" t="s">
        <v>143</v>
      </c>
      <c r="E140" s="567">
        <v>6</v>
      </c>
      <c r="F140" s="568">
        <v>20</v>
      </c>
      <c r="G140" s="574">
        <f t="shared" si="25"/>
        <v>100</v>
      </c>
      <c r="H140" s="574">
        <f t="shared" si="26"/>
        <v>600</v>
      </c>
      <c r="I140" s="574">
        <v>720</v>
      </c>
      <c r="J140" s="574">
        <f t="shared" si="27"/>
        <v>4320</v>
      </c>
      <c r="K140" s="574">
        <f t="shared" si="28"/>
        <v>360</v>
      </c>
      <c r="L140" s="574">
        <f t="shared" si="29"/>
        <v>2160</v>
      </c>
      <c r="M140" s="566" t="s">
        <v>1724</v>
      </c>
    </row>
    <row r="141" spans="1:13" ht="22.5" customHeight="1">
      <c r="A141" s="978" t="s">
        <v>318</v>
      </c>
      <c r="B141" s="931"/>
      <c r="C141" s="932"/>
      <c r="D141" s="542">
        <f>COUNTA(D138:D140)</f>
        <v>3</v>
      </c>
      <c r="E141" s="577">
        <f>SUM(E138:E140)</f>
        <v>16.5</v>
      </c>
      <c r="F141" s="578"/>
      <c r="G141" s="578"/>
      <c r="H141" s="579">
        <f>SUM(H138:H140)</f>
        <v>1650</v>
      </c>
      <c r="I141" s="578"/>
      <c r="J141" s="578"/>
      <c r="K141" s="578"/>
      <c r="L141" s="578"/>
      <c r="M141" s="578"/>
    </row>
    <row r="142" spans="1:13" ht="18">
      <c r="A142" s="516"/>
      <c r="B142" s="516"/>
      <c r="C142" s="516"/>
      <c r="D142" s="516"/>
      <c r="E142" s="525"/>
      <c r="F142" s="516"/>
      <c r="G142" s="516"/>
      <c r="H142" s="516"/>
      <c r="I142" s="516"/>
      <c r="J142" s="516"/>
      <c r="K142" s="516"/>
      <c r="L142" s="516"/>
      <c r="M142" s="516"/>
    </row>
    <row r="143" spans="1:13" ht="18">
      <c r="A143" s="516"/>
      <c r="B143" s="516"/>
      <c r="C143" s="516"/>
      <c r="D143" s="516"/>
      <c r="E143" s="525"/>
      <c r="F143" s="516"/>
      <c r="G143" s="516"/>
      <c r="H143" s="516"/>
      <c r="I143" s="516"/>
      <c r="J143" s="516"/>
      <c r="K143" s="516"/>
      <c r="L143" s="516"/>
      <c r="M143" s="516"/>
    </row>
    <row r="144" spans="1:13" ht="19.8">
      <c r="A144" s="980" t="s">
        <v>46</v>
      </c>
      <c r="B144" s="931"/>
      <c r="C144" s="931"/>
      <c r="D144" s="931"/>
      <c r="E144" s="931"/>
      <c r="F144" s="931"/>
      <c r="G144" s="931"/>
      <c r="H144" s="931"/>
      <c r="I144" s="931"/>
      <c r="J144" s="931"/>
      <c r="K144" s="931"/>
      <c r="L144" s="931"/>
      <c r="M144" s="932"/>
    </row>
    <row r="145" spans="1:13" ht="22.5" customHeight="1">
      <c r="A145" s="570" t="s">
        <v>165</v>
      </c>
      <c r="B145" s="571" t="s">
        <v>166</v>
      </c>
      <c r="C145" s="571" t="s">
        <v>167</v>
      </c>
      <c r="D145" s="572" t="s">
        <v>168</v>
      </c>
      <c r="E145" s="573" t="s">
        <v>169</v>
      </c>
      <c r="F145" s="284" t="s">
        <v>2406</v>
      </c>
      <c r="G145" s="285" t="s">
        <v>2407</v>
      </c>
      <c r="H145" s="255" t="s">
        <v>172</v>
      </c>
      <c r="I145" s="286" t="s">
        <v>2408</v>
      </c>
      <c r="J145" s="286" t="s">
        <v>2409</v>
      </c>
      <c r="K145" s="282" t="s">
        <v>175</v>
      </c>
      <c r="L145" s="282" t="s">
        <v>2410</v>
      </c>
      <c r="M145" s="287" t="s">
        <v>177</v>
      </c>
    </row>
    <row r="146" spans="1:13" ht="22.5" customHeight="1">
      <c r="A146" s="566">
        <v>25</v>
      </c>
      <c r="B146" s="566" t="s">
        <v>2411</v>
      </c>
      <c r="C146" s="566" t="s">
        <v>2412</v>
      </c>
      <c r="D146" s="566" t="s">
        <v>114</v>
      </c>
      <c r="E146" s="567">
        <v>3</v>
      </c>
      <c r="F146" s="568">
        <v>20</v>
      </c>
      <c r="G146" s="574">
        <f t="shared" ref="G146:G150" si="30">F146*5</f>
        <v>100</v>
      </c>
      <c r="H146" s="574">
        <f t="shared" ref="H146:H150" si="31">E146*G146</f>
        <v>300</v>
      </c>
      <c r="I146" s="574">
        <v>720</v>
      </c>
      <c r="J146" s="574">
        <f t="shared" ref="J146:J150" si="32">I146*E146</f>
        <v>2160</v>
      </c>
      <c r="K146" s="574">
        <f t="shared" ref="K146:K150" si="33">I146/2</f>
        <v>360</v>
      </c>
      <c r="L146" s="574">
        <f t="shared" ref="L146:L150" si="34">K146*E146</f>
        <v>1080</v>
      </c>
      <c r="M146" s="566" t="s">
        <v>2290</v>
      </c>
    </row>
    <row r="147" spans="1:13" ht="22.5" customHeight="1">
      <c r="A147" s="566">
        <v>26</v>
      </c>
      <c r="B147" s="566" t="s">
        <v>2413</v>
      </c>
      <c r="C147" s="566" t="s">
        <v>2414</v>
      </c>
      <c r="D147" s="566" t="s">
        <v>114</v>
      </c>
      <c r="E147" s="567">
        <v>3</v>
      </c>
      <c r="F147" s="568">
        <v>20</v>
      </c>
      <c r="G147" s="574">
        <f t="shared" si="30"/>
        <v>100</v>
      </c>
      <c r="H147" s="574">
        <f t="shared" si="31"/>
        <v>300</v>
      </c>
      <c r="I147" s="574">
        <v>720</v>
      </c>
      <c r="J147" s="574">
        <f t="shared" si="32"/>
        <v>2160</v>
      </c>
      <c r="K147" s="574">
        <f t="shared" si="33"/>
        <v>360</v>
      </c>
      <c r="L147" s="574">
        <f t="shared" si="34"/>
        <v>1080</v>
      </c>
      <c r="M147" s="566" t="s">
        <v>2290</v>
      </c>
    </row>
    <row r="148" spans="1:13" ht="22.5" customHeight="1">
      <c r="A148" s="566">
        <v>27</v>
      </c>
      <c r="B148" s="566" t="s">
        <v>2415</v>
      </c>
      <c r="C148" s="566" t="s">
        <v>2416</v>
      </c>
      <c r="D148" s="566" t="s">
        <v>114</v>
      </c>
      <c r="E148" s="567">
        <v>5</v>
      </c>
      <c r="F148" s="568">
        <v>20</v>
      </c>
      <c r="G148" s="574">
        <f t="shared" si="30"/>
        <v>100</v>
      </c>
      <c r="H148" s="574">
        <f t="shared" si="31"/>
        <v>500</v>
      </c>
      <c r="I148" s="574">
        <v>720</v>
      </c>
      <c r="J148" s="574">
        <f t="shared" si="32"/>
        <v>3600</v>
      </c>
      <c r="K148" s="574">
        <f t="shared" si="33"/>
        <v>360</v>
      </c>
      <c r="L148" s="574">
        <f t="shared" si="34"/>
        <v>1800</v>
      </c>
      <c r="M148" s="566" t="s">
        <v>2290</v>
      </c>
    </row>
    <row r="149" spans="1:13" ht="22.5" customHeight="1">
      <c r="A149" s="566">
        <v>28</v>
      </c>
      <c r="B149" s="566" t="s">
        <v>2417</v>
      </c>
      <c r="C149" s="566" t="s">
        <v>2418</v>
      </c>
      <c r="D149" s="566" t="s">
        <v>112</v>
      </c>
      <c r="E149" s="567">
        <v>4.9000000000000004</v>
      </c>
      <c r="F149" s="568">
        <v>28</v>
      </c>
      <c r="G149" s="574">
        <f t="shared" si="30"/>
        <v>140</v>
      </c>
      <c r="H149" s="574">
        <f t="shared" si="31"/>
        <v>686</v>
      </c>
      <c r="I149" s="574">
        <v>720</v>
      </c>
      <c r="J149" s="574">
        <f t="shared" si="32"/>
        <v>3528.0000000000005</v>
      </c>
      <c r="K149" s="574">
        <f t="shared" si="33"/>
        <v>360</v>
      </c>
      <c r="L149" s="574">
        <f t="shared" si="34"/>
        <v>1764.0000000000002</v>
      </c>
      <c r="M149" s="566" t="s">
        <v>2290</v>
      </c>
    </row>
    <row r="150" spans="1:13" ht="22.5" customHeight="1">
      <c r="A150" s="566">
        <v>29</v>
      </c>
      <c r="B150" s="566" t="s">
        <v>2419</v>
      </c>
      <c r="C150" s="566" t="s">
        <v>2420</v>
      </c>
      <c r="D150" s="566" t="s">
        <v>114</v>
      </c>
      <c r="E150" s="567">
        <v>5</v>
      </c>
      <c r="F150" s="568">
        <v>20</v>
      </c>
      <c r="G150" s="574">
        <f t="shared" si="30"/>
        <v>100</v>
      </c>
      <c r="H150" s="574">
        <f t="shared" si="31"/>
        <v>500</v>
      </c>
      <c r="I150" s="574">
        <v>720</v>
      </c>
      <c r="J150" s="574">
        <f t="shared" si="32"/>
        <v>3600</v>
      </c>
      <c r="K150" s="574">
        <f t="shared" si="33"/>
        <v>360</v>
      </c>
      <c r="L150" s="574">
        <f t="shared" si="34"/>
        <v>1800</v>
      </c>
      <c r="M150" s="566" t="s">
        <v>2290</v>
      </c>
    </row>
    <row r="151" spans="1:13" ht="22.5" customHeight="1">
      <c r="A151" s="979" t="s">
        <v>318</v>
      </c>
      <c r="B151" s="931"/>
      <c r="C151" s="932"/>
      <c r="D151" s="542">
        <f>COUNTA(D146:D150)</f>
        <v>5</v>
      </c>
      <c r="E151" s="577">
        <f>SUM(E146:E150)</f>
        <v>20.9</v>
      </c>
      <c r="F151" s="578"/>
      <c r="G151" s="578"/>
      <c r="H151" s="594">
        <f>SUM(H146:H150)</f>
        <v>2286</v>
      </c>
      <c r="I151" s="578"/>
      <c r="J151" s="578"/>
      <c r="K151" s="578"/>
      <c r="L151" s="578"/>
      <c r="M151" s="578"/>
    </row>
    <row r="152" spans="1:13" ht="16.2">
      <c r="A152" s="526"/>
      <c r="B152" s="526"/>
      <c r="C152" s="526"/>
      <c r="D152" s="526"/>
      <c r="E152" s="524"/>
      <c r="F152" s="526"/>
      <c r="G152" s="526"/>
      <c r="H152" s="526"/>
      <c r="I152" s="526"/>
      <c r="J152" s="526"/>
      <c r="K152" s="526"/>
      <c r="L152" s="526"/>
      <c r="M152" s="526"/>
    </row>
    <row r="153" spans="1:13" ht="18">
      <c r="A153" s="516"/>
      <c r="B153" s="516"/>
      <c r="C153" s="516"/>
      <c r="D153" s="516"/>
      <c r="E153" s="525"/>
      <c r="F153" s="516"/>
      <c r="G153" s="516"/>
      <c r="H153" s="516"/>
      <c r="I153" s="516"/>
      <c r="J153" s="516"/>
      <c r="K153" s="516"/>
      <c r="L153" s="516"/>
      <c r="M153" s="516"/>
    </row>
    <row r="154" spans="1:13" ht="19.8">
      <c r="A154" s="980" t="s">
        <v>47</v>
      </c>
      <c r="B154" s="931"/>
      <c r="C154" s="931"/>
      <c r="D154" s="931"/>
      <c r="E154" s="931"/>
      <c r="F154" s="931"/>
      <c r="G154" s="931"/>
      <c r="H154" s="931"/>
      <c r="I154" s="931"/>
      <c r="J154" s="931"/>
      <c r="K154" s="931"/>
      <c r="L154" s="931"/>
      <c r="M154" s="932"/>
    </row>
    <row r="155" spans="1:13" ht="22.5" customHeight="1">
      <c r="A155" s="570" t="s">
        <v>165</v>
      </c>
      <c r="B155" s="571" t="s">
        <v>166</v>
      </c>
      <c r="C155" s="571" t="s">
        <v>167</v>
      </c>
      <c r="D155" s="572" t="s">
        <v>168</v>
      </c>
      <c r="E155" s="573" t="s">
        <v>169</v>
      </c>
      <c r="F155" s="284" t="s">
        <v>2421</v>
      </c>
      <c r="G155" s="285" t="s">
        <v>2422</v>
      </c>
      <c r="H155" s="255" t="s">
        <v>172</v>
      </c>
      <c r="I155" s="286" t="s">
        <v>2423</v>
      </c>
      <c r="J155" s="286" t="s">
        <v>2424</v>
      </c>
      <c r="K155" s="282" t="s">
        <v>175</v>
      </c>
      <c r="L155" s="282" t="s">
        <v>2425</v>
      </c>
      <c r="M155" s="287" t="s">
        <v>177</v>
      </c>
    </row>
    <row r="156" spans="1:13" ht="22.5" customHeight="1">
      <c r="A156" s="566">
        <v>30</v>
      </c>
      <c r="B156" s="574" t="s">
        <v>2426</v>
      </c>
      <c r="C156" s="566" t="s">
        <v>2427</v>
      </c>
      <c r="D156" s="566" t="s">
        <v>112</v>
      </c>
      <c r="E156" s="567">
        <v>5</v>
      </c>
      <c r="F156" s="568">
        <v>23</v>
      </c>
      <c r="G156" s="574">
        <f t="shared" ref="G156:G170" si="35">F156*5</f>
        <v>115</v>
      </c>
      <c r="H156" s="574">
        <f t="shared" ref="H156:H170" si="36">E156*G156</f>
        <v>575</v>
      </c>
      <c r="I156" s="574">
        <v>720</v>
      </c>
      <c r="J156" s="574">
        <f t="shared" ref="J156:J170" si="37">I156*E156</f>
        <v>3600</v>
      </c>
      <c r="K156" s="574">
        <f t="shared" ref="K156:K170" si="38">G156*2</f>
        <v>230</v>
      </c>
      <c r="L156" s="574">
        <f t="shared" ref="L156:L170" si="39">K156*E156</f>
        <v>1150</v>
      </c>
      <c r="M156" s="566" t="s">
        <v>2290</v>
      </c>
    </row>
    <row r="157" spans="1:13" ht="22.5" customHeight="1">
      <c r="A157" s="566">
        <v>31</v>
      </c>
      <c r="B157" s="574" t="s">
        <v>2428</v>
      </c>
      <c r="C157" s="566" t="s">
        <v>2429</v>
      </c>
      <c r="D157" s="566" t="s">
        <v>117</v>
      </c>
      <c r="E157" s="567">
        <v>5</v>
      </c>
      <c r="F157" s="568">
        <v>34</v>
      </c>
      <c r="G157" s="574">
        <f t="shared" si="35"/>
        <v>170</v>
      </c>
      <c r="H157" s="574">
        <f t="shared" si="36"/>
        <v>850</v>
      </c>
      <c r="I157" s="574">
        <v>800</v>
      </c>
      <c r="J157" s="574">
        <f t="shared" si="37"/>
        <v>4000</v>
      </c>
      <c r="K157" s="574">
        <f t="shared" si="38"/>
        <v>340</v>
      </c>
      <c r="L157" s="574">
        <f t="shared" si="39"/>
        <v>1700</v>
      </c>
      <c r="M157" s="566" t="s">
        <v>2290</v>
      </c>
    </row>
    <row r="158" spans="1:13" ht="22.5" customHeight="1">
      <c r="A158" s="566">
        <v>32</v>
      </c>
      <c r="B158" s="574" t="s">
        <v>2430</v>
      </c>
      <c r="C158" s="566" t="s">
        <v>2431</v>
      </c>
      <c r="D158" s="566" t="s">
        <v>113</v>
      </c>
      <c r="E158" s="567">
        <v>5</v>
      </c>
      <c r="F158" s="568">
        <v>19</v>
      </c>
      <c r="G158" s="574">
        <f t="shared" si="35"/>
        <v>95</v>
      </c>
      <c r="H158" s="574">
        <f t="shared" si="36"/>
        <v>475</v>
      </c>
      <c r="I158" s="574">
        <v>720</v>
      </c>
      <c r="J158" s="574">
        <f t="shared" si="37"/>
        <v>3600</v>
      </c>
      <c r="K158" s="574">
        <f t="shared" si="38"/>
        <v>190</v>
      </c>
      <c r="L158" s="574">
        <f t="shared" si="39"/>
        <v>950</v>
      </c>
      <c r="M158" s="566" t="s">
        <v>2290</v>
      </c>
    </row>
    <row r="159" spans="1:13" ht="22.5" customHeight="1">
      <c r="A159" s="566">
        <v>33</v>
      </c>
      <c r="B159" s="574" t="s">
        <v>2432</v>
      </c>
      <c r="C159" s="566" t="s">
        <v>2433</v>
      </c>
      <c r="D159" s="566" t="s">
        <v>112</v>
      </c>
      <c r="E159" s="567">
        <v>5</v>
      </c>
      <c r="F159" s="568">
        <v>19</v>
      </c>
      <c r="G159" s="595">
        <f t="shared" si="35"/>
        <v>95</v>
      </c>
      <c r="H159" s="574">
        <f t="shared" si="36"/>
        <v>475</v>
      </c>
      <c r="I159" s="574">
        <v>720</v>
      </c>
      <c r="J159" s="574">
        <f t="shared" si="37"/>
        <v>3600</v>
      </c>
      <c r="K159" s="574">
        <f t="shared" si="38"/>
        <v>190</v>
      </c>
      <c r="L159" s="574">
        <f t="shared" si="39"/>
        <v>950</v>
      </c>
      <c r="M159" s="566" t="s">
        <v>2290</v>
      </c>
    </row>
    <row r="160" spans="1:13" ht="22.5" customHeight="1">
      <c r="A160" s="566">
        <v>34</v>
      </c>
      <c r="B160" s="595" t="s">
        <v>2434</v>
      </c>
      <c r="C160" s="566" t="s">
        <v>2435</v>
      </c>
      <c r="D160" s="566" t="s">
        <v>113</v>
      </c>
      <c r="E160" s="567">
        <v>5</v>
      </c>
      <c r="F160" s="568">
        <v>16</v>
      </c>
      <c r="G160" s="595">
        <f t="shared" si="35"/>
        <v>80</v>
      </c>
      <c r="H160" s="574">
        <f t="shared" si="36"/>
        <v>400</v>
      </c>
      <c r="I160" s="574">
        <v>720</v>
      </c>
      <c r="J160" s="574">
        <f t="shared" si="37"/>
        <v>3600</v>
      </c>
      <c r="K160" s="574">
        <f t="shared" si="38"/>
        <v>160</v>
      </c>
      <c r="L160" s="574">
        <f t="shared" si="39"/>
        <v>800</v>
      </c>
      <c r="M160" s="566" t="s">
        <v>2290</v>
      </c>
    </row>
    <row r="161" spans="1:13" ht="22.5" customHeight="1">
      <c r="A161" s="566">
        <v>35</v>
      </c>
      <c r="B161" s="574" t="s">
        <v>2436</v>
      </c>
      <c r="C161" s="566" t="s">
        <v>2437</v>
      </c>
      <c r="D161" s="566" t="s">
        <v>113</v>
      </c>
      <c r="E161" s="567">
        <v>5</v>
      </c>
      <c r="F161" s="568">
        <v>16</v>
      </c>
      <c r="G161" s="574">
        <f t="shared" si="35"/>
        <v>80</v>
      </c>
      <c r="H161" s="574">
        <f t="shared" si="36"/>
        <v>400</v>
      </c>
      <c r="I161" s="574">
        <v>720</v>
      </c>
      <c r="J161" s="574">
        <f t="shared" si="37"/>
        <v>3600</v>
      </c>
      <c r="K161" s="574">
        <f t="shared" si="38"/>
        <v>160</v>
      </c>
      <c r="L161" s="574">
        <f t="shared" si="39"/>
        <v>800</v>
      </c>
      <c r="M161" s="566" t="s">
        <v>2290</v>
      </c>
    </row>
    <row r="162" spans="1:13" ht="22.5" customHeight="1">
      <c r="A162" s="566">
        <v>36</v>
      </c>
      <c r="B162" s="574" t="s">
        <v>2438</v>
      </c>
      <c r="C162" s="566" t="s">
        <v>2439</v>
      </c>
      <c r="D162" s="566" t="s">
        <v>113</v>
      </c>
      <c r="E162" s="567">
        <v>5.5</v>
      </c>
      <c r="F162" s="568">
        <v>16</v>
      </c>
      <c r="G162" s="574">
        <f t="shared" si="35"/>
        <v>80</v>
      </c>
      <c r="H162" s="574">
        <f t="shared" si="36"/>
        <v>440</v>
      </c>
      <c r="I162" s="574">
        <v>720</v>
      </c>
      <c r="J162" s="574">
        <f t="shared" si="37"/>
        <v>3960</v>
      </c>
      <c r="K162" s="574">
        <f t="shared" si="38"/>
        <v>160</v>
      </c>
      <c r="L162" s="574">
        <f t="shared" si="39"/>
        <v>880</v>
      </c>
      <c r="M162" s="566" t="s">
        <v>2290</v>
      </c>
    </row>
    <row r="163" spans="1:13" ht="22.5" customHeight="1">
      <c r="A163" s="566">
        <v>37</v>
      </c>
      <c r="B163" s="574" t="s">
        <v>2440</v>
      </c>
      <c r="C163" s="566" t="s">
        <v>2441</v>
      </c>
      <c r="D163" s="566" t="s">
        <v>113</v>
      </c>
      <c r="E163" s="567">
        <v>5.3</v>
      </c>
      <c r="F163" s="568">
        <v>16</v>
      </c>
      <c r="G163" s="574">
        <f t="shared" si="35"/>
        <v>80</v>
      </c>
      <c r="H163" s="574">
        <f t="shared" si="36"/>
        <v>424</v>
      </c>
      <c r="I163" s="574">
        <v>720</v>
      </c>
      <c r="J163" s="574">
        <f t="shared" si="37"/>
        <v>3816</v>
      </c>
      <c r="K163" s="574">
        <f t="shared" si="38"/>
        <v>160</v>
      </c>
      <c r="L163" s="574">
        <f t="shared" si="39"/>
        <v>848</v>
      </c>
      <c r="M163" s="566" t="s">
        <v>2290</v>
      </c>
    </row>
    <row r="164" spans="1:13" ht="22.5" customHeight="1">
      <c r="A164" s="566">
        <v>38</v>
      </c>
      <c r="B164" s="574" t="s">
        <v>2442</v>
      </c>
      <c r="C164" s="566" t="s">
        <v>2443</v>
      </c>
      <c r="D164" s="566" t="s">
        <v>113</v>
      </c>
      <c r="E164" s="567">
        <v>5.9</v>
      </c>
      <c r="F164" s="568">
        <v>16</v>
      </c>
      <c r="G164" s="574">
        <f t="shared" si="35"/>
        <v>80</v>
      </c>
      <c r="H164" s="574">
        <f t="shared" si="36"/>
        <v>472</v>
      </c>
      <c r="I164" s="574">
        <v>720</v>
      </c>
      <c r="J164" s="574">
        <f t="shared" si="37"/>
        <v>4248</v>
      </c>
      <c r="K164" s="574">
        <f t="shared" si="38"/>
        <v>160</v>
      </c>
      <c r="L164" s="574">
        <f t="shared" si="39"/>
        <v>944</v>
      </c>
      <c r="M164" s="566" t="s">
        <v>2290</v>
      </c>
    </row>
    <row r="165" spans="1:13" ht="22.5" customHeight="1">
      <c r="A165" s="566">
        <v>39</v>
      </c>
      <c r="B165" s="574" t="s">
        <v>2444</v>
      </c>
      <c r="C165" s="566" t="s">
        <v>2445</v>
      </c>
      <c r="D165" s="566" t="s">
        <v>113</v>
      </c>
      <c r="E165" s="567">
        <v>6.4</v>
      </c>
      <c r="F165" s="568">
        <v>16</v>
      </c>
      <c r="G165" s="574">
        <f t="shared" si="35"/>
        <v>80</v>
      </c>
      <c r="H165" s="574">
        <f t="shared" si="36"/>
        <v>512</v>
      </c>
      <c r="I165" s="574">
        <v>720</v>
      </c>
      <c r="J165" s="574">
        <f t="shared" si="37"/>
        <v>4608</v>
      </c>
      <c r="K165" s="574">
        <f t="shared" si="38"/>
        <v>160</v>
      </c>
      <c r="L165" s="574">
        <f t="shared" si="39"/>
        <v>1024</v>
      </c>
      <c r="M165" s="566" t="s">
        <v>2290</v>
      </c>
    </row>
    <row r="166" spans="1:13" ht="22.5" customHeight="1">
      <c r="A166" s="566">
        <v>40</v>
      </c>
      <c r="B166" s="574" t="s">
        <v>2446</v>
      </c>
      <c r="C166" s="566" t="s">
        <v>2447</v>
      </c>
      <c r="D166" s="566" t="s">
        <v>112</v>
      </c>
      <c r="E166" s="567">
        <v>5</v>
      </c>
      <c r="F166" s="568">
        <v>28</v>
      </c>
      <c r="G166" s="574">
        <f t="shared" si="35"/>
        <v>140</v>
      </c>
      <c r="H166" s="574">
        <f t="shared" si="36"/>
        <v>700</v>
      </c>
      <c r="I166" s="574">
        <v>720</v>
      </c>
      <c r="J166" s="574">
        <f t="shared" si="37"/>
        <v>3600</v>
      </c>
      <c r="K166" s="574">
        <f t="shared" si="38"/>
        <v>280</v>
      </c>
      <c r="L166" s="574">
        <f t="shared" si="39"/>
        <v>1400</v>
      </c>
      <c r="M166" s="566" t="s">
        <v>2290</v>
      </c>
    </row>
    <row r="167" spans="1:13" ht="22.5" customHeight="1">
      <c r="A167" s="566">
        <v>41</v>
      </c>
      <c r="B167" s="574" t="s">
        <v>2448</v>
      </c>
      <c r="C167" s="566" t="s">
        <v>1543</v>
      </c>
      <c r="D167" s="566" t="s">
        <v>112</v>
      </c>
      <c r="E167" s="567">
        <v>5</v>
      </c>
      <c r="F167" s="568">
        <v>28</v>
      </c>
      <c r="G167" s="574">
        <f t="shared" si="35"/>
        <v>140</v>
      </c>
      <c r="H167" s="574">
        <f t="shared" si="36"/>
        <v>700</v>
      </c>
      <c r="I167" s="574">
        <v>720</v>
      </c>
      <c r="J167" s="574">
        <f t="shared" si="37"/>
        <v>3600</v>
      </c>
      <c r="K167" s="574">
        <f t="shared" si="38"/>
        <v>280</v>
      </c>
      <c r="L167" s="574">
        <f t="shared" si="39"/>
        <v>1400</v>
      </c>
      <c r="M167" s="566" t="s">
        <v>2290</v>
      </c>
    </row>
    <row r="168" spans="1:13" ht="22.5" customHeight="1">
      <c r="A168" s="566">
        <v>42</v>
      </c>
      <c r="B168" s="574" t="s">
        <v>2449</v>
      </c>
      <c r="C168" s="566" t="s">
        <v>2450</v>
      </c>
      <c r="D168" s="566" t="s">
        <v>112</v>
      </c>
      <c r="E168" s="567">
        <v>5</v>
      </c>
      <c r="F168" s="568">
        <v>22</v>
      </c>
      <c r="G168" s="574">
        <f t="shared" si="35"/>
        <v>110</v>
      </c>
      <c r="H168" s="574">
        <f t="shared" si="36"/>
        <v>550</v>
      </c>
      <c r="I168" s="574">
        <v>720</v>
      </c>
      <c r="J168" s="574">
        <f t="shared" si="37"/>
        <v>3600</v>
      </c>
      <c r="K168" s="574">
        <f t="shared" si="38"/>
        <v>220</v>
      </c>
      <c r="L168" s="574">
        <f t="shared" si="39"/>
        <v>1100</v>
      </c>
      <c r="M168" s="566" t="s">
        <v>2290</v>
      </c>
    </row>
    <row r="169" spans="1:13" ht="22.5" customHeight="1">
      <c r="A169" s="566">
        <v>43</v>
      </c>
      <c r="B169" s="574" t="s">
        <v>2451</v>
      </c>
      <c r="C169" s="566" t="s">
        <v>2452</v>
      </c>
      <c r="D169" s="566" t="s">
        <v>112</v>
      </c>
      <c r="E169" s="567">
        <v>5</v>
      </c>
      <c r="F169" s="568">
        <v>22</v>
      </c>
      <c r="G169" s="574">
        <f t="shared" si="35"/>
        <v>110</v>
      </c>
      <c r="H169" s="574">
        <f t="shared" si="36"/>
        <v>550</v>
      </c>
      <c r="I169" s="574">
        <v>720</v>
      </c>
      <c r="J169" s="574">
        <f t="shared" si="37"/>
        <v>3600</v>
      </c>
      <c r="K169" s="574">
        <f t="shared" si="38"/>
        <v>220</v>
      </c>
      <c r="L169" s="574">
        <f t="shared" si="39"/>
        <v>1100</v>
      </c>
      <c r="M169" s="566" t="s">
        <v>2290</v>
      </c>
    </row>
    <row r="170" spans="1:13" ht="22.5" customHeight="1">
      <c r="A170" s="566">
        <v>44</v>
      </c>
      <c r="B170" s="574" t="s">
        <v>2453</v>
      </c>
      <c r="C170" s="566" t="s">
        <v>2454</v>
      </c>
      <c r="D170" s="566" t="s">
        <v>113</v>
      </c>
      <c r="E170" s="567">
        <v>5</v>
      </c>
      <c r="F170" s="568">
        <v>20</v>
      </c>
      <c r="G170" s="574">
        <f t="shared" si="35"/>
        <v>100</v>
      </c>
      <c r="H170" s="574">
        <f t="shared" si="36"/>
        <v>500</v>
      </c>
      <c r="I170" s="574">
        <v>720</v>
      </c>
      <c r="J170" s="574">
        <f t="shared" si="37"/>
        <v>3600</v>
      </c>
      <c r="K170" s="574">
        <f t="shared" si="38"/>
        <v>200</v>
      </c>
      <c r="L170" s="574">
        <f t="shared" si="39"/>
        <v>1000</v>
      </c>
      <c r="M170" s="566" t="s">
        <v>1724</v>
      </c>
    </row>
    <row r="171" spans="1:13" ht="22.5" customHeight="1">
      <c r="A171" s="979" t="s">
        <v>318</v>
      </c>
      <c r="B171" s="931"/>
      <c r="C171" s="932"/>
      <c r="D171" s="542">
        <f>COUNTA(D156:D170)</f>
        <v>15</v>
      </c>
      <c r="E171" s="577">
        <f>SUM(E156:E170)</f>
        <v>78.099999999999994</v>
      </c>
      <c r="F171" s="578"/>
      <c r="G171" s="578"/>
      <c r="H171" s="594">
        <f>SUM(H156:H170)</f>
        <v>8023</v>
      </c>
      <c r="I171" s="578"/>
      <c r="J171" s="578"/>
      <c r="K171" s="578"/>
      <c r="L171" s="578"/>
      <c r="M171" s="578"/>
    </row>
  </sheetData>
  <mergeCells count="45">
    <mergeCell ref="A151:C151"/>
    <mergeCell ref="A171:C171"/>
    <mergeCell ref="A57:C57"/>
    <mergeCell ref="A65:C65"/>
    <mergeCell ref="A75:C75"/>
    <mergeCell ref="A84:C84"/>
    <mergeCell ref="A91:C91"/>
    <mergeCell ref="A99:C99"/>
    <mergeCell ref="A110:B110"/>
    <mergeCell ref="A128:M128"/>
    <mergeCell ref="A136:M136"/>
    <mergeCell ref="A144:M144"/>
    <mergeCell ref="A154:M154"/>
    <mergeCell ref="A69:M69"/>
    <mergeCell ref="A77:M77"/>
    <mergeCell ref="A87:M87"/>
    <mergeCell ref="A60:M60"/>
    <mergeCell ref="A118:C118"/>
    <mergeCell ref="A125:C125"/>
    <mergeCell ref="A132:C132"/>
    <mergeCell ref="A141:C141"/>
    <mergeCell ref="A95:M95"/>
    <mergeCell ref="A105:M105"/>
    <mergeCell ref="A114:M114"/>
    <mergeCell ref="A121:M121"/>
    <mergeCell ref="A31:M31"/>
    <mergeCell ref="A37:C37"/>
    <mergeCell ref="A41:M41"/>
    <mergeCell ref="A46:C46"/>
    <mergeCell ref="A50:M50"/>
    <mergeCell ref="A11:M11"/>
    <mergeCell ref="A12:M12"/>
    <mergeCell ref="A18:C18"/>
    <mergeCell ref="A21:M21"/>
    <mergeCell ref="A27:C27"/>
    <mergeCell ref="L3:M4"/>
    <mergeCell ref="B4:C4"/>
    <mergeCell ref="B5:C5"/>
    <mergeCell ref="B6:C6"/>
    <mergeCell ref="B7:C7"/>
    <mergeCell ref="B1:D1"/>
    <mergeCell ref="B2:C2"/>
    <mergeCell ref="E2:I3"/>
    <mergeCell ref="B3:C3"/>
    <mergeCell ref="J3:K4"/>
  </mergeCells>
  <dataValidations count="1">
    <dataValidation type="custom" allowBlank="1" showDropDown="1" sqref="H14:H18 H23:H27 H33:H37 H52:H57 H89:H91 H97:H99 E107:E110 E116:E118 E123:E125 E130:E132 E138:E141 H138:H141 E146:E151 H146:H151 E156:E171 H156:H171" xr:uid="{00000000-0002-0000-0600-000000000000}">
      <formula1>AND(ISNUMBER(E14),(NOT(OR(NOT(ISERROR(DATEVALUE(E14))), AND(ISNUMBER(E14), LEFT(CELL("format", E14))="D")))))</formula1>
    </dataValidation>
  </dataValidations>
  <printOptions horizontalCentered="1"/>
  <pageMargins left="0.7" right="0.7" top="0.75" bottom="0.75" header="0" footer="0"/>
  <pageSetup paperSize="9" fitToHeight="0" pageOrder="overThenDown" orientation="landscape"/>
  <tableParts count="5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O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/>
  <cols>
    <col min="1" max="1" width="27.88671875" customWidth="1"/>
    <col min="2" max="2" width="10.88671875" customWidth="1"/>
    <col min="3" max="3" width="9.33203125" customWidth="1"/>
    <col min="4" max="4" width="10.44140625" customWidth="1"/>
    <col min="5" max="5" width="14.6640625" customWidth="1"/>
    <col min="6" max="6" width="7" customWidth="1"/>
    <col min="7" max="7" width="14.21875" customWidth="1"/>
    <col min="8" max="8" width="13.44140625" customWidth="1"/>
    <col min="9" max="9" width="9.21875" customWidth="1"/>
    <col min="11" max="11" width="13.109375" customWidth="1"/>
    <col min="12" max="12" width="7" customWidth="1"/>
    <col min="13" max="13" width="8.109375" customWidth="1"/>
    <col min="14" max="15" width="14.6640625" customWidth="1"/>
  </cols>
  <sheetData>
    <row r="1" spans="1:15">
      <c r="A1" s="115" t="s">
        <v>2</v>
      </c>
      <c r="B1" s="116" t="s">
        <v>102</v>
      </c>
      <c r="C1" s="116" t="s">
        <v>101</v>
      </c>
      <c r="D1" s="118" t="s">
        <v>105</v>
      </c>
      <c r="E1" s="122" t="s">
        <v>2455</v>
      </c>
      <c r="F1" s="116" t="s">
        <v>100</v>
      </c>
      <c r="G1" s="118" t="s">
        <v>106</v>
      </c>
      <c r="H1" s="122" t="s">
        <v>109</v>
      </c>
      <c r="I1" s="116" t="s">
        <v>103</v>
      </c>
      <c r="J1" s="116" t="s">
        <v>107</v>
      </c>
      <c r="K1" s="122" t="s">
        <v>2456</v>
      </c>
      <c r="L1" s="116" t="s">
        <v>99</v>
      </c>
      <c r="M1" s="116" t="s">
        <v>104</v>
      </c>
      <c r="N1" s="120" t="s">
        <v>2457</v>
      </c>
      <c r="O1" s="123" t="s">
        <v>1555</v>
      </c>
    </row>
    <row r="2" spans="1:15">
      <c r="A2" s="124" t="s">
        <v>2458</v>
      </c>
      <c r="B2" s="125"/>
      <c r="C2" s="125"/>
      <c r="D2" s="127"/>
      <c r="E2" s="131"/>
      <c r="F2" s="125"/>
      <c r="G2" s="127"/>
      <c r="H2" s="131"/>
      <c r="I2" s="125"/>
      <c r="J2" s="125"/>
      <c r="K2" s="131"/>
      <c r="L2" s="125"/>
      <c r="M2" s="125"/>
      <c r="N2" s="129"/>
      <c r="O2" s="131"/>
    </row>
    <row r="3" spans="1:15">
      <c r="A3" s="132" t="s">
        <v>50</v>
      </c>
      <c r="B3" s="133">
        <f>PL[[#Totals],[ARTICLE ]]</f>
        <v>43</v>
      </c>
      <c r="C3" s="133">
        <f t="shared" ref="C3:C7" si="0">I3+B3</f>
        <v>46</v>
      </c>
      <c r="D3" s="135">
        <f>'LACE - ALL'!E56</f>
        <v>213.1</v>
      </c>
      <c r="E3" s="139">
        <f>'LACE - ALL'!H56</f>
        <v>33683.5</v>
      </c>
      <c r="F3" s="141">
        <f>'LACE - SOLD'!C32</f>
        <v>16</v>
      </c>
      <c r="G3" s="135">
        <f>'LACE - SOLD'!E32</f>
        <v>78.3</v>
      </c>
      <c r="H3" s="139">
        <f>'LACE - SOLD'!J32</f>
        <v>11238.6</v>
      </c>
      <c r="I3" s="133">
        <f>'LACE - PENDING'!C18</f>
        <v>3</v>
      </c>
      <c r="J3" s="135">
        <f>'LACE - PENDING'!E18</f>
        <v>14.4</v>
      </c>
      <c r="K3" s="139">
        <f>'LACE - PENDING'!G18</f>
        <v>2160</v>
      </c>
      <c r="L3" s="133">
        <f t="shared" ref="L3:L7" si="1">F3+I3+B3</f>
        <v>62</v>
      </c>
      <c r="M3" s="135">
        <f t="shared" ref="M3:M7" si="2">D3+G3+J3</f>
        <v>305.79999999999995</v>
      </c>
      <c r="N3" s="137">
        <f t="shared" ref="N3:N7" si="3">H3+K3+E3</f>
        <v>47082.1</v>
      </c>
      <c r="O3" s="139">
        <f>'LACE - SOLD'!L32</f>
        <v>14349.68</v>
      </c>
    </row>
    <row r="4" spans="1:15">
      <c r="A4" s="132" t="s">
        <v>51</v>
      </c>
      <c r="B4" s="133">
        <f>'LACE - ALL'!C111</f>
        <v>50</v>
      </c>
      <c r="C4" s="133">
        <f t="shared" si="0"/>
        <v>51</v>
      </c>
      <c r="D4" s="135">
        <f>'LACE - ALL'!E111</f>
        <v>238.39999999999992</v>
      </c>
      <c r="E4" s="139">
        <f>'LACE - ALL'!H111</f>
        <v>63176</v>
      </c>
      <c r="F4" s="133">
        <f>'LACE - SOLD'!C56</f>
        <v>17</v>
      </c>
      <c r="G4" s="135">
        <f>'LACE - SOLD'!E56</f>
        <v>82.2</v>
      </c>
      <c r="H4" s="139">
        <f>'LACE - SOLD'!J56</f>
        <v>21860.91</v>
      </c>
      <c r="I4" s="133">
        <f>'LACE - PENDING'!C30</f>
        <v>1</v>
      </c>
      <c r="J4" s="135">
        <f>'LACE - PENDING'!E30</f>
        <v>4.7</v>
      </c>
      <c r="K4" s="142">
        <f>'LACE - PENDING'!G30</f>
        <v>1245.5</v>
      </c>
      <c r="L4" s="133">
        <f t="shared" si="1"/>
        <v>68</v>
      </c>
      <c r="M4" s="135">
        <f t="shared" si="2"/>
        <v>325.2999999999999</v>
      </c>
      <c r="N4" s="137">
        <f t="shared" si="3"/>
        <v>86282.41</v>
      </c>
      <c r="O4" s="139">
        <f>'LACE - SOLD'!L56</f>
        <v>26736.891</v>
      </c>
    </row>
    <row r="5" spans="1:15">
      <c r="A5" s="132" t="s">
        <v>52</v>
      </c>
      <c r="B5" s="133">
        <f>CD[[#Totals],[ARTICLE ]]</f>
        <v>34</v>
      </c>
      <c r="C5" s="133">
        <f t="shared" si="0"/>
        <v>34</v>
      </c>
      <c r="D5" s="135">
        <f>'LACE - ALL'!E151</f>
        <v>156.80000000000001</v>
      </c>
      <c r="E5" s="139">
        <f>'LACE - ALL'!H151</f>
        <v>28684</v>
      </c>
      <c r="F5" s="133">
        <f>'LACE - SOLD'!C91</f>
        <v>18</v>
      </c>
      <c r="G5" s="135">
        <f>'LACE - SOLD'!E91</f>
        <v>93</v>
      </c>
      <c r="H5" s="139">
        <f>'LACE - SOLD'!J91</f>
        <v>15106.08</v>
      </c>
      <c r="I5" s="133">
        <f>'LACE - PENDING'!C40</f>
        <v>0</v>
      </c>
      <c r="J5" s="135">
        <f>'LACE - PENDING'!E40</f>
        <v>0</v>
      </c>
      <c r="K5" s="139">
        <f>'LACE - PENDING'!G40</f>
        <v>0</v>
      </c>
      <c r="L5" s="133">
        <f t="shared" si="1"/>
        <v>52</v>
      </c>
      <c r="M5" s="135">
        <f t="shared" si="2"/>
        <v>249.8</v>
      </c>
      <c r="N5" s="137">
        <f t="shared" si="3"/>
        <v>43790.080000000002</v>
      </c>
      <c r="O5" s="139">
        <f>'LACE - SOLD'!L91</f>
        <v>30607.226999999999</v>
      </c>
    </row>
    <row r="6" spans="1:15">
      <c r="A6" s="132" t="s">
        <v>62</v>
      </c>
      <c r="B6" s="133">
        <f>'LACE - ALL'!B252</f>
        <v>93</v>
      </c>
      <c r="C6" s="133">
        <f t="shared" si="0"/>
        <v>93</v>
      </c>
      <c r="D6" s="135">
        <f>'LACE - ALL'!E252</f>
        <v>591.19999999999925</v>
      </c>
      <c r="E6" s="139">
        <f>'LACE - ALL'!H252</f>
        <v>135555</v>
      </c>
      <c r="F6" s="133">
        <f>'LACE - SOLD'!C100</f>
        <v>2</v>
      </c>
      <c r="G6" s="135">
        <f>'LACE - SOLD'!E100</f>
        <v>12.8</v>
      </c>
      <c r="H6" s="139">
        <f>'LACE - SOLD'!J100</f>
        <v>1920</v>
      </c>
      <c r="I6" s="133">
        <f>'LACE - PENDING'!C50</f>
        <v>0</v>
      </c>
      <c r="J6" s="135">
        <f>'LACE - PENDING'!E50</f>
        <v>0</v>
      </c>
      <c r="K6" s="139">
        <f>'LACE - PENDING'!G50</f>
        <v>0</v>
      </c>
      <c r="L6" s="133">
        <f t="shared" si="1"/>
        <v>95</v>
      </c>
      <c r="M6" s="135">
        <f t="shared" si="2"/>
        <v>603.9999999999992</v>
      </c>
      <c r="N6" s="137">
        <f t="shared" si="3"/>
        <v>137475</v>
      </c>
      <c r="O6" s="139">
        <f>'LACE - SOLD'!L100</f>
        <v>120</v>
      </c>
    </row>
    <row r="7" spans="1:15">
      <c r="A7" s="132" t="s">
        <v>54</v>
      </c>
      <c r="B7" s="133">
        <f>'LACE - ALL'!B329</f>
        <v>70</v>
      </c>
      <c r="C7" s="133">
        <f t="shared" si="0"/>
        <v>70</v>
      </c>
      <c r="D7" s="135">
        <f>'LACE - ALL'!E329</f>
        <v>329.99999999999994</v>
      </c>
      <c r="E7" s="139">
        <f>'LACE - ALL'!H329</f>
        <v>9900</v>
      </c>
      <c r="F7" s="133">
        <f>'LACE - SOLD'!C109</f>
        <v>0</v>
      </c>
      <c r="G7" s="135">
        <f>'LACE - SOLD'!E109</f>
        <v>0</v>
      </c>
      <c r="H7" s="139">
        <f>'LACE - SOLD'!J109</f>
        <v>0</v>
      </c>
      <c r="I7" s="133">
        <f>'LACE - PENDING'!C61</f>
        <v>0</v>
      </c>
      <c r="J7" s="135">
        <f>'LACE - PENDING'!E61</f>
        <v>0</v>
      </c>
      <c r="K7" s="139">
        <f>'LACE - PENDING'!G61</f>
        <v>0</v>
      </c>
      <c r="L7" s="133">
        <f t="shared" si="1"/>
        <v>70</v>
      </c>
      <c r="M7" s="135">
        <f t="shared" si="2"/>
        <v>329.99999999999994</v>
      </c>
      <c r="N7" s="137">
        <f t="shared" si="3"/>
        <v>9900</v>
      </c>
      <c r="O7" s="139">
        <f>'LACE - SOLD'!L109</f>
        <v>0</v>
      </c>
    </row>
    <row r="8" spans="1:15">
      <c r="A8" s="143" t="s">
        <v>53</v>
      </c>
      <c r="B8" s="144">
        <f t="shared" ref="B8:O8" si="4">SUM(B3:B7)</f>
        <v>290</v>
      </c>
      <c r="C8" s="144">
        <f t="shared" si="4"/>
        <v>294</v>
      </c>
      <c r="D8" s="146">
        <f t="shared" si="4"/>
        <v>1529.4999999999991</v>
      </c>
      <c r="E8" s="150">
        <f t="shared" si="4"/>
        <v>270998.5</v>
      </c>
      <c r="F8" s="144">
        <f t="shared" si="4"/>
        <v>53</v>
      </c>
      <c r="G8" s="146">
        <f t="shared" si="4"/>
        <v>266.3</v>
      </c>
      <c r="H8" s="150">
        <f t="shared" si="4"/>
        <v>50125.590000000004</v>
      </c>
      <c r="I8" s="144">
        <f t="shared" si="4"/>
        <v>4</v>
      </c>
      <c r="J8" s="146">
        <f t="shared" si="4"/>
        <v>19.100000000000001</v>
      </c>
      <c r="K8" s="150">
        <f t="shared" si="4"/>
        <v>3405.5</v>
      </c>
      <c r="L8" s="144">
        <f t="shared" si="4"/>
        <v>347</v>
      </c>
      <c r="M8" s="146">
        <f t="shared" si="4"/>
        <v>1814.8999999999992</v>
      </c>
      <c r="N8" s="148">
        <f t="shared" si="4"/>
        <v>324529.59000000003</v>
      </c>
      <c r="O8" s="150">
        <f t="shared" si="4"/>
        <v>71813.797999999995</v>
      </c>
    </row>
    <row r="9" spans="1:15">
      <c r="A9" s="151"/>
      <c r="B9" s="152"/>
      <c r="C9" s="152"/>
      <c r="D9" s="154"/>
      <c r="E9" s="158"/>
      <c r="F9" s="152"/>
      <c r="G9" s="154"/>
      <c r="H9" s="158"/>
      <c r="I9" s="152"/>
      <c r="J9" s="152"/>
      <c r="K9" s="158"/>
      <c r="L9" s="152"/>
      <c r="M9" s="152"/>
      <c r="N9" s="156"/>
      <c r="O9" s="15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M329"/>
  <sheetViews>
    <sheetView workbookViewId="0"/>
  </sheetViews>
  <sheetFormatPr defaultColWidth="12.6640625" defaultRowHeight="15.75" customHeight="1"/>
  <cols>
    <col min="1" max="1" width="4.44140625" customWidth="1"/>
    <col min="2" max="2" width="18.33203125" customWidth="1"/>
    <col min="3" max="3" width="19.109375" customWidth="1"/>
    <col min="4" max="4" width="16" customWidth="1"/>
    <col min="5" max="5" width="6.6640625" customWidth="1"/>
    <col min="6" max="6" width="12" customWidth="1"/>
    <col min="7" max="7" width="11.88671875" customWidth="1"/>
    <col min="8" max="8" width="13.88671875" customWidth="1"/>
    <col min="9" max="9" width="16.109375" customWidth="1"/>
    <col min="10" max="10" width="13" customWidth="1"/>
  </cols>
  <sheetData>
    <row r="1" spans="1:13" ht="16.8">
      <c r="A1" s="971" t="s">
        <v>146</v>
      </c>
      <c r="B1" s="931"/>
      <c r="C1" s="931"/>
      <c r="D1" s="932"/>
      <c r="E1" s="252"/>
      <c r="F1" s="930" t="s">
        <v>147</v>
      </c>
      <c r="G1" s="931"/>
      <c r="H1" s="932"/>
      <c r="I1" s="252"/>
      <c r="J1" s="252"/>
      <c r="K1" s="252"/>
      <c r="L1" s="252"/>
      <c r="M1" s="252"/>
    </row>
    <row r="2" spans="1:13" ht="18">
      <c r="A2" s="971" t="s">
        <v>148</v>
      </c>
      <c r="B2" s="931"/>
      <c r="C2" s="932"/>
      <c r="D2" s="530" t="s">
        <v>149</v>
      </c>
      <c r="E2" s="252"/>
      <c r="F2" s="972" t="s">
        <v>150</v>
      </c>
      <c r="G2" s="932"/>
      <c r="H2" s="254"/>
      <c r="I2" s="938" t="s">
        <v>151</v>
      </c>
      <c r="J2" s="929"/>
      <c r="K2" s="929"/>
      <c r="L2" s="929"/>
      <c r="M2" s="929"/>
    </row>
    <row r="3" spans="1:13" ht="18">
      <c r="A3" s="976"/>
      <c r="B3" s="931"/>
      <c r="C3" s="932"/>
      <c r="D3" s="596"/>
      <c r="E3" s="252"/>
      <c r="F3" s="971" t="s">
        <v>153</v>
      </c>
      <c r="G3" s="932"/>
      <c r="H3" s="257" t="s">
        <v>2459</v>
      </c>
      <c r="I3" s="929"/>
      <c r="J3" s="929"/>
      <c r="K3" s="929"/>
      <c r="L3" s="929"/>
      <c r="M3" s="929"/>
    </row>
    <row r="4" spans="1:13" ht="39.75" customHeight="1">
      <c r="A4" s="976"/>
      <c r="B4" s="931"/>
      <c r="C4" s="932"/>
      <c r="D4" s="258"/>
      <c r="E4" s="252"/>
      <c r="F4" s="976" t="s">
        <v>156</v>
      </c>
      <c r="G4" s="932"/>
      <c r="H4" s="254"/>
      <c r="I4" s="252"/>
      <c r="J4" s="252"/>
      <c r="K4" s="252"/>
      <c r="L4" s="252"/>
      <c r="M4" s="252"/>
    </row>
    <row r="5" spans="1:13" ht="18">
      <c r="A5" s="976"/>
      <c r="B5" s="931"/>
      <c r="C5" s="932"/>
      <c r="D5" s="258"/>
      <c r="E5" s="252"/>
      <c r="F5" s="976" t="s">
        <v>158</v>
      </c>
      <c r="G5" s="932"/>
      <c r="H5" s="252"/>
      <c r="I5" s="597"/>
      <c r="J5" s="597"/>
      <c r="K5" s="597"/>
      <c r="L5" s="597"/>
      <c r="M5" s="252"/>
    </row>
    <row r="6" spans="1:13" ht="18">
      <c r="A6" s="976"/>
      <c r="B6" s="931"/>
      <c r="C6" s="932"/>
      <c r="D6" s="258"/>
      <c r="E6" s="259"/>
      <c r="F6" s="976" t="s">
        <v>161</v>
      </c>
      <c r="G6" s="932"/>
      <c r="H6" s="252"/>
      <c r="I6" s="597"/>
      <c r="J6" s="597"/>
      <c r="K6" s="597"/>
      <c r="L6" s="597"/>
      <c r="M6" s="252"/>
    </row>
    <row r="7" spans="1:13" ht="18">
      <c r="A7" s="972"/>
      <c r="B7" s="931"/>
      <c r="C7" s="932"/>
      <c r="D7" s="598"/>
      <c r="E7" s="259"/>
      <c r="F7" s="976" t="s">
        <v>163</v>
      </c>
      <c r="G7" s="932"/>
      <c r="H7" s="252"/>
      <c r="I7" s="981" t="s">
        <v>159</v>
      </c>
      <c r="J7" s="964"/>
      <c r="K7" s="982">
        <f>H56+H111+H151+H252+H329</f>
        <v>270998.5</v>
      </c>
      <c r="L7" s="964"/>
      <c r="M7" s="252"/>
    </row>
    <row r="8" spans="1:13" ht="16.8">
      <c r="A8" s="252"/>
      <c r="B8" s="252"/>
      <c r="C8" s="252"/>
      <c r="D8" s="252"/>
      <c r="E8" s="259"/>
      <c r="F8" s="976" t="s">
        <v>164</v>
      </c>
      <c r="G8" s="932"/>
      <c r="H8" s="252"/>
      <c r="I8" s="967"/>
      <c r="J8" s="968"/>
      <c r="K8" s="967"/>
      <c r="L8" s="968"/>
      <c r="M8" s="252"/>
    </row>
    <row r="9" spans="1:13" ht="16.8">
      <c r="A9" s="252"/>
      <c r="B9" s="261"/>
      <c r="C9" s="261"/>
      <c r="D9" s="262"/>
      <c r="E9" s="262"/>
      <c r="F9" s="252"/>
      <c r="G9" s="263"/>
      <c r="H9" s="252"/>
      <c r="I9" s="252"/>
      <c r="J9" s="252"/>
      <c r="K9" s="252"/>
      <c r="L9" s="252"/>
      <c r="M9" s="252"/>
    </row>
    <row r="10" spans="1:13" ht="16.2">
      <c r="A10" s="597"/>
      <c r="B10" s="597"/>
      <c r="C10" s="597"/>
      <c r="D10" s="597"/>
      <c r="E10" s="597"/>
      <c r="F10" s="597"/>
      <c r="G10" s="597"/>
      <c r="H10" s="597"/>
      <c r="I10" s="597"/>
      <c r="J10" s="597"/>
      <c r="K10" s="597"/>
      <c r="L10" s="597"/>
      <c r="M10" s="597"/>
    </row>
    <row r="11" spans="1:13" ht="13.2">
      <c r="A11" s="983" t="s">
        <v>2460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2"/>
    </row>
    <row r="12" spans="1:13" ht="22.5" customHeight="1">
      <c r="A12" s="599" t="s">
        <v>165</v>
      </c>
      <c r="B12" s="599" t="s">
        <v>166</v>
      </c>
      <c r="C12" s="255" t="s">
        <v>167</v>
      </c>
      <c r="D12" s="599" t="s">
        <v>168</v>
      </c>
      <c r="E12" s="600" t="s">
        <v>2461</v>
      </c>
      <c r="F12" s="313" t="s">
        <v>2462</v>
      </c>
      <c r="G12" s="601" t="s">
        <v>2463</v>
      </c>
      <c r="H12" s="601" t="s">
        <v>2464</v>
      </c>
      <c r="I12" s="254" t="s">
        <v>2465</v>
      </c>
      <c r="J12" s="254" t="s">
        <v>2466</v>
      </c>
      <c r="K12" s="254" t="s">
        <v>2467</v>
      </c>
      <c r="L12" s="254" t="s">
        <v>2468</v>
      </c>
      <c r="M12" s="287" t="s">
        <v>177</v>
      </c>
    </row>
    <row r="13" spans="1:13" ht="22.5" customHeight="1">
      <c r="A13" s="254">
        <v>1</v>
      </c>
      <c r="B13" s="254" t="s">
        <v>2469</v>
      </c>
      <c r="C13" s="254" t="s">
        <v>2470</v>
      </c>
      <c r="D13" s="254" t="s">
        <v>2471</v>
      </c>
      <c r="E13" s="602">
        <v>5.3</v>
      </c>
      <c r="F13" s="289">
        <v>30</v>
      </c>
      <c r="G13" s="290">
        <f t="shared" ref="G13:G54" si="0">F13*5</f>
        <v>150</v>
      </c>
      <c r="H13" s="290">
        <f t="shared" ref="H13:H54" si="1">G13*E13</f>
        <v>795</v>
      </c>
      <c r="I13" s="320">
        <v>917.99999999999989</v>
      </c>
      <c r="J13" s="290">
        <f t="shared" ref="J13:J54" si="2">I13*E13</f>
        <v>4865.3999999999996</v>
      </c>
      <c r="K13" s="290">
        <f t="shared" ref="K13:K55" si="3">I13/2</f>
        <v>458.99999999999994</v>
      </c>
      <c r="L13" s="290">
        <f t="shared" ref="L13:L54" si="4">K13*E13</f>
        <v>2432.6999999999998</v>
      </c>
      <c r="M13" s="320"/>
    </row>
    <row r="14" spans="1:13" ht="22.5" customHeight="1">
      <c r="A14" s="254">
        <v>2</v>
      </c>
      <c r="B14" s="254" t="s">
        <v>2472</v>
      </c>
      <c r="C14" s="254" t="s">
        <v>2470</v>
      </c>
      <c r="D14" s="254" t="s">
        <v>2471</v>
      </c>
      <c r="E14" s="602">
        <v>4.8</v>
      </c>
      <c r="F14" s="289">
        <v>30</v>
      </c>
      <c r="G14" s="290">
        <f t="shared" si="0"/>
        <v>150</v>
      </c>
      <c r="H14" s="290">
        <f t="shared" si="1"/>
        <v>720</v>
      </c>
      <c r="I14" s="320">
        <v>917.99999999999989</v>
      </c>
      <c r="J14" s="290">
        <f t="shared" si="2"/>
        <v>4406.3999999999996</v>
      </c>
      <c r="K14" s="290">
        <f t="shared" si="3"/>
        <v>458.99999999999994</v>
      </c>
      <c r="L14" s="290">
        <f t="shared" si="4"/>
        <v>2203.1999999999998</v>
      </c>
      <c r="M14" s="320"/>
    </row>
    <row r="15" spans="1:13" ht="22.5" customHeight="1">
      <c r="A15" s="254">
        <v>3</v>
      </c>
      <c r="B15" s="254" t="s">
        <v>2473</v>
      </c>
      <c r="C15" s="254" t="s">
        <v>2470</v>
      </c>
      <c r="D15" s="254" t="s">
        <v>2474</v>
      </c>
      <c r="E15" s="602">
        <v>5</v>
      </c>
      <c r="F15" s="289">
        <v>30</v>
      </c>
      <c r="G15" s="290">
        <f t="shared" si="0"/>
        <v>150</v>
      </c>
      <c r="H15" s="290">
        <f t="shared" si="1"/>
        <v>750</v>
      </c>
      <c r="I15" s="320">
        <v>917.99999999999989</v>
      </c>
      <c r="J15" s="290">
        <f t="shared" si="2"/>
        <v>4589.9999999999991</v>
      </c>
      <c r="K15" s="290">
        <f t="shared" si="3"/>
        <v>458.99999999999994</v>
      </c>
      <c r="L15" s="290">
        <f t="shared" si="4"/>
        <v>2294.9999999999995</v>
      </c>
      <c r="M15" s="320"/>
    </row>
    <row r="16" spans="1:13" ht="22.5" customHeight="1">
      <c r="A16" s="254">
        <v>4</v>
      </c>
      <c r="B16" s="254" t="s">
        <v>2475</v>
      </c>
      <c r="C16" s="254" t="s">
        <v>2470</v>
      </c>
      <c r="D16" s="254" t="s">
        <v>2476</v>
      </c>
      <c r="E16" s="602">
        <v>5</v>
      </c>
      <c r="F16" s="289">
        <v>30</v>
      </c>
      <c r="G16" s="290">
        <f t="shared" si="0"/>
        <v>150</v>
      </c>
      <c r="H16" s="290">
        <f t="shared" si="1"/>
        <v>750</v>
      </c>
      <c r="I16" s="320">
        <v>917.99999999999989</v>
      </c>
      <c r="J16" s="290">
        <f t="shared" si="2"/>
        <v>4589.9999999999991</v>
      </c>
      <c r="K16" s="290">
        <f t="shared" si="3"/>
        <v>458.99999999999994</v>
      </c>
      <c r="L16" s="290">
        <f t="shared" si="4"/>
        <v>2294.9999999999995</v>
      </c>
      <c r="M16" s="320"/>
    </row>
    <row r="17" spans="1:13" ht="22.5" customHeight="1">
      <c r="A17" s="254">
        <v>5</v>
      </c>
      <c r="B17" s="254" t="s">
        <v>2477</v>
      </c>
      <c r="C17" s="254" t="s">
        <v>2470</v>
      </c>
      <c r="D17" s="254" t="s">
        <v>2478</v>
      </c>
      <c r="E17" s="602">
        <v>5.9</v>
      </c>
      <c r="F17" s="289">
        <v>30</v>
      </c>
      <c r="G17" s="290">
        <f t="shared" si="0"/>
        <v>150</v>
      </c>
      <c r="H17" s="290">
        <f t="shared" si="1"/>
        <v>885</v>
      </c>
      <c r="I17" s="320">
        <v>917.99999999999989</v>
      </c>
      <c r="J17" s="290">
        <f t="shared" si="2"/>
        <v>5416.2</v>
      </c>
      <c r="K17" s="290">
        <f t="shared" si="3"/>
        <v>458.99999999999994</v>
      </c>
      <c r="L17" s="290">
        <f t="shared" si="4"/>
        <v>2708.1</v>
      </c>
      <c r="M17" s="320"/>
    </row>
    <row r="18" spans="1:13" ht="22.5" customHeight="1">
      <c r="A18" s="254">
        <v>6</v>
      </c>
      <c r="B18" s="254" t="s">
        <v>2479</v>
      </c>
      <c r="C18" s="254" t="s">
        <v>2470</v>
      </c>
      <c r="D18" s="254" t="s">
        <v>2471</v>
      </c>
      <c r="E18" s="602">
        <v>5.2</v>
      </c>
      <c r="F18" s="289">
        <v>30</v>
      </c>
      <c r="G18" s="290">
        <f t="shared" si="0"/>
        <v>150</v>
      </c>
      <c r="H18" s="290">
        <f t="shared" si="1"/>
        <v>780</v>
      </c>
      <c r="I18" s="320">
        <v>917.99999999999989</v>
      </c>
      <c r="J18" s="290">
        <f t="shared" si="2"/>
        <v>4773.5999999999995</v>
      </c>
      <c r="K18" s="290">
        <f t="shared" si="3"/>
        <v>458.99999999999994</v>
      </c>
      <c r="L18" s="290">
        <f t="shared" si="4"/>
        <v>2386.7999999999997</v>
      </c>
      <c r="M18" s="320"/>
    </row>
    <row r="19" spans="1:13" ht="22.5" customHeight="1">
      <c r="A19" s="254">
        <v>7</v>
      </c>
      <c r="B19" s="254" t="s">
        <v>2480</v>
      </c>
      <c r="C19" s="254" t="s">
        <v>2470</v>
      </c>
      <c r="D19" s="254" t="s">
        <v>2471</v>
      </c>
      <c r="E19" s="602">
        <v>5.4</v>
      </c>
      <c r="F19" s="289">
        <v>30</v>
      </c>
      <c r="G19" s="290">
        <f t="shared" si="0"/>
        <v>150</v>
      </c>
      <c r="H19" s="290">
        <f t="shared" si="1"/>
        <v>810</v>
      </c>
      <c r="I19" s="320">
        <v>917.99999999999989</v>
      </c>
      <c r="J19" s="290">
        <f t="shared" si="2"/>
        <v>4957.2</v>
      </c>
      <c r="K19" s="290">
        <f t="shared" si="3"/>
        <v>458.99999999999994</v>
      </c>
      <c r="L19" s="290">
        <f t="shared" si="4"/>
        <v>2478.6</v>
      </c>
      <c r="M19" s="320"/>
    </row>
    <row r="20" spans="1:13" ht="22.5" customHeight="1">
      <c r="A20" s="254">
        <v>8</v>
      </c>
      <c r="B20" s="254" t="s">
        <v>2481</v>
      </c>
      <c r="C20" s="254" t="s">
        <v>2470</v>
      </c>
      <c r="D20" s="254" t="s">
        <v>2482</v>
      </c>
      <c r="E20" s="602">
        <v>5.2</v>
      </c>
      <c r="F20" s="289">
        <v>30</v>
      </c>
      <c r="G20" s="290">
        <f t="shared" si="0"/>
        <v>150</v>
      </c>
      <c r="H20" s="290">
        <f t="shared" si="1"/>
        <v>780</v>
      </c>
      <c r="I20" s="320">
        <v>917.99999999999989</v>
      </c>
      <c r="J20" s="290">
        <f t="shared" si="2"/>
        <v>4773.5999999999995</v>
      </c>
      <c r="K20" s="290">
        <f t="shared" si="3"/>
        <v>458.99999999999994</v>
      </c>
      <c r="L20" s="290">
        <f t="shared" si="4"/>
        <v>2386.7999999999997</v>
      </c>
      <c r="M20" s="320"/>
    </row>
    <row r="21" spans="1:13" ht="22.5" customHeight="1">
      <c r="A21" s="254">
        <v>9</v>
      </c>
      <c r="B21" s="254" t="s">
        <v>2483</v>
      </c>
      <c r="C21" s="254" t="s">
        <v>2470</v>
      </c>
      <c r="D21" s="254" t="s">
        <v>2471</v>
      </c>
      <c r="E21" s="602">
        <v>4.3</v>
      </c>
      <c r="F21" s="289">
        <v>30</v>
      </c>
      <c r="G21" s="290">
        <f t="shared" si="0"/>
        <v>150</v>
      </c>
      <c r="H21" s="290">
        <f t="shared" si="1"/>
        <v>645</v>
      </c>
      <c r="I21" s="320">
        <v>917.99999999999989</v>
      </c>
      <c r="J21" s="290">
        <f t="shared" si="2"/>
        <v>3947.3999999999992</v>
      </c>
      <c r="K21" s="290">
        <f t="shared" si="3"/>
        <v>458.99999999999994</v>
      </c>
      <c r="L21" s="290">
        <f t="shared" si="4"/>
        <v>1973.6999999999996</v>
      </c>
      <c r="M21" s="320"/>
    </row>
    <row r="22" spans="1:13" ht="22.5" customHeight="1">
      <c r="A22" s="254">
        <v>10</v>
      </c>
      <c r="B22" s="254" t="s">
        <v>2484</v>
      </c>
      <c r="C22" s="254" t="s">
        <v>2470</v>
      </c>
      <c r="D22" s="254" t="s">
        <v>2471</v>
      </c>
      <c r="E22" s="602">
        <v>4.5999999999999996</v>
      </c>
      <c r="F22" s="289">
        <v>30</v>
      </c>
      <c r="G22" s="290">
        <f t="shared" si="0"/>
        <v>150</v>
      </c>
      <c r="H22" s="290">
        <f t="shared" si="1"/>
        <v>690</v>
      </c>
      <c r="I22" s="320">
        <v>917.99999999999989</v>
      </c>
      <c r="J22" s="290">
        <f t="shared" si="2"/>
        <v>4222.7999999999993</v>
      </c>
      <c r="K22" s="290">
        <f t="shared" si="3"/>
        <v>458.99999999999994</v>
      </c>
      <c r="L22" s="290">
        <f t="shared" si="4"/>
        <v>2111.3999999999996</v>
      </c>
      <c r="M22" s="320"/>
    </row>
    <row r="23" spans="1:13" ht="22.5" customHeight="1">
      <c r="A23" s="254">
        <v>11</v>
      </c>
      <c r="B23" s="254" t="s">
        <v>2485</v>
      </c>
      <c r="C23" s="254" t="s">
        <v>2470</v>
      </c>
      <c r="D23" s="254" t="s">
        <v>2476</v>
      </c>
      <c r="E23" s="602">
        <v>4.8</v>
      </c>
      <c r="F23" s="289">
        <v>30</v>
      </c>
      <c r="G23" s="290">
        <f t="shared" si="0"/>
        <v>150</v>
      </c>
      <c r="H23" s="290">
        <f t="shared" si="1"/>
        <v>720</v>
      </c>
      <c r="I23" s="320">
        <v>917.99999999999989</v>
      </c>
      <c r="J23" s="290">
        <f t="shared" si="2"/>
        <v>4406.3999999999996</v>
      </c>
      <c r="K23" s="290">
        <f t="shared" si="3"/>
        <v>458.99999999999994</v>
      </c>
      <c r="L23" s="290">
        <f t="shared" si="4"/>
        <v>2203.1999999999998</v>
      </c>
      <c r="M23" s="320"/>
    </row>
    <row r="24" spans="1:13" ht="22.5" customHeight="1">
      <c r="A24" s="254">
        <v>12</v>
      </c>
      <c r="B24" s="254" t="s">
        <v>2486</v>
      </c>
      <c r="C24" s="254" t="s">
        <v>2470</v>
      </c>
      <c r="D24" s="254" t="s">
        <v>2487</v>
      </c>
      <c r="E24" s="602">
        <v>5.2</v>
      </c>
      <c r="F24" s="289">
        <v>30</v>
      </c>
      <c r="G24" s="290">
        <f t="shared" si="0"/>
        <v>150</v>
      </c>
      <c r="H24" s="290">
        <f t="shared" si="1"/>
        <v>780</v>
      </c>
      <c r="I24" s="320">
        <v>917.99999999999989</v>
      </c>
      <c r="J24" s="290">
        <f t="shared" si="2"/>
        <v>4773.5999999999995</v>
      </c>
      <c r="K24" s="290">
        <f t="shared" si="3"/>
        <v>458.99999999999994</v>
      </c>
      <c r="L24" s="290">
        <f t="shared" si="4"/>
        <v>2386.7999999999997</v>
      </c>
      <c r="M24" s="320"/>
    </row>
    <row r="25" spans="1:13" ht="22.5" customHeight="1">
      <c r="A25" s="254">
        <v>13</v>
      </c>
      <c r="B25" s="254" t="s">
        <v>2488</v>
      </c>
      <c r="C25" s="254" t="s">
        <v>2470</v>
      </c>
      <c r="D25" s="254" t="s">
        <v>2489</v>
      </c>
      <c r="E25" s="602">
        <v>5</v>
      </c>
      <c r="F25" s="289">
        <v>30</v>
      </c>
      <c r="G25" s="290">
        <f t="shared" si="0"/>
        <v>150</v>
      </c>
      <c r="H25" s="290">
        <f t="shared" si="1"/>
        <v>750</v>
      </c>
      <c r="I25" s="320">
        <v>917.99999999999989</v>
      </c>
      <c r="J25" s="290">
        <f t="shared" si="2"/>
        <v>4589.9999999999991</v>
      </c>
      <c r="K25" s="290">
        <f t="shared" si="3"/>
        <v>458.99999999999994</v>
      </c>
      <c r="L25" s="290">
        <f t="shared" si="4"/>
        <v>2294.9999999999995</v>
      </c>
      <c r="M25" s="320"/>
    </row>
    <row r="26" spans="1:13" ht="22.5" customHeight="1">
      <c r="A26" s="254">
        <v>14</v>
      </c>
      <c r="B26" s="254" t="s">
        <v>2490</v>
      </c>
      <c r="C26" s="254" t="s">
        <v>2470</v>
      </c>
      <c r="D26" s="254" t="s">
        <v>2487</v>
      </c>
      <c r="E26" s="602">
        <v>4.5999999999999996</v>
      </c>
      <c r="F26" s="289">
        <v>30</v>
      </c>
      <c r="G26" s="290">
        <f t="shared" si="0"/>
        <v>150</v>
      </c>
      <c r="H26" s="290">
        <f t="shared" si="1"/>
        <v>690</v>
      </c>
      <c r="I26" s="320">
        <v>917.99999999999989</v>
      </c>
      <c r="J26" s="290">
        <f t="shared" si="2"/>
        <v>4222.7999999999993</v>
      </c>
      <c r="K26" s="290">
        <f t="shared" si="3"/>
        <v>458.99999999999994</v>
      </c>
      <c r="L26" s="290">
        <f t="shared" si="4"/>
        <v>2111.3999999999996</v>
      </c>
      <c r="M26" s="320"/>
    </row>
    <row r="27" spans="1:13" ht="22.5" customHeight="1">
      <c r="A27" s="254">
        <v>15</v>
      </c>
      <c r="B27" s="254" t="s">
        <v>2491</v>
      </c>
      <c r="C27" s="254" t="s">
        <v>2470</v>
      </c>
      <c r="D27" s="254" t="s">
        <v>2492</v>
      </c>
      <c r="E27" s="602">
        <v>4.5</v>
      </c>
      <c r="F27" s="289">
        <v>30</v>
      </c>
      <c r="G27" s="290">
        <f t="shared" si="0"/>
        <v>150</v>
      </c>
      <c r="H27" s="290">
        <f t="shared" si="1"/>
        <v>675</v>
      </c>
      <c r="I27" s="320">
        <v>917.99999999999989</v>
      </c>
      <c r="J27" s="290">
        <f t="shared" si="2"/>
        <v>4130.9999999999991</v>
      </c>
      <c r="K27" s="290">
        <f t="shared" si="3"/>
        <v>458.99999999999994</v>
      </c>
      <c r="L27" s="290">
        <f t="shared" si="4"/>
        <v>2065.4999999999995</v>
      </c>
      <c r="M27" s="320"/>
    </row>
    <row r="28" spans="1:13" ht="22.5" customHeight="1">
      <c r="A28" s="254">
        <v>16</v>
      </c>
      <c r="B28" s="254" t="s">
        <v>2493</v>
      </c>
      <c r="C28" s="254" t="s">
        <v>2470</v>
      </c>
      <c r="D28" s="254" t="s">
        <v>2494</v>
      </c>
      <c r="E28" s="602">
        <v>4.4000000000000004</v>
      </c>
      <c r="F28" s="289">
        <v>30</v>
      </c>
      <c r="G28" s="290">
        <f t="shared" si="0"/>
        <v>150</v>
      </c>
      <c r="H28" s="290">
        <f t="shared" si="1"/>
        <v>660</v>
      </c>
      <c r="I28" s="320">
        <v>917.99999999999989</v>
      </c>
      <c r="J28" s="290">
        <f t="shared" si="2"/>
        <v>4039.2</v>
      </c>
      <c r="K28" s="290">
        <f t="shared" si="3"/>
        <v>458.99999999999994</v>
      </c>
      <c r="L28" s="290">
        <f t="shared" si="4"/>
        <v>2019.6</v>
      </c>
      <c r="M28" s="320"/>
    </row>
    <row r="29" spans="1:13" ht="22.5" customHeight="1">
      <c r="A29" s="254">
        <v>17</v>
      </c>
      <c r="B29" s="254" t="s">
        <v>2495</v>
      </c>
      <c r="C29" s="254" t="s">
        <v>2496</v>
      </c>
      <c r="D29" s="254" t="s">
        <v>2497</v>
      </c>
      <c r="E29" s="602">
        <v>5.7</v>
      </c>
      <c r="F29" s="289">
        <v>37</v>
      </c>
      <c r="G29" s="290">
        <f t="shared" si="0"/>
        <v>185</v>
      </c>
      <c r="H29" s="290">
        <f t="shared" si="1"/>
        <v>1054.5</v>
      </c>
      <c r="I29" s="320">
        <v>917.99999999999989</v>
      </c>
      <c r="J29" s="290">
        <f t="shared" si="2"/>
        <v>5232.5999999999995</v>
      </c>
      <c r="K29" s="290">
        <f t="shared" si="3"/>
        <v>458.99999999999994</v>
      </c>
      <c r="L29" s="290">
        <f t="shared" si="4"/>
        <v>2616.2999999999997</v>
      </c>
      <c r="M29" s="320"/>
    </row>
    <row r="30" spans="1:13" ht="22.5" customHeight="1">
      <c r="A30" s="254">
        <v>18</v>
      </c>
      <c r="B30" s="254" t="s">
        <v>2498</v>
      </c>
      <c r="C30" s="254" t="s">
        <v>2496</v>
      </c>
      <c r="D30" s="254" t="s">
        <v>2499</v>
      </c>
      <c r="E30" s="602">
        <v>5.0999999999999996</v>
      </c>
      <c r="F30" s="289">
        <v>37</v>
      </c>
      <c r="G30" s="290">
        <f t="shared" si="0"/>
        <v>185</v>
      </c>
      <c r="H30" s="290">
        <f t="shared" si="1"/>
        <v>943.49999999999989</v>
      </c>
      <c r="I30" s="320">
        <v>917.99999999999989</v>
      </c>
      <c r="J30" s="290">
        <f t="shared" si="2"/>
        <v>4681.7999999999993</v>
      </c>
      <c r="K30" s="290">
        <f t="shared" si="3"/>
        <v>458.99999999999994</v>
      </c>
      <c r="L30" s="290">
        <f t="shared" si="4"/>
        <v>2340.8999999999996</v>
      </c>
      <c r="M30" s="320"/>
    </row>
    <row r="31" spans="1:13" ht="22.5" customHeight="1">
      <c r="A31" s="254">
        <v>19</v>
      </c>
      <c r="B31" s="254" t="s">
        <v>2500</v>
      </c>
      <c r="C31" s="254" t="s">
        <v>2496</v>
      </c>
      <c r="D31" s="254" t="s">
        <v>2478</v>
      </c>
      <c r="E31" s="602">
        <v>5.0999999999999996</v>
      </c>
      <c r="F31" s="289">
        <v>37</v>
      </c>
      <c r="G31" s="290">
        <f t="shared" si="0"/>
        <v>185</v>
      </c>
      <c r="H31" s="290">
        <f t="shared" si="1"/>
        <v>943.49999999999989</v>
      </c>
      <c r="I31" s="320">
        <v>917.99999999999989</v>
      </c>
      <c r="J31" s="290">
        <f t="shared" si="2"/>
        <v>4681.7999999999993</v>
      </c>
      <c r="K31" s="290">
        <f t="shared" si="3"/>
        <v>458.99999999999994</v>
      </c>
      <c r="L31" s="290">
        <f t="shared" si="4"/>
        <v>2340.8999999999996</v>
      </c>
      <c r="M31" s="320"/>
    </row>
    <row r="32" spans="1:13" ht="22.5" customHeight="1">
      <c r="A32" s="254">
        <v>20</v>
      </c>
      <c r="B32" s="254" t="s">
        <v>2501</v>
      </c>
      <c r="C32" s="254" t="s">
        <v>2496</v>
      </c>
      <c r="D32" s="254" t="s">
        <v>2502</v>
      </c>
      <c r="E32" s="602">
        <v>4</v>
      </c>
      <c r="F32" s="289">
        <v>37</v>
      </c>
      <c r="G32" s="290">
        <f t="shared" si="0"/>
        <v>185</v>
      </c>
      <c r="H32" s="290">
        <f t="shared" si="1"/>
        <v>740</v>
      </c>
      <c r="I32" s="320">
        <v>917.99999999999989</v>
      </c>
      <c r="J32" s="290">
        <f t="shared" si="2"/>
        <v>3671.9999999999995</v>
      </c>
      <c r="K32" s="290">
        <f t="shared" si="3"/>
        <v>458.99999999999994</v>
      </c>
      <c r="L32" s="290">
        <f t="shared" si="4"/>
        <v>1835.9999999999998</v>
      </c>
      <c r="M32" s="320"/>
    </row>
    <row r="33" spans="1:13" ht="22.5" customHeight="1">
      <c r="A33" s="254">
        <v>21</v>
      </c>
      <c r="B33" s="254" t="s">
        <v>2503</v>
      </c>
      <c r="C33" s="254" t="s">
        <v>2496</v>
      </c>
      <c r="D33" s="254" t="s">
        <v>2504</v>
      </c>
      <c r="E33" s="602">
        <v>4.2</v>
      </c>
      <c r="F33" s="289">
        <v>37</v>
      </c>
      <c r="G33" s="290">
        <f t="shared" si="0"/>
        <v>185</v>
      </c>
      <c r="H33" s="290">
        <f t="shared" si="1"/>
        <v>777</v>
      </c>
      <c r="I33" s="320">
        <v>917.99999999999989</v>
      </c>
      <c r="J33" s="290">
        <f t="shared" si="2"/>
        <v>3855.6</v>
      </c>
      <c r="K33" s="290">
        <f t="shared" si="3"/>
        <v>458.99999999999994</v>
      </c>
      <c r="L33" s="290">
        <f t="shared" si="4"/>
        <v>1927.8</v>
      </c>
      <c r="M33" s="320"/>
    </row>
    <row r="34" spans="1:13" ht="22.5" customHeight="1">
      <c r="A34" s="254">
        <v>22</v>
      </c>
      <c r="B34" s="254" t="s">
        <v>2505</v>
      </c>
      <c r="C34" s="254" t="s">
        <v>2496</v>
      </c>
      <c r="D34" s="254" t="s">
        <v>2502</v>
      </c>
      <c r="E34" s="602">
        <v>5</v>
      </c>
      <c r="F34" s="289">
        <v>37</v>
      </c>
      <c r="G34" s="290">
        <f t="shared" si="0"/>
        <v>185</v>
      </c>
      <c r="H34" s="290">
        <f t="shared" si="1"/>
        <v>925</v>
      </c>
      <c r="I34" s="320">
        <v>917.99999999999989</v>
      </c>
      <c r="J34" s="290">
        <f t="shared" si="2"/>
        <v>4589.9999999999991</v>
      </c>
      <c r="K34" s="290">
        <f t="shared" si="3"/>
        <v>458.99999999999994</v>
      </c>
      <c r="L34" s="290">
        <f t="shared" si="4"/>
        <v>2294.9999999999995</v>
      </c>
      <c r="M34" s="320"/>
    </row>
    <row r="35" spans="1:13" ht="22.5" customHeight="1">
      <c r="A35" s="254">
        <v>23</v>
      </c>
      <c r="B35" s="254" t="s">
        <v>2506</v>
      </c>
      <c r="C35" s="254" t="s">
        <v>2496</v>
      </c>
      <c r="D35" s="254" t="s">
        <v>2507</v>
      </c>
      <c r="E35" s="602">
        <v>5</v>
      </c>
      <c r="F35" s="289">
        <v>37</v>
      </c>
      <c r="G35" s="290">
        <f t="shared" si="0"/>
        <v>185</v>
      </c>
      <c r="H35" s="290">
        <f t="shared" si="1"/>
        <v>925</v>
      </c>
      <c r="I35" s="320">
        <v>917.99999999999989</v>
      </c>
      <c r="J35" s="290">
        <f t="shared" si="2"/>
        <v>4589.9999999999991</v>
      </c>
      <c r="K35" s="290">
        <f t="shared" si="3"/>
        <v>458.99999999999994</v>
      </c>
      <c r="L35" s="290">
        <f t="shared" si="4"/>
        <v>2294.9999999999995</v>
      </c>
      <c r="M35" s="320"/>
    </row>
    <row r="36" spans="1:13" ht="22.5" customHeight="1">
      <c r="A36" s="254">
        <v>24</v>
      </c>
      <c r="B36" s="254" t="s">
        <v>2508</v>
      </c>
      <c r="C36" s="254" t="s">
        <v>2496</v>
      </c>
      <c r="D36" s="254" t="s">
        <v>2507</v>
      </c>
      <c r="E36" s="602">
        <v>5.5</v>
      </c>
      <c r="F36" s="289">
        <v>37</v>
      </c>
      <c r="G36" s="290">
        <f t="shared" si="0"/>
        <v>185</v>
      </c>
      <c r="H36" s="290">
        <f t="shared" si="1"/>
        <v>1017.5</v>
      </c>
      <c r="I36" s="320">
        <v>917.99999999999989</v>
      </c>
      <c r="J36" s="290">
        <f t="shared" si="2"/>
        <v>5048.9999999999991</v>
      </c>
      <c r="K36" s="290">
        <f t="shared" si="3"/>
        <v>458.99999999999994</v>
      </c>
      <c r="L36" s="290">
        <f t="shared" si="4"/>
        <v>2524.4999999999995</v>
      </c>
      <c r="M36" s="320"/>
    </row>
    <row r="37" spans="1:13" ht="22.5" customHeight="1">
      <c r="A37" s="254">
        <v>25</v>
      </c>
      <c r="B37" s="254" t="s">
        <v>2509</v>
      </c>
      <c r="C37" s="254" t="s">
        <v>2496</v>
      </c>
      <c r="D37" s="254" t="s">
        <v>2510</v>
      </c>
      <c r="E37" s="602">
        <v>5.2</v>
      </c>
      <c r="F37" s="289">
        <v>37</v>
      </c>
      <c r="G37" s="290">
        <f t="shared" si="0"/>
        <v>185</v>
      </c>
      <c r="H37" s="290">
        <f t="shared" si="1"/>
        <v>962</v>
      </c>
      <c r="I37" s="320">
        <v>917.99999999999989</v>
      </c>
      <c r="J37" s="290">
        <f t="shared" si="2"/>
        <v>4773.5999999999995</v>
      </c>
      <c r="K37" s="290">
        <f t="shared" si="3"/>
        <v>458.99999999999994</v>
      </c>
      <c r="L37" s="290">
        <f t="shared" si="4"/>
        <v>2386.7999999999997</v>
      </c>
      <c r="M37" s="320"/>
    </row>
    <row r="38" spans="1:13" ht="22.5" customHeight="1">
      <c r="A38" s="254">
        <v>26</v>
      </c>
      <c r="B38" s="254" t="s">
        <v>2511</v>
      </c>
      <c r="C38" s="254" t="s">
        <v>2496</v>
      </c>
      <c r="D38" s="254" t="s">
        <v>2471</v>
      </c>
      <c r="E38" s="602">
        <v>4.3</v>
      </c>
      <c r="F38" s="289">
        <v>37</v>
      </c>
      <c r="G38" s="290">
        <f t="shared" si="0"/>
        <v>185</v>
      </c>
      <c r="H38" s="290">
        <f t="shared" si="1"/>
        <v>795.5</v>
      </c>
      <c r="I38" s="320">
        <v>917.99999999999989</v>
      </c>
      <c r="J38" s="290">
        <f t="shared" si="2"/>
        <v>3947.3999999999992</v>
      </c>
      <c r="K38" s="290">
        <f t="shared" si="3"/>
        <v>458.99999999999994</v>
      </c>
      <c r="L38" s="290">
        <f t="shared" si="4"/>
        <v>1973.6999999999996</v>
      </c>
      <c r="M38" s="320"/>
    </row>
    <row r="39" spans="1:13" ht="22.5" customHeight="1">
      <c r="A39" s="254">
        <v>27</v>
      </c>
      <c r="B39" s="254" t="s">
        <v>2512</v>
      </c>
      <c r="C39" s="254" t="s">
        <v>2513</v>
      </c>
      <c r="D39" s="254" t="s">
        <v>2514</v>
      </c>
      <c r="E39" s="602">
        <v>5.2</v>
      </c>
      <c r="F39" s="289">
        <v>30</v>
      </c>
      <c r="G39" s="290">
        <f t="shared" si="0"/>
        <v>150</v>
      </c>
      <c r="H39" s="290">
        <f t="shared" si="1"/>
        <v>780</v>
      </c>
      <c r="I39" s="320">
        <v>917.99999999999989</v>
      </c>
      <c r="J39" s="290">
        <f t="shared" si="2"/>
        <v>4773.5999999999995</v>
      </c>
      <c r="K39" s="290">
        <f t="shared" si="3"/>
        <v>458.99999999999994</v>
      </c>
      <c r="L39" s="290">
        <f t="shared" si="4"/>
        <v>2386.7999999999997</v>
      </c>
      <c r="M39" s="320"/>
    </row>
    <row r="40" spans="1:13" ht="22.5" customHeight="1">
      <c r="A40" s="254">
        <v>28</v>
      </c>
      <c r="B40" s="254" t="s">
        <v>2515</v>
      </c>
      <c r="C40" s="254" t="s">
        <v>2516</v>
      </c>
      <c r="D40" s="254" t="s">
        <v>2487</v>
      </c>
      <c r="E40" s="602">
        <v>5</v>
      </c>
      <c r="F40" s="289">
        <v>30</v>
      </c>
      <c r="G40" s="290">
        <f t="shared" si="0"/>
        <v>150</v>
      </c>
      <c r="H40" s="290">
        <f t="shared" si="1"/>
        <v>750</v>
      </c>
      <c r="I40" s="320">
        <v>917.99999999999989</v>
      </c>
      <c r="J40" s="290">
        <f t="shared" si="2"/>
        <v>4589.9999999999991</v>
      </c>
      <c r="K40" s="290">
        <f t="shared" si="3"/>
        <v>458.99999999999994</v>
      </c>
      <c r="L40" s="290">
        <f t="shared" si="4"/>
        <v>2294.9999999999995</v>
      </c>
      <c r="M40" s="320"/>
    </row>
    <row r="41" spans="1:13" ht="22.5" customHeight="1">
      <c r="A41" s="254">
        <v>29</v>
      </c>
      <c r="B41" s="254" t="s">
        <v>2517</v>
      </c>
      <c r="C41" s="254" t="s">
        <v>2513</v>
      </c>
      <c r="D41" s="254" t="s">
        <v>2471</v>
      </c>
      <c r="E41" s="602">
        <v>5.3</v>
      </c>
      <c r="F41" s="289">
        <v>30</v>
      </c>
      <c r="G41" s="290">
        <f t="shared" si="0"/>
        <v>150</v>
      </c>
      <c r="H41" s="290">
        <f t="shared" si="1"/>
        <v>795</v>
      </c>
      <c r="I41" s="320">
        <v>917.99999999999989</v>
      </c>
      <c r="J41" s="290">
        <f t="shared" si="2"/>
        <v>4865.3999999999996</v>
      </c>
      <c r="K41" s="290">
        <f t="shared" si="3"/>
        <v>458.99999999999994</v>
      </c>
      <c r="L41" s="290">
        <f t="shared" si="4"/>
        <v>2432.6999999999998</v>
      </c>
      <c r="M41" s="320"/>
    </row>
    <row r="42" spans="1:13" ht="22.5" customHeight="1">
      <c r="A42" s="254">
        <v>30</v>
      </c>
      <c r="B42" s="254" t="s">
        <v>2518</v>
      </c>
      <c r="C42" s="254" t="s">
        <v>2513</v>
      </c>
      <c r="D42" s="254" t="s">
        <v>2471</v>
      </c>
      <c r="E42" s="602">
        <v>5</v>
      </c>
      <c r="F42" s="289">
        <v>30</v>
      </c>
      <c r="G42" s="290">
        <f t="shared" si="0"/>
        <v>150</v>
      </c>
      <c r="H42" s="290">
        <f t="shared" si="1"/>
        <v>750</v>
      </c>
      <c r="I42" s="320">
        <v>917.99999999999989</v>
      </c>
      <c r="J42" s="290">
        <f t="shared" si="2"/>
        <v>4589.9999999999991</v>
      </c>
      <c r="K42" s="290">
        <f t="shared" si="3"/>
        <v>458.99999999999994</v>
      </c>
      <c r="L42" s="290">
        <f t="shared" si="4"/>
        <v>2294.9999999999995</v>
      </c>
      <c r="M42" s="320"/>
    </row>
    <row r="43" spans="1:13" ht="22.5" customHeight="1">
      <c r="A43" s="254">
        <v>31</v>
      </c>
      <c r="B43" s="254" t="s">
        <v>2519</v>
      </c>
      <c r="C43" s="254" t="s">
        <v>2513</v>
      </c>
      <c r="D43" s="254" t="s">
        <v>2458</v>
      </c>
      <c r="E43" s="602">
        <v>5.4</v>
      </c>
      <c r="F43" s="289">
        <v>30</v>
      </c>
      <c r="G43" s="290">
        <f t="shared" si="0"/>
        <v>150</v>
      </c>
      <c r="H43" s="290">
        <f t="shared" si="1"/>
        <v>810</v>
      </c>
      <c r="I43" s="320">
        <v>917.99999999999989</v>
      </c>
      <c r="J43" s="290">
        <f t="shared" si="2"/>
        <v>4957.2</v>
      </c>
      <c r="K43" s="290">
        <f t="shared" si="3"/>
        <v>458.99999999999994</v>
      </c>
      <c r="L43" s="290">
        <f t="shared" si="4"/>
        <v>2478.6</v>
      </c>
      <c r="M43" s="320"/>
    </row>
    <row r="44" spans="1:13" ht="22.5" customHeight="1">
      <c r="A44" s="254">
        <v>32</v>
      </c>
      <c r="B44" s="254" t="s">
        <v>2520</v>
      </c>
      <c r="C44" s="254" t="s">
        <v>2513</v>
      </c>
      <c r="D44" s="254" t="s">
        <v>2458</v>
      </c>
      <c r="E44" s="602">
        <v>4.5</v>
      </c>
      <c r="F44" s="289">
        <v>30</v>
      </c>
      <c r="G44" s="290">
        <f t="shared" si="0"/>
        <v>150</v>
      </c>
      <c r="H44" s="290">
        <f t="shared" si="1"/>
        <v>675</v>
      </c>
      <c r="I44" s="320">
        <v>917.99999999999989</v>
      </c>
      <c r="J44" s="290">
        <f t="shared" si="2"/>
        <v>4130.9999999999991</v>
      </c>
      <c r="K44" s="290">
        <f t="shared" si="3"/>
        <v>458.99999999999994</v>
      </c>
      <c r="L44" s="290">
        <f t="shared" si="4"/>
        <v>2065.4999999999995</v>
      </c>
      <c r="M44" s="320"/>
    </row>
    <row r="45" spans="1:13" ht="22.5" customHeight="1">
      <c r="A45" s="254">
        <v>33</v>
      </c>
      <c r="B45" s="254" t="s">
        <v>2521</v>
      </c>
      <c r="C45" s="254" t="s">
        <v>2513</v>
      </c>
      <c r="D45" s="254" t="s">
        <v>2497</v>
      </c>
      <c r="E45" s="602">
        <v>5.5</v>
      </c>
      <c r="F45" s="289">
        <v>30</v>
      </c>
      <c r="G45" s="290">
        <f t="shared" si="0"/>
        <v>150</v>
      </c>
      <c r="H45" s="290">
        <f t="shared" si="1"/>
        <v>825</v>
      </c>
      <c r="I45" s="320">
        <v>917.99999999999989</v>
      </c>
      <c r="J45" s="290">
        <f t="shared" si="2"/>
        <v>5048.9999999999991</v>
      </c>
      <c r="K45" s="290">
        <f t="shared" si="3"/>
        <v>458.99999999999994</v>
      </c>
      <c r="L45" s="290">
        <f t="shared" si="4"/>
        <v>2524.4999999999995</v>
      </c>
      <c r="M45" s="320"/>
    </row>
    <row r="46" spans="1:13" ht="22.5" customHeight="1">
      <c r="A46" s="254">
        <v>34</v>
      </c>
      <c r="B46" s="254" t="s">
        <v>2522</v>
      </c>
      <c r="C46" s="254" t="s">
        <v>2513</v>
      </c>
      <c r="D46" s="254" t="s">
        <v>2458</v>
      </c>
      <c r="E46" s="602">
        <v>5.0999999999999996</v>
      </c>
      <c r="F46" s="289">
        <v>30</v>
      </c>
      <c r="G46" s="290">
        <f t="shared" si="0"/>
        <v>150</v>
      </c>
      <c r="H46" s="290">
        <f t="shared" si="1"/>
        <v>765</v>
      </c>
      <c r="I46" s="320">
        <v>917.99999999999989</v>
      </c>
      <c r="J46" s="290">
        <f t="shared" si="2"/>
        <v>4681.7999999999993</v>
      </c>
      <c r="K46" s="290">
        <f t="shared" si="3"/>
        <v>458.99999999999994</v>
      </c>
      <c r="L46" s="290">
        <f t="shared" si="4"/>
        <v>2340.8999999999996</v>
      </c>
      <c r="M46" s="320"/>
    </row>
    <row r="47" spans="1:13" ht="22.5" customHeight="1">
      <c r="A47" s="254">
        <v>35</v>
      </c>
      <c r="B47" s="254" t="s">
        <v>2523</v>
      </c>
      <c r="C47" s="254" t="s">
        <v>2516</v>
      </c>
      <c r="D47" s="254" t="s">
        <v>2471</v>
      </c>
      <c r="E47" s="602">
        <v>5</v>
      </c>
      <c r="F47" s="289">
        <v>30</v>
      </c>
      <c r="G47" s="290">
        <f t="shared" si="0"/>
        <v>150</v>
      </c>
      <c r="H47" s="290">
        <f t="shared" si="1"/>
        <v>750</v>
      </c>
      <c r="I47" s="320">
        <v>917.99999999999989</v>
      </c>
      <c r="J47" s="290">
        <f t="shared" si="2"/>
        <v>4589.9999999999991</v>
      </c>
      <c r="K47" s="290">
        <f t="shared" si="3"/>
        <v>458.99999999999994</v>
      </c>
      <c r="L47" s="290">
        <f t="shared" si="4"/>
        <v>2294.9999999999995</v>
      </c>
      <c r="M47" s="320"/>
    </row>
    <row r="48" spans="1:13" ht="22.5" customHeight="1">
      <c r="A48" s="254">
        <v>36</v>
      </c>
      <c r="B48" s="254" t="s">
        <v>2524</v>
      </c>
      <c r="C48" s="254" t="s">
        <v>2525</v>
      </c>
      <c r="D48" s="254" t="s">
        <v>2526</v>
      </c>
      <c r="E48" s="602">
        <v>4.3</v>
      </c>
      <c r="F48" s="289">
        <v>30</v>
      </c>
      <c r="G48" s="290">
        <f t="shared" si="0"/>
        <v>150</v>
      </c>
      <c r="H48" s="290">
        <f t="shared" si="1"/>
        <v>645</v>
      </c>
      <c r="I48" s="320">
        <v>917.99999999999989</v>
      </c>
      <c r="J48" s="290">
        <f t="shared" si="2"/>
        <v>3947.3999999999992</v>
      </c>
      <c r="K48" s="290">
        <f t="shared" si="3"/>
        <v>458.99999999999994</v>
      </c>
      <c r="L48" s="290">
        <f t="shared" si="4"/>
        <v>1973.6999999999996</v>
      </c>
      <c r="M48" s="320"/>
    </row>
    <row r="49" spans="1:13" ht="22.5" customHeight="1">
      <c r="A49" s="254">
        <v>37</v>
      </c>
      <c r="B49" s="254" t="s">
        <v>2527</v>
      </c>
      <c r="C49" s="254" t="s">
        <v>2528</v>
      </c>
      <c r="D49" s="254" t="s">
        <v>2458</v>
      </c>
      <c r="E49" s="602">
        <v>5.2</v>
      </c>
      <c r="F49" s="289">
        <v>30</v>
      </c>
      <c r="G49" s="290">
        <f t="shared" si="0"/>
        <v>150</v>
      </c>
      <c r="H49" s="290">
        <f t="shared" si="1"/>
        <v>780</v>
      </c>
      <c r="I49" s="320">
        <v>917.99999999999989</v>
      </c>
      <c r="J49" s="290">
        <f t="shared" si="2"/>
        <v>4773.5999999999995</v>
      </c>
      <c r="K49" s="290">
        <f t="shared" si="3"/>
        <v>458.99999999999994</v>
      </c>
      <c r="L49" s="290">
        <f t="shared" si="4"/>
        <v>2386.7999999999997</v>
      </c>
      <c r="M49" s="320"/>
    </row>
    <row r="50" spans="1:13" ht="22.5" customHeight="1">
      <c r="A50" s="254">
        <v>38</v>
      </c>
      <c r="B50" s="254" t="s">
        <v>2529</v>
      </c>
      <c r="C50" s="254" t="s">
        <v>2528</v>
      </c>
      <c r="D50" s="254" t="s">
        <v>2474</v>
      </c>
      <c r="E50" s="602">
        <v>5.2</v>
      </c>
      <c r="F50" s="289">
        <v>30</v>
      </c>
      <c r="G50" s="290">
        <f t="shared" si="0"/>
        <v>150</v>
      </c>
      <c r="H50" s="290">
        <f t="shared" si="1"/>
        <v>780</v>
      </c>
      <c r="I50" s="320">
        <v>917.99999999999989</v>
      </c>
      <c r="J50" s="290">
        <f t="shared" si="2"/>
        <v>4773.5999999999995</v>
      </c>
      <c r="K50" s="290">
        <f t="shared" si="3"/>
        <v>458.99999999999994</v>
      </c>
      <c r="L50" s="290">
        <f t="shared" si="4"/>
        <v>2386.7999999999997</v>
      </c>
      <c r="M50" s="320"/>
    </row>
    <row r="51" spans="1:13" ht="22.5" customHeight="1">
      <c r="A51" s="254">
        <v>39</v>
      </c>
      <c r="B51" s="254" t="s">
        <v>2530</v>
      </c>
      <c r="C51" s="254" t="s">
        <v>2528</v>
      </c>
      <c r="D51" s="254" t="s">
        <v>2471</v>
      </c>
      <c r="E51" s="602">
        <v>5</v>
      </c>
      <c r="F51" s="289">
        <v>30</v>
      </c>
      <c r="G51" s="290">
        <f t="shared" si="0"/>
        <v>150</v>
      </c>
      <c r="H51" s="290">
        <f t="shared" si="1"/>
        <v>750</v>
      </c>
      <c r="I51" s="320">
        <v>917.99999999999989</v>
      </c>
      <c r="J51" s="290">
        <f t="shared" si="2"/>
        <v>4589.9999999999991</v>
      </c>
      <c r="K51" s="290">
        <f t="shared" si="3"/>
        <v>458.99999999999994</v>
      </c>
      <c r="L51" s="290">
        <f t="shared" si="4"/>
        <v>2294.9999999999995</v>
      </c>
      <c r="M51" s="320"/>
    </row>
    <row r="52" spans="1:13" ht="22.5" customHeight="1">
      <c r="A52" s="254">
        <v>40</v>
      </c>
      <c r="B52" s="254" t="s">
        <v>2531</v>
      </c>
      <c r="C52" s="254" t="s">
        <v>2528</v>
      </c>
      <c r="D52" s="254" t="s">
        <v>2474</v>
      </c>
      <c r="E52" s="602">
        <v>4.7</v>
      </c>
      <c r="F52" s="289">
        <v>30</v>
      </c>
      <c r="G52" s="290">
        <f t="shared" si="0"/>
        <v>150</v>
      </c>
      <c r="H52" s="290">
        <f t="shared" si="1"/>
        <v>705</v>
      </c>
      <c r="I52" s="320">
        <v>917.99999999999989</v>
      </c>
      <c r="J52" s="290">
        <f t="shared" si="2"/>
        <v>4314.5999999999995</v>
      </c>
      <c r="K52" s="290">
        <f t="shared" si="3"/>
        <v>458.99999999999994</v>
      </c>
      <c r="L52" s="290">
        <f t="shared" si="4"/>
        <v>2157.2999999999997</v>
      </c>
      <c r="M52" s="320"/>
    </row>
    <row r="53" spans="1:13" ht="22.5" customHeight="1">
      <c r="A53" s="254">
        <v>41</v>
      </c>
      <c r="B53" s="254" t="s">
        <v>2532</v>
      </c>
      <c r="C53" s="254" t="s">
        <v>2513</v>
      </c>
      <c r="D53" s="254" t="s">
        <v>2474</v>
      </c>
      <c r="E53" s="602">
        <v>5</v>
      </c>
      <c r="F53" s="289">
        <v>30</v>
      </c>
      <c r="G53" s="290">
        <f t="shared" si="0"/>
        <v>150</v>
      </c>
      <c r="H53" s="290">
        <f t="shared" si="1"/>
        <v>750</v>
      </c>
      <c r="I53" s="320">
        <v>917.99999999999989</v>
      </c>
      <c r="J53" s="290">
        <f t="shared" si="2"/>
        <v>4589.9999999999991</v>
      </c>
      <c r="K53" s="290">
        <f t="shared" si="3"/>
        <v>458.99999999999994</v>
      </c>
      <c r="L53" s="290">
        <f t="shared" si="4"/>
        <v>2294.9999999999995</v>
      </c>
      <c r="M53" s="320"/>
    </row>
    <row r="54" spans="1:13" ht="22.5" customHeight="1">
      <c r="A54" s="254">
        <v>42</v>
      </c>
      <c r="B54" s="254" t="s">
        <v>2533</v>
      </c>
      <c r="C54" s="254" t="s">
        <v>2513</v>
      </c>
      <c r="D54" s="254" t="s">
        <v>2471</v>
      </c>
      <c r="E54" s="602">
        <v>5.4</v>
      </c>
      <c r="F54" s="289">
        <v>30</v>
      </c>
      <c r="G54" s="290">
        <f t="shared" si="0"/>
        <v>150</v>
      </c>
      <c r="H54" s="290">
        <f t="shared" si="1"/>
        <v>810</v>
      </c>
      <c r="I54" s="320">
        <v>917.99999999999989</v>
      </c>
      <c r="J54" s="290">
        <f t="shared" si="2"/>
        <v>4957.2</v>
      </c>
      <c r="K54" s="290">
        <f t="shared" si="3"/>
        <v>458.99999999999994</v>
      </c>
      <c r="L54" s="290">
        <f t="shared" si="4"/>
        <v>2478.6</v>
      </c>
      <c r="M54" s="320"/>
    </row>
    <row r="55" spans="1:13" ht="22.5" customHeight="1">
      <c r="A55" s="254">
        <v>43</v>
      </c>
      <c r="B55" s="254" t="s">
        <v>2534</v>
      </c>
      <c r="C55" s="254" t="s">
        <v>2513</v>
      </c>
      <c r="D55" s="254" t="s">
        <v>2458</v>
      </c>
      <c r="E55" s="602">
        <v>4</v>
      </c>
      <c r="F55" s="289">
        <v>30</v>
      </c>
      <c r="G55" s="290">
        <v>150</v>
      </c>
      <c r="H55" s="290">
        <v>600</v>
      </c>
      <c r="I55" s="320">
        <v>917.99999999999989</v>
      </c>
      <c r="J55" s="290">
        <v>3000</v>
      </c>
      <c r="K55" s="290">
        <f t="shared" si="3"/>
        <v>458.99999999999994</v>
      </c>
      <c r="L55" s="290">
        <v>1800</v>
      </c>
      <c r="M55" s="320"/>
    </row>
    <row r="56" spans="1:13" ht="22.5" customHeight="1">
      <c r="A56" s="977" t="s">
        <v>318</v>
      </c>
      <c r="B56" s="932"/>
      <c r="C56" s="311">
        <f>COUNTA(PL[[ARTICLE ]])</f>
        <v>43</v>
      </c>
      <c r="D56" s="311"/>
      <c r="E56" s="603">
        <f>SUM(E12:E55)</f>
        <v>213.1</v>
      </c>
      <c r="F56" s="604"/>
      <c r="G56" s="604"/>
      <c r="H56" s="315">
        <f>SUM(H12:H55)</f>
        <v>33683.5</v>
      </c>
      <c r="I56" s="604"/>
      <c r="J56" s="604"/>
      <c r="K56" s="604"/>
      <c r="L56" s="604"/>
      <c r="M56" s="604"/>
    </row>
    <row r="57" spans="1:13" ht="16.2">
      <c r="A57" s="597"/>
      <c r="B57" s="597"/>
      <c r="C57" s="597"/>
      <c r="D57" s="597"/>
      <c r="E57" s="597"/>
      <c r="F57" s="597"/>
      <c r="G57" s="597"/>
      <c r="H57" s="597"/>
      <c r="I57" s="597"/>
      <c r="J57" s="597"/>
      <c r="K57" s="597"/>
      <c r="L57" s="597"/>
      <c r="M57" s="597"/>
    </row>
    <row r="58" spans="1:13" ht="16.2">
      <c r="A58" s="597"/>
      <c r="B58" s="597"/>
      <c r="C58" s="597"/>
      <c r="D58" s="597"/>
      <c r="E58" s="597"/>
      <c r="F58" s="597"/>
      <c r="G58" s="597"/>
      <c r="H58" s="597"/>
      <c r="I58" s="597"/>
      <c r="J58" s="597"/>
      <c r="K58" s="597"/>
      <c r="L58" s="597"/>
      <c r="M58" s="597"/>
    </row>
    <row r="59" spans="1:13" ht="13.2">
      <c r="A59" s="983" t="s">
        <v>2535</v>
      </c>
      <c r="B59" s="931"/>
      <c r="C59" s="931"/>
      <c r="D59" s="931"/>
      <c r="E59" s="931"/>
      <c r="F59" s="931"/>
      <c r="G59" s="931"/>
      <c r="H59" s="931"/>
      <c r="I59" s="931"/>
      <c r="J59" s="931"/>
      <c r="K59" s="931"/>
      <c r="L59" s="931"/>
      <c r="M59" s="932"/>
    </row>
    <row r="60" spans="1:13" ht="22.5" customHeight="1">
      <c r="A60" s="599" t="s">
        <v>165</v>
      </c>
      <c r="B60" s="599" t="s">
        <v>166</v>
      </c>
      <c r="C60" s="255" t="s">
        <v>167</v>
      </c>
      <c r="D60" s="599" t="s">
        <v>168</v>
      </c>
      <c r="E60" s="600" t="s">
        <v>2461</v>
      </c>
      <c r="F60" s="313" t="s">
        <v>2536</v>
      </c>
      <c r="G60" s="601" t="s">
        <v>2537</v>
      </c>
      <c r="H60" s="601" t="s">
        <v>2538</v>
      </c>
      <c r="I60" s="254" t="s">
        <v>2539</v>
      </c>
      <c r="J60" s="254" t="s">
        <v>2540</v>
      </c>
      <c r="K60" s="254" t="s">
        <v>2541</v>
      </c>
      <c r="L60" s="254" t="s">
        <v>2542</v>
      </c>
      <c r="M60" s="287" t="s">
        <v>177</v>
      </c>
    </row>
    <row r="61" spans="1:13" ht="22.5" customHeight="1">
      <c r="A61" s="254">
        <v>44</v>
      </c>
      <c r="B61" s="254" t="s">
        <v>2543</v>
      </c>
      <c r="C61" s="254" t="s">
        <v>2544</v>
      </c>
      <c r="D61" s="254" t="s">
        <v>2545</v>
      </c>
      <c r="E61" s="602">
        <v>3.4</v>
      </c>
      <c r="F61" s="289">
        <v>53</v>
      </c>
      <c r="G61" s="290">
        <f t="shared" ref="G61:G110" si="5">F61*5</f>
        <v>265</v>
      </c>
      <c r="H61" s="290">
        <f t="shared" ref="H61:H110" si="6">G61*E61</f>
        <v>901</v>
      </c>
      <c r="I61" s="320">
        <v>1621.8</v>
      </c>
      <c r="J61" s="290">
        <f t="shared" ref="J61:J110" si="7">I61*E61</f>
        <v>5514.12</v>
      </c>
      <c r="K61" s="290">
        <f t="shared" ref="K61:K110" si="8">I61/2</f>
        <v>810.9</v>
      </c>
      <c r="L61" s="290">
        <f t="shared" ref="L61:L110" si="9">K61*E61</f>
        <v>2757.06</v>
      </c>
      <c r="M61" s="254"/>
    </row>
    <row r="62" spans="1:13" ht="22.5" customHeight="1">
      <c r="A62" s="254">
        <v>45</v>
      </c>
      <c r="B62" s="254" t="s">
        <v>2546</v>
      </c>
      <c r="C62" s="254" t="s">
        <v>2544</v>
      </c>
      <c r="D62" s="254" t="s">
        <v>2547</v>
      </c>
      <c r="E62" s="602">
        <v>4</v>
      </c>
      <c r="F62" s="289">
        <v>53</v>
      </c>
      <c r="G62" s="290">
        <f t="shared" si="5"/>
        <v>265</v>
      </c>
      <c r="H62" s="290">
        <f t="shared" si="6"/>
        <v>1060</v>
      </c>
      <c r="I62" s="320">
        <v>1621.8</v>
      </c>
      <c r="J62" s="290">
        <f t="shared" si="7"/>
        <v>6487.2</v>
      </c>
      <c r="K62" s="290">
        <f t="shared" si="8"/>
        <v>810.9</v>
      </c>
      <c r="L62" s="290">
        <f t="shared" si="9"/>
        <v>3243.6</v>
      </c>
      <c r="M62" s="254"/>
    </row>
    <row r="63" spans="1:13" ht="22.5" customHeight="1">
      <c r="A63" s="254">
        <v>46</v>
      </c>
      <c r="B63" s="254" t="s">
        <v>2548</v>
      </c>
      <c r="C63" s="254" t="s">
        <v>2544</v>
      </c>
      <c r="D63" s="254" t="s">
        <v>2474</v>
      </c>
      <c r="E63" s="602">
        <v>4.9000000000000004</v>
      </c>
      <c r="F63" s="289">
        <v>53</v>
      </c>
      <c r="G63" s="290">
        <f t="shared" si="5"/>
        <v>265</v>
      </c>
      <c r="H63" s="290">
        <f t="shared" si="6"/>
        <v>1298.5</v>
      </c>
      <c r="I63" s="320">
        <v>1621.8</v>
      </c>
      <c r="J63" s="290">
        <f t="shared" si="7"/>
        <v>7946.8200000000006</v>
      </c>
      <c r="K63" s="290">
        <f t="shared" si="8"/>
        <v>810.9</v>
      </c>
      <c r="L63" s="290">
        <f t="shared" si="9"/>
        <v>3973.4100000000003</v>
      </c>
      <c r="M63" s="254"/>
    </row>
    <row r="64" spans="1:13" ht="22.5" customHeight="1">
      <c r="A64" s="254">
        <v>47</v>
      </c>
      <c r="B64" s="254" t="s">
        <v>2549</v>
      </c>
      <c r="C64" s="254" t="s">
        <v>2544</v>
      </c>
      <c r="D64" s="254" t="s">
        <v>2550</v>
      </c>
      <c r="E64" s="602">
        <v>4.5999999999999996</v>
      </c>
      <c r="F64" s="289">
        <v>53</v>
      </c>
      <c r="G64" s="290">
        <f t="shared" si="5"/>
        <v>265</v>
      </c>
      <c r="H64" s="290">
        <f t="shared" si="6"/>
        <v>1219</v>
      </c>
      <c r="I64" s="320">
        <v>1621.8</v>
      </c>
      <c r="J64" s="290">
        <f t="shared" si="7"/>
        <v>7460.2799999999988</v>
      </c>
      <c r="K64" s="290">
        <f t="shared" si="8"/>
        <v>810.9</v>
      </c>
      <c r="L64" s="290">
        <f t="shared" si="9"/>
        <v>3730.1399999999994</v>
      </c>
      <c r="M64" s="254"/>
    </row>
    <row r="65" spans="1:13" ht="22.5" customHeight="1">
      <c r="A65" s="254">
        <v>48</v>
      </c>
      <c r="B65" s="254" t="s">
        <v>2551</v>
      </c>
      <c r="C65" s="254" t="s">
        <v>2544</v>
      </c>
      <c r="D65" s="254" t="s">
        <v>2552</v>
      </c>
      <c r="E65" s="602">
        <v>4.2</v>
      </c>
      <c r="F65" s="289">
        <v>53</v>
      </c>
      <c r="G65" s="290">
        <f t="shared" si="5"/>
        <v>265</v>
      </c>
      <c r="H65" s="290">
        <f t="shared" si="6"/>
        <v>1113</v>
      </c>
      <c r="I65" s="320">
        <v>1621.8</v>
      </c>
      <c r="J65" s="290">
        <f t="shared" si="7"/>
        <v>6811.56</v>
      </c>
      <c r="K65" s="290">
        <f t="shared" si="8"/>
        <v>810.9</v>
      </c>
      <c r="L65" s="290">
        <f t="shared" si="9"/>
        <v>3405.78</v>
      </c>
      <c r="M65" s="254"/>
    </row>
    <row r="66" spans="1:13" ht="22.5" customHeight="1">
      <c r="A66" s="254">
        <v>49</v>
      </c>
      <c r="B66" s="254" t="s">
        <v>2553</v>
      </c>
      <c r="C66" s="254" t="s">
        <v>2554</v>
      </c>
      <c r="D66" s="254" t="s">
        <v>2547</v>
      </c>
      <c r="E66" s="602">
        <v>4.9000000000000004</v>
      </c>
      <c r="F66" s="289">
        <v>53</v>
      </c>
      <c r="G66" s="290">
        <f t="shared" si="5"/>
        <v>265</v>
      </c>
      <c r="H66" s="290">
        <f t="shared" si="6"/>
        <v>1298.5</v>
      </c>
      <c r="I66" s="320">
        <v>1621.8</v>
      </c>
      <c r="J66" s="290">
        <f t="shared" si="7"/>
        <v>7946.8200000000006</v>
      </c>
      <c r="K66" s="290">
        <f t="shared" si="8"/>
        <v>810.9</v>
      </c>
      <c r="L66" s="290">
        <f t="shared" si="9"/>
        <v>3973.4100000000003</v>
      </c>
      <c r="M66" s="254"/>
    </row>
    <row r="67" spans="1:13" ht="22.5" customHeight="1">
      <c r="A67" s="254">
        <v>50</v>
      </c>
      <c r="B67" s="254" t="s">
        <v>2555</v>
      </c>
      <c r="C67" s="254" t="s">
        <v>2554</v>
      </c>
      <c r="D67" s="254" t="s">
        <v>2556</v>
      </c>
      <c r="E67" s="602">
        <v>4.5999999999999996</v>
      </c>
      <c r="F67" s="289">
        <v>53</v>
      </c>
      <c r="G67" s="290">
        <f t="shared" si="5"/>
        <v>265</v>
      </c>
      <c r="H67" s="290">
        <f t="shared" si="6"/>
        <v>1219</v>
      </c>
      <c r="I67" s="320">
        <v>1621.8</v>
      </c>
      <c r="J67" s="290">
        <f t="shared" si="7"/>
        <v>7460.2799999999988</v>
      </c>
      <c r="K67" s="290">
        <f t="shared" si="8"/>
        <v>810.9</v>
      </c>
      <c r="L67" s="290">
        <f t="shared" si="9"/>
        <v>3730.1399999999994</v>
      </c>
      <c r="M67" s="254"/>
    </row>
    <row r="68" spans="1:13" ht="22.5" customHeight="1">
      <c r="A68" s="254">
        <v>51</v>
      </c>
      <c r="B68" s="254" t="s">
        <v>2557</v>
      </c>
      <c r="C68" s="254" t="s">
        <v>2554</v>
      </c>
      <c r="D68" s="254" t="s">
        <v>2552</v>
      </c>
      <c r="E68" s="602">
        <v>4.7</v>
      </c>
      <c r="F68" s="289">
        <v>53</v>
      </c>
      <c r="G68" s="290">
        <f t="shared" si="5"/>
        <v>265</v>
      </c>
      <c r="H68" s="290">
        <f t="shared" si="6"/>
        <v>1245.5</v>
      </c>
      <c r="I68" s="320">
        <v>1621.8</v>
      </c>
      <c r="J68" s="290">
        <f t="shared" si="7"/>
        <v>7622.46</v>
      </c>
      <c r="K68" s="290">
        <f t="shared" si="8"/>
        <v>810.9</v>
      </c>
      <c r="L68" s="290">
        <f t="shared" si="9"/>
        <v>3811.23</v>
      </c>
      <c r="M68" s="254"/>
    </row>
    <row r="69" spans="1:13" ht="22.5" customHeight="1">
      <c r="A69" s="254">
        <v>52</v>
      </c>
      <c r="B69" s="254" t="s">
        <v>2558</v>
      </c>
      <c r="C69" s="254" t="s">
        <v>2554</v>
      </c>
      <c r="D69" s="254" t="s">
        <v>2552</v>
      </c>
      <c r="E69" s="602">
        <v>4.9000000000000004</v>
      </c>
      <c r="F69" s="289">
        <v>53</v>
      </c>
      <c r="G69" s="290">
        <f t="shared" si="5"/>
        <v>265</v>
      </c>
      <c r="H69" s="290">
        <f t="shared" si="6"/>
        <v>1298.5</v>
      </c>
      <c r="I69" s="320">
        <v>1621.8</v>
      </c>
      <c r="J69" s="290">
        <f t="shared" si="7"/>
        <v>7946.8200000000006</v>
      </c>
      <c r="K69" s="290">
        <f t="shared" si="8"/>
        <v>810.9</v>
      </c>
      <c r="L69" s="290">
        <f t="shared" si="9"/>
        <v>3973.4100000000003</v>
      </c>
      <c r="M69" s="254"/>
    </row>
    <row r="70" spans="1:13" ht="22.5" customHeight="1">
      <c r="A70" s="254">
        <v>53</v>
      </c>
      <c r="B70" s="254" t="s">
        <v>2559</v>
      </c>
      <c r="C70" s="254" t="s">
        <v>2554</v>
      </c>
      <c r="D70" s="254" t="s">
        <v>2552</v>
      </c>
      <c r="E70" s="602">
        <v>4.7</v>
      </c>
      <c r="F70" s="289">
        <v>53</v>
      </c>
      <c r="G70" s="290">
        <f t="shared" si="5"/>
        <v>265</v>
      </c>
      <c r="H70" s="290">
        <f t="shared" si="6"/>
        <v>1245.5</v>
      </c>
      <c r="I70" s="320">
        <v>1621.8</v>
      </c>
      <c r="J70" s="290">
        <f t="shared" si="7"/>
        <v>7622.46</v>
      </c>
      <c r="K70" s="290">
        <f t="shared" si="8"/>
        <v>810.9</v>
      </c>
      <c r="L70" s="290">
        <f t="shared" si="9"/>
        <v>3811.23</v>
      </c>
      <c r="M70" s="254"/>
    </row>
    <row r="71" spans="1:13" ht="22.5" customHeight="1">
      <c r="A71" s="254">
        <v>54</v>
      </c>
      <c r="B71" s="254" t="s">
        <v>2560</v>
      </c>
      <c r="C71" s="254" t="s">
        <v>2561</v>
      </c>
      <c r="D71" s="254" t="s">
        <v>2474</v>
      </c>
      <c r="E71" s="602">
        <v>3.5</v>
      </c>
      <c r="F71" s="289">
        <v>53</v>
      </c>
      <c r="G71" s="290">
        <f t="shared" si="5"/>
        <v>265</v>
      </c>
      <c r="H71" s="290">
        <f t="shared" si="6"/>
        <v>927.5</v>
      </c>
      <c r="I71" s="320">
        <v>1621.8</v>
      </c>
      <c r="J71" s="290">
        <f t="shared" si="7"/>
        <v>5676.3</v>
      </c>
      <c r="K71" s="290">
        <f t="shared" si="8"/>
        <v>810.9</v>
      </c>
      <c r="L71" s="290">
        <f t="shared" si="9"/>
        <v>2838.15</v>
      </c>
      <c r="M71" s="254"/>
    </row>
    <row r="72" spans="1:13" ht="22.5" customHeight="1">
      <c r="A72" s="254">
        <v>55</v>
      </c>
      <c r="B72" s="254" t="s">
        <v>2562</v>
      </c>
      <c r="C72" s="254" t="s">
        <v>2561</v>
      </c>
      <c r="D72" s="254" t="s">
        <v>2474</v>
      </c>
      <c r="E72" s="602">
        <v>5.2</v>
      </c>
      <c r="F72" s="289">
        <v>53</v>
      </c>
      <c r="G72" s="290">
        <f t="shared" si="5"/>
        <v>265</v>
      </c>
      <c r="H72" s="290">
        <f t="shared" si="6"/>
        <v>1378</v>
      </c>
      <c r="I72" s="320">
        <v>1621.8</v>
      </c>
      <c r="J72" s="290">
        <f t="shared" si="7"/>
        <v>8433.36</v>
      </c>
      <c r="K72" s="290">
        <f t="shared" si="8"/>
        <v>810.9</v>
      </c>
      <c r="L72" s="290">
        <f t="shared" si="9"/>
        <v>4216.68</v>
      </c>
      <c r="M72" s="254"/>
    </row>
    <row r="73" spans="1:13" ht="22.5" customHeight="1">
      <c r="A73" s="254">
        <v>56</v>
      </c>
      <c r="B73" s="254" t="s">
        <v>2563</v>
      </c>
      <c r="C73" s="254" t="s">
        <v>2561</v>
      </c>
      <c r="D73" s="254" t="s">
        <v>2474</v>
      </c>
      <c r="E73" s="602">
        <v>4.8</v>
      </c>
      <c r="F73" s="289">
        <v>53</v>
      </c>
      <c r="G73" s="290">
        <f t="shared" si="5"/>
        <v>265</v>
      </c>
      <c r="H73" s="290">
        <f t="shared" si="6"/>
        <v>1272</v>
      </c>
      <c r="I73" s="320">
        <v>1621.8</v>
      </c>
      <c r="J73" s="290">
        <f t="shared" si="7"/>
        <v>7784.6399999999994</v>
      </c>
      <c r="K73" s="290">
        <f t="shared" si="8"/>
        <v>810.9</v>
      </c>
      <c r="L73" s="290">
        <f t="shared" si="9"/>
        <v>3892.3199999999997</v>
      </c>
      <c r="M73" s="254"/>
    </row>
    <row r="74" spans="1:13" ht="22.5" customHeight="1">
      <c r="A74" s="254">
        <v>57</v>
      </c>
      <c r="B74" s="254" t="s">
        <v>2564</v>
      </c>
      <c r="C74" s="254" t="s">
        <v>2565</v>
      </c>
      <c r="D74" s="254" t="s">
        <v>2474</v>
      </c>
      <c r="E74" s="602">
        <v>4.8</v>
      </c>
      <c r="F74" s="289">
        <v>53</v>
      </c>
      <c r="G74" s="290">
        <f t="shared" si="5"/>
        <v>265</v>
      </c>
      <c r="H74" s="290">
        <f t="shared" si="6"/>
        <v>1272</v>
      </c>
      <c r="I74" s="320">
        <v>1621.8</v>
      </c>
      <c r="J74" s="290">
        <f t="shared" si="7"/>
        <v>7784.6399999999994</v>
      </c>
      <c r="K74" s="290">
        <f t="shared" si="8"/>
        <v>810.9</v>
      </c>
      <c r="L74" s="290">
        <f t="shared" si="9"/>
        <v>3892.3199999999997</v>
      </c>
      <c r="M74" s="254"/>
    </row>
    <row r="75" spans="1:13" ht="22.5" customHeight="1">
      <c r="A75" s="254">
        <v>58</v>
      </c>
      <c r="B75" s="254" t="s">
        <v>2566</v>
      </c>
      <c r="C75" s="254" t="s">
        <v>2561</v>
      </c>
      <c r="D75" s="254" t="s">
        <v>2474</v>
      </c>
      <c r="E75" s="602">
        <v>4.7</v>
      </c>
      <c r="F75" s="289">
        <v>53</v>
      </c>
      <c r="G75" s="290">
        <f t="shared" si="5"/>
        <v>265</v>
      </c>
      <c r="H75" s="290">
        <f t="shared" si="6"/>
        <v>1245.5</v>
      </c>
      <c r="I75" s="320">
        <v>1621.8</v>
      </c>
      <c r="J75" s="290">
        <f t="shared" si="7"/>
        <v>7622.46</v>
      </c>
      <c r="K75" s="290">
        <f t="shared" si="8"/>
        <v>810.9</v>
      </c>
      <c r="L75" s="290">
        <f t="shared" si="9"/>
        <v>3811.23</v>
      </c>
      <c r="M75" s="254"/>
    </row>
    <row r="76" spans="1:13" ht="22.5" customHeight="1">
      <c r="A76" s="254">
        <v>59</v>
      </c>
      <c r="B76" s="254" t="s">
        <v>2567</v>
      </c>
      <c r="C76" s="254" t="s">
        <v>2561</v>
      </c>
      <c r="D76" s="254" t="s">
        <v>2552</v>
      </c>
      <c r="E76" s="602">
        <v>5</v>
      </c>
      <c r="F76" s="289">
        <v>53</v>
      </c>
      <c r="G76" s="290">
        <f t="shared" si="5"/>
        <v>265</v>
      </c>
      <c r="H76" s="290">
        <f t="shared" si="6"/>
        <v>1325</v>
      </c>
      <c r="I76" s="320">
        <v>1621.8</v>
      </c>
      <c r="J76" s="290">
        <f t="shared" si="7"/>
        <v>8109</v>
      </c>
      <c r="K76" s="290">
        <f t="shared" si="8"/>
        <v>810.9</v>
      </c>
      <c r="L76" s="290">
        <f t="shared" si="9"/>
        <v>4054.5</v>
      </c>
      <c r="M76" s="254"/>
    </row>
    <row r="77" spans="1:13" ht="22.5" customHeight="1">
      <c r="A77" s="254">
        <v>60</v>
      </c>
      <c r="B77" s="254" t="s">
        <v>2568</v>
      </c>
      <c r="C77" s="254" t="s">
        <v>2561</v>
      </c>
      <c r="D77" s="254" t="s">
        <v>2474</v>
      </c>
      <c r="E77" s="602">
        <v>3.9</v>
      </c>
      <c r="F77" s="289">
        <v>53</v>
      </c>
      <c r="G77" s="290">
        <f t="shared" si="5"/>
        <v>265</v>
      </c>
      <c r="H77" s="290">
        <f t="shared" si="6"/>
        <v>1033.5</v>
      </c>
      <c r="I77" s="320">
        <v>1621.8</v>
      </c>
      <c r="J77" s="290">
        <f t="shared" si="7"/>
        <v>6325.0199999999995</v>
      </c>
      <c r="K77" s="290">
        <f t="shared" si="8"/>
        <v>810.9</v>
      </c>
      <c r="L77" s="290">
        <f t="shared" si="9"/>
        <v>3162.5099999999998</v>
      </c>
      <c r="M77" s="254"/>
    </row>
    <row r="78" spans="1:13" ht="22.5" customHeight="1">
      <c r="A78" s="254">
        <v>61</v>
      </c>
      <c r="B78" s="254" t="s">
        <v>2569</v>
      </c>
      <c r="C78" s="254" t="s">
        <v>2570</v>
      </c>
      <c r="D78" s="254" t="s">
        <v>2474</v>
      </c>
      <c r="E78" s="602">
        <v>5.5</v>
      </c>
      <c r="F78" s="289">
        <v>53</v>
      </c>
      <c r="G78" s="290">
        <f t="shared" si="5"/>
        <v>265</v>
      </c>
      <c r="H78" s="290">
        <f t="shared" si="6"/>
        <v>1457.5</v>
      </c>
      <c r="I78" s="320">
        <v>1621.8</v>
      </c>
      <c r="J78" s="290">
        <f t="shared" si="7"/>
        <v>8919.9</v>
      </c>
      <c r="K78" s="290">
        <f t="shared" si="8"/>
        <v>810.9</v>
      </c>
      <c r="L78" s="290">
        <f t="shared" si="9"/>
        <v>4459.95</v>
      </c>
      <c r="M78" s="254"/>
    </row>
    <row r="79" spans="1:13" ht="22.5" customHeight="1">
      <c r="A79" s="254">
        <v>62</v>
      </c>
      <c r="B79" s="254" t="s">
        <v>2571</v>
      </c>
      <c r="C79" s="254" t="s">
        <v>2570</v>
      </c>
      <c r="D79" s="254" t="s">
        <v>2547</v>
      </c>
      <c r="E79" s="602">
        <v>5.0999999999999996</v>
      </c>
      <c r="F79" s="289">
        <v>53</v>
      </c>
      <c r="G79" s="290">
        <f t="shared" si="5"/>
        <v>265</v>
      </c>
      <c r="H79" s="290">
        <f t="shared" si="6"/>
        <v>1351.5</v>
      </c>
      <c r="I79" s="320">
        <v>1621.8</v>
      </c>
      <c r="J79" s="290">
        <f t="shared" si="7"/>
        <v>8271.1799999999985</v>
      </c>
      <c r="K79" s="290">
        <f t="shared" si="8"/>
        <v>810.9</v>
      </c>
      <c r="L79" s="290">
        <f t="shared" si="9"/>
        <v>4135.5899999999992</v>
      </c>
      <c r="M79" s="254"/>
    </row>
    <row r="80" spans="1:13" ht="22.5" customHeight="1">
      <c r="A80" s="254">
        <v>63</v>
      </c>
      <c r="B80" s="254" t="s">
        <v>2572</v>
      </c>
      <c r="C80" s="254" t="s">
        <v>2570</v>
      </c>
      <c r="D80" s="254" t="s">
        <v>2474</v>
      </c>
      <c r="E80" s="602">
        <v>5</v>
      </c>
      <c r="F80" s="289">
        <v>53</v>
      </c>
      <c r="G80" s="290">
        <f t="shared" si="5"/>
        <v>265</v>
      </c>
      <c r="H80" s="290">
        <f t="shared" si="6"/>
        <v>1325</v>
      </c>
      <c r="I80" s="320">
        <v>1621.8</v>
      </c>
      <c r="J80" s="290">
        <f t="shared" si="7"/>
        <v>8109</v>
      </c>
      <c r="K80" s="290">
        <f t="shared" si="8"/>
        <v>810.9</v>
      </c>
      <c r="L80" s="290">
        <f t="shared" si="9"/>
        <v>4054.5</v>
      </c>
      <c r="M80" s="254"/>
    </row>
    <row r="81" spans="1:13" ht="22.5" customHeight="1">
      <c r="A81" s="254">
        <v>64</v>
      </c>
      <c r="B81" s="254" t="s">
        <v>2573</v>
      </c>
      <c r="C81" s="254" t="s">
        <v>2570</v>
      </c>
      <c r="D81" s="254" t="s">
        <v>2547</v>
      </c>
      <c r="E81" s="602">
        <v>5</v>
      </c>
      <c r="F81" s="289">
        <v>53</v>
      </c>
      <c r="G81" s="290">
        <f t="shared" si="5"/>
        <v>265</v>
      </c>
      <c r="H81" s="290">
        <f t="shared" si="6"/>
        <v>1325</v>
      </c>
      <c r="I81" s="320">
        <v>1621.8</v>
      </c>
      <c r="J81" s="290">
        <f t="shared" si="7"/>
        <v>8109</v>
      </c>
      <c r="K81" s="290">
        <f t="shared" si="8"/>
        <v>810.9</v>
      </c>
      <c r="L81" s="290">
        <f t="shared" si="9"/>
        <v>4054.5</v>
      </c>
      <c r="M81" s="254"/>
    </row>
    <row r="82" spans="1:13" ht="22.5" customHeight="1">
      <c r="A82" s="254">
        <v>65</v>
      </c>
      <c r="B82" s="254" t="s">
        <v>2574</v>
      </c>
      <c r="C82" s="254" t="s">
        <v>2570</v>
      </c>
      <c r="D82" s="254" t="s">
        <v>2547</v>
      </c>
      <c r="E82" s="602">
        <v>3</v>
      </c>
      <c r="F82" s="289">
        <v>53</v>
      </c>
      <c r="G82" s="290">
        <f t="shared" si="5"/>
        <v>265</v>
      </c>
      <c r="H82" s="290">
        <f t="shared" si="6"/>
        <v>795</v>
      </c>
      <c r="I82" s="320">
        <v>1621.8</v>
      </c>
      <c r="J82" s="290">
        <f t="shared" si="7"/>
        <v>4865.3999999999996</v>
      </c>
      <c r="K82" s="290">
        <f t="shared" si="8"/>
        <v>810.9</v>
      </c>
      <c r="L82" s="290">
        <f t="shared" si="9"/>
        <v>2432.6999999999998</v>
      </c>
      <c r="M82" s="254"/>
    </row>
    <row r="83" spans="1:13" ht="22.5" customHeight="1">
      <c r="A83" s="254">
        <v>66</v>
      </c>
      <c r="B83" s="254" t="s">
        <v>2575</v>
      </c>
      <c r="C83" s="254" t="s">
        <v>2570</v>
      </c>
      <c r="D83" s="254" t="s">
        <v>2547</v>
      </c>
      <c r="E83" s="602">
        <v>5.0999999999999996</v>
      </c>
      <c r="F83" s="289">
        <v>53</v>
      </c>
      <c r="G83" s="290">
        <f t="shared" si="5"/>
        <v>265</v>
      </c>
      <c r="H83" s="290">
        <f t="shared" si="6"/>
        <v>1351.5</v>
      </c>
      <c r="I83" s="320">
        <v>1621.8</v>
      </c>
      <c r="J83" s="290">
        <f t="shared" si="7"/>
        <v>8271.1799999999985</v>
      </c>
      <c r="K83" s="290">
        <f t="shared" si="8"/>
        <v>810.9</v>
      </c>
      <c r="L83" s="290">
        <f t="shared" si="9"/>
        <v>4135.5899999999992</v>
      </c>
      <c r="M83" s="254"/>
    </row>
    <row r="84" spans="1:13" ht="22.5" customHeight="1">
      <c r="A84" s="254">
        <v>67</v>
      </c>
      <c r="B84" s="254" t="s">
        <v>2576</v>
      </c>
      <c r="C84" s="254" t="s">
        <v>2570</v>
      </c>
      <c r="D84" s="254" t="s">
        <v>2474</v>
      </c>
      <c r="E84" s="602">
        <v>5.6</v>
      </c>
      <c r="F84" s="289">
        <v>53</v>
      </c>
      <c r="G84" s="290">
        <f t="shared" si="5"/>
        <v>265</v>
      </c>
      <c r="H84" s="290">
        <f t="shared" si="6"/>
        <v>1484</v>
      </c>
      <c r="I84" s="320">
        <v>1621.8</v>
      </c>
      <c r="J84" s="290">
        <f t="shared" si="7"/>
        <v>9082.08</v>
      </c>
      <c r="K84" s="290">
        <f t="shared" si="8"/>
        <v>810.9</v>
      </c>
      <c r="L84" s="290">
        <f t="shared" si="9"/>
        <v>4541.04</v>
      </c>
      <c r="M84" s="254"/>
    </row>
    <row r="85" spans="1:13" ht="22.5" customHeight="1">
      <c r="A85" s="254">
        <v>68</v>
      </c>
      <c r="B85" s="254" t="s">
        <v>2577</v>
      </c>
      <c r="C85" s="254" t="s">
        <v>2570</v>
      </c>
      <c r="D85" s="254" t="s">
        <v>2478</v>
      </c>
      <c r="E85" s="602">
        <v>5.6</v>
      </c>
      <c r="F85" s="289">
        <v>53</v>
      </c>
      <c r="G85" s="290">
        <f t="shared" si="5"/>
        <v>265</v>
      </c>
      <c r="H85" s="290">
        <f t="shared" si="6"/>
        <v>1484</v>
      </c>
      <c r="I85" s="320">
        <v>1621.8</v>
      </c>
      <c r="J85" s="290">
        <f t="shared" si="7"/>
        <v>9082.08</v>
      </c>
      <c r="K85" s="290">
        <f t="shared" si="8"/>
        <v>810.9</v>
      </c>
      <c r="L85" s="290">
        <f t="shared" si="9"/>
        <v>4541.04</v>
      </c>
      <c r="M85" s="254"/>
    </row>
    <row r="86" spans="1:13" ht="22.5" customHeight="1">
      <c r="A86" s="254">
        <v>69</v>
      </c>
      <c r="B86" s="254" t="s">
        <v>2578</v>
      </c>
      <c r="C86" s="254" t="s">
        <v>2570</v>
      </c>
      <c r="D86" s="254" t="s">
        <v>2478</v>
      </c>
      <c r="E86" s="602">
        <v>5.8</v>
      </c>
      <c r="F86" s="289">
        <v>53</v>
      </c>
      <c r="G86" s="290">
        <f t="shared" si="5"/>
        <v>265</v>
      </c>
      <c r="H86" s="290">
        <f t="shared" si="6"/>
        <v>1537</v>
      </c>
      <c r="I86" s="320">
        <v>1621.8</v>
      </c>
      <c r="J86" s="290">
        <f t="shared" si="7"/>
        <v>9406.4399999999987</v>
      </c>
      <c r="K86" s="290">
        <f t="shared" si="8"/>
        <v>810.9</v>
      </c>
      <c r="L86" s="290">
        <f t="shared" si="9"/>
        <v>4703.2199999999993</v>
      </c>
      <c r="M86" s="254"/>
    </row>
    <row r="87" spans="1:13" ht="22.5" customHeight="1">
      <c r="A87" s="254">
        <v>70</v>
      </c>
      <c r="B87" s="254" t="s">
        <v>2579</v>
      </c>
      <c r="C87" s="254" t="s">
        <v>2570</v>
      </c>
      <c r="D87" s="254" t="s">
        <v>2478</v>
      </c>
      <c r="E87" s="602">
        <v>5.8</v>
      </c>
      <c r="F87" s="289">
        <v>53</v>
      </c>
      <c r="G87" s="290">
        <f t="shared" si="5"/>
        <v>265</v>
      </c>
      <c r="H87" s="290">
        <f t="shared" si="6"/>
        <v>1537</v>
      </c>
      <c r="I87" s="320">
        <v>1621.8</v>
      </c>
      <c r="J87" s="290">
        <f t="shared" si="7"/>
        <v>9406.4399999999987</v>
      </c>
      <c r="K87" s="290">
        <f t="shared" si="8"/>
        <v>810.9</v>
      </c>
      <c r="L87" s="290">
        <f t="shared" si="9"/>
        <v>4703.2199999999993</v>
      </c>
      <c r="M87" s="254"/>
    </row>
    <row r="88" spans="1:13" ht="22.5" customHeight="1">
      <c r="A88" s="254">
        <v>71</v>
      </c>
      <c r="B88" s="254" t="s">
        <v>2580</v>
      </c>
      <c r="C88" s="254" t="s">
        <v>2581</v>
      </c>
      <c r="D88" s="254" t="s">
        <v>2474</v>
      </c>
      <c r="E88" s="602">
        <v>5.3</v>
      </c>
      <c r="F88" s="289">
        <v>53</v>
      </c>
      <c r="G88" s="290">
        <f t="shared" si="5"/>
        <v>265</v>
      </c>
      <c r="H88" s="290">
        <f t="shared" si="6"/>
        <v>1404.5</v>
      </c>
      <c r="I88" s="320">
        <v>1621.8</v>
      </c>
      <c r="J88" s="290">
        <f t="shared" si="7"/>
        <v>8595.5399999999991</v>
      </c>
      <c r="K88" s="290">
        <f t="shared" si="8"/>
        <v>810.9</v>
      </c>
      <c r="L88" s="290">
        <f t="shared" si="9"/>
        <v>4297.7699999999995</v>
      </c>
      <c r="M88" s="254"/>
    </row>
    <row r="89" spans="1:13" ht="22.5" customHeight="1">
      <c r="A89" s="254">
        <v>72</v>
      </c>
      <c r="B89" s="254" t="s">
        <v>2582</v>
      </c>
      <c r="C89" s="254" t="s">
        <v>2581</v>
      </c>
      <c r="D89" s="254" t="s">
        <v>2547</v>
      </c>
      <c r="E89" s="602">
        <v>5.7</v>
      </c>
      <c r="F89" s="289">
        <v>53</v>
      </c>
      <c r="G89" s="290">
        <f t="shared" si="5"/>
        <v>265</v>
      </c>
      <c r="H89" s="290">
        <f t="shared" si="6"/>
        <v>1510.5</v>
      </c>
      <c r="I89" s="320">
        <v>1621.8</v>
      </c>
      <c r="J89" s="290">
        <f t="shared" si="7"/>
        <v>9244.26</v>
      </c>
      <c r="K89" s="290">
        <f t="shared" si="8"/>
        <v>810.9</v>
      </c>
      <c r="L89" s="290">
        <f t="shared" si="9"/>
        <v>4622.13</v>
      </c>
      <c r="M89" s="254"/>
    </row>
    <row r="90" spans="1:13" ht="22.5" customHeight="1">
      <c r="A90" s="254">
        <v>73</v>
      </c>
      <c r="B90" s="254" t="s">
        <v>2583</v>
      </c>
      <c r="C90" s="254" t="s">
        <v>2581</v>
      </c>
      <c r="D90" s="254" t="s">
        <v>2547</v>
      </c>
      <c r="E90" s="602">
        <v>5</v>
      </c>
      <c r="F90" s="289">
        <v>53</v>
      </c>
      <c r="G90" s="290">
        <f t="shared" si="5"/>
        <v>265</v>
      </c>
      <c r="H90" s="290">
        <f t="shared" si="6"/>
        <v>1325</v>
      </c>
      <c r="I90" s="320">
        <v>1621.8</v>
      </c>
      <c r="J90" s="290">
        <f t="shared" si="7"/>
        <v>8109</v>
      </c>
      <c r="K90" s="290">
        <f t="shared" si="8"/>
        <v>810.9</v>
      </c>
      <c r="L90" s="290">
        <f t="shared" si="9"/>
        <v>4054.5</v>
      </c>
      <c r="M90" s="254"/>
    </row>
    <row r="91" spans="1:13" ht="22.5" customHeight="1">
      <c r="A91" s="254">
        <v>74</v>
      </c>
      <c r="B91" s="254" t="s">
        <v>2584</v>
      </c>
      <c r="C91" s="254" t="s">
        <v>2581</v>
      </c>
      <c r="D91" s="254" t="s">
        <v>2585</v>
      </c>
      <c r="E91" s="602">
        <v>6</v>
      </c>
      <c r="F91" s="289">
        <v>53</v>
      </c>
      <c r="G91" s="290">
        <f t="shared" si="5"/>
        <v>265</v>
      </c>
      <c r="H91" s="290">
        <f t="shared" si="6"/>
        <v>1590</v>
      </c>
      <c r="I91" s="320">
        <v>1621.8</v>
      </c>
      <c r="J91" s="290">
        <f t="shared" si="7"/>
        <v>9730.7999999999993</v>
      </c>
      <c r="K91" s="290">
        <f t="shared" si="8"/>
        <v>810.9</v>
      </c>
      <c r="L91" s="290">
        <f t="shared" si="9"/>
        <v>4865.3999999999996</v>
      </c>
      <c r="M91" s="254"/>
    </row>
    <row r="92" spans="1:13" ht="22.5" customHeight="1">
      <c r="A92" s="254">
        <v>75</v>
      </c>
      <c r="B92" s="254" t="s">
        <v>2586</v>
      </c>
      <c r="C92" s="254" t="s">
        <v>2581</v>
      </c>
      <c r="D92" s="254" t="s">
        <v>2585</v>
      </c>
      <c r="E92" s="602">
        <v>5.7</v>
      </c>
      <c r="F92" s="289">
        <v>53</v>
      </c>
      <c r="G92" s="290">
        <f t="shared" si="5"/>
        <v>265</v>
      </c>
      <c r="H92" s="290">
        <f t="shared" si="6"/>
        <v>1510.5</v>
      </c>
      <c r="I92" s="320">
        <v>1621.8</v>
      </c>
      <c r="J92" s="290">
        <f t="shared" si="7"/>
        <v>9244.26</v>
      </c>
      <c r="K92" s="290">
        <f t="shared" si="8"/>
        <v>810.9</v>
      </c>
      <c r="L92" s="290">
        <f t="shared" si="9"/>
        <v>4622.13</v>
      </c>
      <c r="M92" s="254"/>
    </row>
    <row r="93" spans="1:13" ht="22.5" customHeight="1">
      <c r="A93" s="254">
        <v>76</v>
      </c>
      <c r="B93" s="254" t="s">
        <v>2587</v>
      </c>
      <c r="C93" s="254" t="s">
        <v>2581</v>
      </c>
      <c r="D93" s="254" t="s">
        <v>2588</v>
      </c>
      <c r="E93" s="602">
        <v>4.5999999999999996</v>
      </c>
      <c r="F93" s="289">
        <v>53</v>
      </c>
      <c r="G93" s="290">
        <f t="shared" si="5"/>
        <v>265</v>
      </c>
      <c r="H93" s="290">
        <f t="shared" si="6"/>
        <v>1219</v>
      </c>
      <c r="I93" s="320">
        <v>1621.8</v>
      </c>
      <c r="J93" s="290">
        <f t="shared" si="7"/>
        <v>7460.2799999999988</v>
      </c>
      <c r="K93" s="290">
        <f t="shared" si="8"/>
        <v>810.9</v>
      </c>
      <c r="L93" s="290">
        <f t="shared" si="9"/>
        <v>3730.1399999999994</v>
      </c>
      <c r="M93" s="254"/>
    </row>
    <row r="94" spans="1:13" ht="22.5" customHeight="1">
      <c r="A94" s="254">
        <v>77</v>
      </c>
      <c r="B94" s="254" t="s">
        <v>2589</v>
      </c>
      <c r="C94" s="254" t="s">
        <v>2590</v>
      </c>
      <c r="D94" s="254" t="s">
        <v>2547</v>
      </c>
      <c r="E94" s="602">
        <v>4.9000000000000004</v>
      </c>
      <c r="F94" s="289">
        <v>53</v>
      </c>
      <c r="G94" s="290">
        <f t="shared" si="5"/>
        <v>265</v>
      </c>
      <c r="H94" s="290">
        <f t="shared" si="6"/>
        <v>1298.5</v>
      </c>
      <c r="I94" s="320">
        <v>1621.8</v>
      </c>
      <c r="J94" s="290">
        <f t="shared" si="7"/>
        <v>7946.8200000000006</v>
      </c>
      <c r="K94" s="290">
        <f t="shared" si="8"/>
        <v>810.9</v>
      </c>
      <c r="L94" s="290">
        <f t="shared" si="9"/>
        <v>3973.4100000000003</v>
      </c>
      <c r="M94" s="254"/>
    </row>
    <row r="95" spans="1:13" ht="22.5" customHeight="1">
      <c r="A95" s="254">
        <v>78</v>
      </c>
      <c r="B95" s="254" t="s">
        <v>2591</v>
      </c>
      <c r="C95" s="274" t="s">
        <v>2590</v>
      </c>
      <c r="D95" s="254" t="s">
        <v>2547</v>
      </c>
      <c r="E95" s="602">
        <v>5</v>
      </c>
      <c r="F95" s="289">
        <v>53</v>
      </c>
      <c r="G95" s="290">
        <f t="shared" si="5"/>
        <v>265</v>
      </c>
      <c r="H95" s="290">
        <f t="shared" si="6"/>
        <v>1325</v>
      </c>
      <c r="I95" s="320">
        <v>1621.8</v>
      </c>
      <c r="J95" s="290">
        <f t="shared" si="7"/>
        <v>8109</v>
      </c>
      <c r="K95" s="290">
        <f t="shared" si="8"/>
        <v>810.9</v>
      </c>
      <c r="L95" s="290">
        <f t="shared" si="9"/>
        <v>4054.5</v>
      </c>
      <c r="M95" s="254"/>
    </row>
    <row r="96" spans="1:13" ht="22.5" customHeight="1">
      <c r="A96" s="254">
        <v>79</v>
      </c>
      <c r="B96" s="254" t="s">
        <v>2592</v>
      </c>
      <c r="C96" s="274" t="s">
        <v>2590</v>
      </c>
      <c r="D96" s="254" t="s">
        <v>2547</v>
      </c>
      <c r="E96" s="602">
        <v>4.5</v>
      </c>
      <c r="F96" s="289">
        <v>53</v>
      </c>
      <c r="G96" s="290">
        <f t="shared" si="5"/>
        <v>265</v>
      </c>
      <c r="H96" s="290">
        <f t="shared" si="6"/>
        <v>1192.5</v>
      </c>
      <c r="I96" s="320">
        <v>1621.8</v>
      </c>
      <c r="J96" s="290">
        <f t="shared" si="7"/>
        <v>7298.0999999999995</v>
      </c>
      <c r="K96" s="290">
        <f t="shared" si="8"/>
        <v>810.9</v>
      </c>
      <c r="L96" s="290">
        <f t="shared" si="9"/>
        <v>3649.0499999999997</v>
      </c>
      <c r="M96" s="254"/>
    </row>
    <row r="97" spans="1:13" ht="22.5" customHeight="1">
      <c r="A97" s="254">
        <v>80</v>
      </c>
      <c r="B97" s="254" t="s">
        <v>2593</v>
      </c>
      <c r="C97" s="274" t="s">
        <v>2590</v>
      </c>
      <c r="D97" s="254" t="s">
        <v>2594</v>
      </c>
      <c r="E97" s="602">
        <v>4.4000000000000004</v>
      </c>
      <c r="F97" s="289">
        <v>53</v>
      </c>
      <c r="G97" s="290">
        <f t="shared" si="5"/>
        <v>265</v>
      </c>
      <c r="H97" s="290">
        <f t="shared" si="6"/>
        <v>1166</v>
      </c>
      <c r="I97" s="320">
        <v>1621.8</v>
      </c>
      <c r="J97" s="290">
        <f t="shared" si="7"/>
        <v>7135.92</v>
      </c>
      <c r="K97" s="290">
        <f t="shared" si="8"/>
        <v>810.9</v>
      </c>
      <c r="L97" s="290">
        <f t="shared" si="9"/>
        <v>3567.96</v>
      </c>
      <c r="M97" s="254"/>
    </row>
    <row r="98" spans="1:13" ht="22.5" customHeight="1">
      <c r="A98" s="254">
        <v>81</v>
      </c>
      <c r="B98" s="254" t="s">
        <v>2595</v>
      </c>
      <c r="C98" s="274" t="s">
        <v>2590</v>
      </c>
      <c r="D98" s="254" t="s">
        <v>2471</v>
      </c>
      <c r="E98" s="602">
        <v>4.4000000000000004</v>
      </c>
      <c r="F98" s="289">
        <v>53</v>
      </c>
      <c r="G98" s="290">
        <f t="shared" si="5"/>
        <v>265</v>
      </c>
      <c r="H98" s="290">
        <f t="shared" si="6"/>
        <v>1166</v>
      </c>
      <c r="I98" s="320">
        <v>1621.8</v>
      </c>
      <c r="J98" s="290">
        <f t="shared" si="7"/>
        <v>7135.92</v>
      </c>
      <c r="K98" s="290">
        <f t="shared" si="8"/>
        <v>810.9</v>
      </c>
      <c r="L98" s="290">
        <f t="shared" si="9"/>
        <v>3567.96</v>
      </c>
      <c r="M98" s="254"/>
    </row>
    <row r="99" spans="1:13" ht="22.5" customHeight="1">
      <c r="A99" s="254">
        <v>82</v>
      </c>
      <c r="B99" s="254" t="s">
        <v>2596</v>
      </c>
      <c r="C99" s="274" t="s">
        <v>2590</v>
      </c>
      <c r="D99" s="254" t="s">
        <v>2597</v>
      </c>
      <c r="E99" s="602">
        <v>4.7</v>
      </c>
      <c r="F99" s="289">
        <v>53</v>
      </c>
      <c r="G99" s="290">
        <f t="shared" si="5"/>
        <v>265</v>
      </c>
      <c r="H99" s="290">
        <f t="shared" si="6"/>
        <v>1245.5</v>
      </c>
      <c r="I99" s="320">
        <v>1621.8</v>
      </c>
      <c r="J99" s="290">
        <f t="shared" si="7"/>
        <v>7622.46</v>
      </c>
      <c r="K99" s="290">
        <f t="shared" si="8"/>
        <v>810.9</v>
      </c>
      <c r="L99" s="290">
        <f t="shared" si="9"/>
        <v>3811.23</v>
      </c>
      <c r="M99" s="254"/>
    </row>
    <row r="100" spans="1:13" ht="22.5" customHeight="1">
      <c r="A100" s="254">
        <v>83</v>
      </c>
      <c r="B100" s="254" t="s">
        <v>2598</v>
      </c>
      <c r="C100" s="254" t="s">
        <v>2590</v>
      </c>
      <c r="D100" s="254" t="s">
        <v>2594</v>
      </c>
      <c r="E100" s="602">
        <v>4.5</v>
      </c>
      <c r="F100" s="289">
        <v>53</v>
      </c>
      <c r="G100" s="290">
        <f t="shared" si="5"/>
        <v>265</v>
      </c>
      <c r="H100" s="290">
        <f t="shared" si="6"/>
        <v>1192.5</v>
      </c>
      <c r="I100" s="320">
        <v>1621.8</v>
      </c>
      <c r="J100" s="290">
        <f t="shared" si="7"/>
        <v>7298.0999999999995</v>
      </c>
      <c r="K100" s="290">
        <f t="shared" si="8"/>
        <v>810.9</v>
      </c>
      <c r="L100" s="290">
        <f t="shared" si="9"/>
        <v>3649.0499999999997</v>
      </c>
      <c r="M100" s="254"/>
    </row>
    <row r="101" spans="1:13" ht="22.5" customHeight="1">
      <c r="A101" s="254">
        <v>84</v>
      </c>
      <c r="B101" s="254" t="s">
        <v>2599</v>
      </c>
      <c r="C101" s="274" t="s">
        <v>2590</v>
      </c>
      <c r="D101" s="254" t="s">
        <v>2547</v>
      </c>
      <c r="E101" s="602">
        <v>4.2</v>
      </c>
      <c r="F101" s="289">
        <v>53</v>
      </c>
      <c r="G101" s="290">
        <f t="shared" si="5"/>
        <v>265</v>
      </c>
      <c r="H101" s="290">
        <f t="shared" si="6"/>
        <v>1113</v>
      </c>
      <c r="I101" s="320">
        <v>1621.8</v>
      </c>
      <c r="J101" s="290">
        <f t="shared" si="7"/>
        <v>6811.56</v>
      </c>
      <c r="K101" s="290">
        <f t="shared" si="8"/>
        <v>810.9</v>
      </c>
      <c r="L101" s="290">
        <f t="shared" si="9"/>
        <v>3405.78</v>
      </c>
      <c r="M101" s="254"/>
    </row>
    <row r="102" spans="1:13" ht="22.5" customHeight="1">
      <c r="A102" s="254">
        <v>85</v>
      </c>
      <c r="B102" s="254" t="s">
        <v>2600</v>
      </c>
      <c r="C102" s="274" t="s">
        <v>2590</v>
      </c>
      <c r="D102" s="254" t="s">
        <v>2547</v>
      </c>
      <c r="E102" s="602">
        <v>4.7</v>
      </c>
      <c r="F102" s="289">
        <v>53</v>
      </c>
      <c r="G102" s="290">
        <f t="shared" si="5"/>
        <v>265</v>
      </c>
      <c r="H102" s="290">
        <f t="shared" si="6"/>
        <v>1245.5</v>
      </c>
      <c r="I102" s="320">
        <v>1621.8</v>
      </c>
      <c r="J102" s="290">
        <f t="shared" si="7"/>
        <v>7622.46</v>
      </c>
      <c r="K102" s="290">
        <f t="shared" si="8"/>
        <v>810.9</v>
      </c>
      <c r="L102" s="290">
        <f t="shared" si="9"/>
        <v>3811.23</v>
      </c>
      <c r="M102" s="254"/>
    </row>
    <row r="103" spans="1:13" ht="22.5" customHeight="1">
      <c r="A103" s="254">
        <v>86</v>
      </c>
      <c r="B103" s="254" t="s">
        <v>2601</v>
      </c>
      <c r="C103" s="274" t="s">
        <v>2590</v>
      </c>
      <c r="D103" s="254" t="s">
        <v>2474</v>
      </c>
      <c r="E103" s="602">
        <v>4.0999999999999996</v>
      </c>
      <c r="F103" s="289">
        <v>53</v>
      </c>
      <c r="G103" s="290">
        <f t="shared" si="5"/>
        <v>265</v>
      </c>
      <c r="H103" s="290">
        <f t="shared" si="6"/>
        <v>1086.5</v>
      </c>
      <c r="I103" s="320">
        <v>1621.8</v>
      </c>
      <c r="J103" s="290">
        <f t="shared" si="7"/>
        <v>6649.3799999999992</v>
      </c>
      <c r="K103" s="290">
        <f t="shared" si="8"/>
        <v>810.9</v>
      </c>
      <c r="L103" s="290">
        <f t="shared" si="9"/>
        <v>3324.6899999999996</v>
      </c>
      <c r="M103" s="254"/>
    </row>
    <row r="104" spans="1:13" ht="22.5" customHeight="1">
      <c r="A104" s="254">
        <v>87</v>
      </c>
      <c r="B104" s="254" t="s">
        <v>2602</v>
      </c>
      <c r="C104" s="274" t="s">
        <v>2590</v>
      </c>
      <c r="D104" s="254" t="s">
        <v>2547</v>
      </c>
      <c r="E104" s="602">
        <v>4.7</v>
      </c>
      <c r="F104" s="289">
        <v>53</v>
      </c>
      <c r="G104" s="290">
        <f t="shared" si="5"/>
        <v>265</v>
      </c>
      <c r="H104" s="290">
        <f t="shared" si="6"/>
        <v>1245.5</v>
      </c>
      <c r="I104" s="320">
        <v>1621.8</v>
      </c>
      <c r="J104" s="290">
        <f t="shared" si="7"/>
        <v>7622.46</v>
      </c>
      <c r="K104" s="290">
        <f t="shared" si="8"/>
        <v>810.9</v>
      </c>
      <c r="L104" s="290">
        <f t="shared" si="9"/>
        <v>3811.23</v>
      </c>
      <c r="M104" s="254"/>
    </row>
    <row r="105" spans="1:13" ht="22.5" customHeight="1">
      <c r="A105" s="254">
        <v>88</v>
      </c>
      <c r="B105" s="254" t="s">
        <v>2603</v>
      </c>
      <c r="C105" s="274" t="s">
        <v>2590</v>
      </c>
      <c r="D105" s="254" t="s">
        <v>2547</v>
      </c>
      <c r="E105" s="602">
        <v>5.2</v>
      </c>
      <c r="F105" s="289">
        <v>53</v>
      </c>
      <c r="G105" s="290">
        <f t="shared" si="5"/>
        <v>265</v>
      </c>
      <c r="H105" s="290">
        <f t="shared" si="6"/>
        <v>1378</v>
      </c>
      <c r="I105" s="320">
        <v>1621.8</v>
      </c>
      <c r="J105" s="290">
        <f t="shared" si="7"/>
        <v>8433.36</v>
      </c>
      <c r="K105" s="290">
        <f t="shared" si="8"/>
        <v>810.9</v>
      </c>
      <c r="L105" s="290">
        <f t="shared" si="9"/>
        <v>4216.68</v>
      </c>
      <c r="M105" s="254"/>
    </row>
    <row r="106" spans="1:13" ht="22.5" customHeight="1">
      <c r="A106" s="254">
        <v>89</v>
      </c>
      <c r="B106" s="254" t="s">
        <v>2604</v>
      </c>
      <c r="C106" s="274" t="s">
        <v>2590</v>
      </c>
      <c r="D106" s="254" t="s">
        <v>2474</v>
      </c>
      <c r="E106" s="602">
        <v>4.4000000000000004</v>
      </c>
      <c r="F106" s="289">
        <v>53</v>
      </c>
      <c r="G106" s="290">
        <f t="shared" si="5"/>
        <v>265</v>
      </c>
      <c r="H106" s="290">
        <f t="shared" si="6"/>
        <v>1166</v>
      </c>
      <c r="I106" s="320">
        <v>1621.8</v>
      </c>
      <c r="J106" s="290">
        <f t="shared" si="7"/>
        <v>7135.92</v>
      </c>
      <c r="K106" s="290">
        <f t="shared" si="8"/>
        <v>810.9</v>
      </c>
      <c r="L106" s="290">
        <f t="shared" si="9"/>
        <v>3567.96</v>
      </c>
      <c r="M106" s="254"/>
    </row>
    <row r="107" spans="1:13" ht="22.5" customHeight="1">
      <c r="A107" s="254">
        <v>90</v>
      </c>
      <c r="B107" s="254" t="s">
        <v>2605</v>
      </c>
      <c r="C107" s="274" t="s">
        <v>2590</v>
      </c>
      <c r="D107" s="254" t="s">
        <v>2594</v>
      </c>
      <c r="E107" s="602">
        <v>4.4000000000000004</v>
      </c>
      <c r="F107" s="289">
        <v>53</v>
      </c>
      <c r="G107" s="290">
        <f t="shared" si="5"/>
        <v>265</v>
      </c>
      <c r="H107" s="290">
        <f t="shared" si="6"/>
        <v>1166</v>
      </c>
      <c r="I107" s="320">
        <v>1621.8</v>
      </c>
      <c r="J107" s="290">
        <f t="shared" si="7"/>
        <v>7135.92</v>
      </c>
      <c r="K107" s="290">
        <f t="shared" si="8"/>
        <v>810.9</v>
      </c>
      <c r="L107" s="290">
        <f t="shared" si="9"/>
        <v>3567.96</v>
      </c>
      <c r="M107" s="254"/>
    </row>
    <row r="108" spans="1:13" ht="22.5" customHeight="1">
      <c r="A108" s="254">
        <v>91</v>
      </c>
      <c r="B108" s="254" t="s">
        <v>2606</v>
      </c>
      <c r="C108" s="274" t="s">
        <v>2590</v>
      </c>
      <c r="D108" s="254" t="s">
        <v>2478</v>
      </c>
      <c r="E108" s="602">
        <v>5</v>
      </c>
      <c r="F108" s="289">
        <v>53</v>
      </c>
      <c r="G108" s="290">
        <f t="shared" si="5"/>
        <v>265</v>
      </c>
      <c r="H108" s="290">
        <f t="shared" si="6"/>
        <v>1325</v>
      </c>
      <c r="I108" s="320">
        <v>1621.8</v>
      </c>
      <c r="J108" s="290">
        <f t="shared" si="7"/>
        <v>8109</v>
      </c>
      <c r="K108" s="290">
        <f t="shared" si="8"/>
        <v>810.9</v>
      </c>
      <c r="L108" s="290">
        <f t="shared" si="9"/>
        <v>4054.5</v>
      </c>
      <c r="M108" s="254"/>
    </row>
    <row r="109" spans="1:13" ht="22.5" customHeight="1">
      <c r="A109" s="254">
        <v>92</v>
      </c>
      <c r="B109" s="254" t="s">
        <v>2607</v>
      </c>
      <c r="C109" s="274" t="s">
        <v>2590</v>
      </c>
      <c r="D109" s="254" t="s">
        <v>2547</v>
      </c>
      <c r="E109" s="602">
        <v>5.2</v>
      </c>
      <c r="F109" s="289">
        <v>53</v>
      </c>
      <c r="G109" s="290">
        <f t="shared" si="5"/>
        <v>265</v>
      </c>
      <c r="H109" s="290">
        <f t="shared" si="6"/>
        <v>1378</v>
      </c>
      <c r="I109" s="320">
        <v>1621.8</v>
      </c>
      <c r="J109" s="290">
        <f t="shared" si="7"/>
        <v>8433.36</v>
      </c>
      <c r="K109" s="290">
        <f t="shared" si="8"/>
        <v>810.9</v>
      </c>
      <c r="L109" s="290">
        <f t="shared" si="9"/>
        <v>4216.68</v>
      </c>
      <c r="M109" s="254"/>
    </row>
    <row r="110" spans="1:13" ht="22.5" customHeight="1">
      <c r="A110" s="254">
        <v>93</v>
      </c>
      <c r="B110" s="254" t="s">
        <v>2608</v>
      </c>
      <c r="C110" s="274" t="s">
        <v>2590</v>
      </c>
      <c r="D110" s="254" t="s">
        <v>2594</v>
      </c>
      <c r="E110" s="602">
        <v>3.5</v>
      </c>
      <c r="F110" s="289">
        <v>53</v>
      </c>
      <c r="G110" s="290">
        <f t="shared" si="5"/>
        <v>265</v>
      </c>
      <c r="H110" s="290">
        <f t="shared" si="6"/>
        <v>927.5</v>
      </c>
      <c r="I110" s="320">
        <v>1621.8</v>
      </c>
      <c r="J110" s="290">
        <f t="shared" si="7"/>
        <v>5676.3</v>
      </c>
      <c r="K110" s="290">
        <f t="shared" si="8"/>
        <v>810.9</v>
      </c>
      <c r="L110" s="290">
        <f t="shared" si="9"/>
        <v>2838.15</v>
      </c>
      <c r="M110" s="254"/>
    </row>
    <row r="111" spans="1:13" ht="22.5" customHeight="1">
      <c r="A111" s="984" t="s">
        <v>318</v>
      </c>
      <c r="B111" s="931"/>
      <c r="C111" s="605">
        <f>COUNTA(C61:C110)</f>
        <v>50</v>
      </c>
      <c r="D111" s="284"/>
      <c r="E111" s="606">
        <f>SUM(E61:E110)</f>
        <v>238.39999999999992</v>
      </c>
      <c r="F111" s="607"/>
      <c r="G111" s="607"/>
      <c r="H111" s="608">
        <f>SUM(H61:H110)</f>
        <v>63176</v>
      </c>
      <c r="I111" s="607"/>
      <c r="J111" s="607"/>
      <c r="K111" s="609"/>
      <c r="L111" s="609"/>
      <c r="M111" s="609"/>
    </row>
    <row r="112" spans="1:13" ht="16.2">
      <c r="A112" s="597"/>
      <c r="B112" s="597"/>
      <c r="C112" s="597"/>
      <c r="D112" s="597"/>
      <c r="E112" s="597"/>
      <c r="F112" s="597"/>
      <c r="G112" s="597"/>
      <c r="H112" s="597"/>
      <c r="I112" s="597"/>
      <c r="J112" s="597"/>
      <c r="K112" s="597"/>
      <c r="L112" s="597"/>
      <c r="M112" s="597"/>
    </row>
    <row r="113" spans="1:13" ht="16.2">
      <c r="A113" s="597"/>
      <c r="B113" s="597"/>
      <c r="C113" s="597"/>
      <c r="D113" s="597"/>
      <c r="E113" s="597"/>
      <c r="F113" s="597"/>
      <c r="G113" s="597"/>
      <c r="H113" s="597"/>
      <c r="I113" s="597"/>
      <c r="J113" s="597"/>
      <c r="K113" s="597"/>
      <c r="L113" s="597"/>
      <c r="M113" s="597"/>
    </row>
    <row r="114" spans="1:13" ht="16.2">
      <c r="A114" s="597"/>
      <c r="B114" s="597"/>
      <c r="C114" s="597"/>
      <c r="D114" s="597"/>
      <c r="E114" s="597"/>
      <c r="F114" s="597"/>
      <c r="G114" s="597"/>
      <c r="H114" s="597"/>
      <c r="I114" s="597"/>
      <c r="J114" s="597"/>
      <c r="K114" s="597"/>
      <c r="L114" s="597"/>
      <c r="M114" s="597"/>
    </row>
    <row r="115" spans="1:13" ht="13.2">
      <c r="A115" s="983" t="s">
        <v>2609</v>
      </c>
      <c r="B115" s="931"/>
      <c r="C115" s="931"/>
      <c r="D115" s="931"/>
      <c r="E115" s="931"/>
      <c r="F115" s="931"/>
      <c r="G115" s="931"/>
      <c r="H115" s="931"/>
      <c r="I115" s="931"/>
      <c r="J115" s="931"/>
      <c r="K115" s="931"/>
      <c r="L115" s="931"/>
      <c r="M115" s="932"/>
    </row>
    <row r="116" spans="1:13" ht="22.5" customHeight="1">
      <c r="A116" s="599" t="s">
        <v>165</v>
      </c>
      <c r="B116" s="599" t="s">
        <v>166</v>
      </c>
      <c r="C116" s="255" t="s">
        <v>167</v>
      </c>
      <c r="D116" s="599" t="s">
        <v>168</v>
      </c>
      <c r="E116" s="599" t="s">
        <v>2461</v>
      </c>
      <c r="F116" s="313" t="s">
        <v>2610</v>
      </c>
      <c r="G116" s="601" t="s">
        <v>2611</v>
      </c>
      <c r="H116" s="601" t="s">
        <v>2612</v>
      </c>
      <c r="I116" s="254" t="s">
        <v>2613</v>
      </c>
      <c r="J116" s="254" t="s">
        <v>2614</v>
      </c>
      <c r="K116" s="254" t="s">
        <v>2615</v>
      </c>
      <c r="L116" s="254" t="s">
        <v>2616</v>
      </c>
      <c r="M116" s="287" t="s">
        <v>177</v>
      </c>
    </row>
    <row r="117" spans="1:13" ht="22.5" customHeight="1">
      <c r="A117" s="254">
        <v>94</v>
      </c>
      <c r="B117" s="254" t="s">
        <v>2617</v>
      </c>
      <c r="C117" s="254" t="s">
        <v>2618</v>
      </c>
      <c r="D117" s="254" t="s">
        <v>2619</v>
      </c>
      <c r="E117" s="254">
        <v>5.6</v>
      </c>
      <c r="F117" s="289">
        <v>27</v>
      </c>
      <c r="G117" s="290">
        <v>135</v>
      </c>
      <c r="H117" s="290">
        <f t="shared" ref="H117:H133" si="10">G117*E117</f>
        <v>756</v>
      </c>
      <c r="I117" s="320">
        <v>917.99999999999989</v>
      </c>
      <c r="J117" s="290">
        <v>3779.9999999999995</v>
      </c>
      <c r="K117" s="290">
        <v>270</v>
      </c>
      <c r="L117" s="290">
        <v>1512</v>
      </c>
      <c r="M117" s="254"/>
    </row>
    <row r="118" spans="1:13" ht="22.5" customHeight="1">
      <c r="A118" s="254">
        <v>95</v>
      </c>
      <c r="B118" s="254" t="s">
        <v>2620</v>
      </c>
      <c r="C118" s="254" t="s">
        <v>2621</v>
      </c>
      <c r="D118" s="254" t="s">
        <v>2622</v>
      </c>
      <c r="E118" s="254">
        <v>5.5</v>
      </c>
      <c r="F118" s="289">
        <v>35</v>
      </c>
      <c r="G118" s="290">
        <v>175</v>
      </c>
      <c r="H118" s="290">
        <f t="shared" si="10"/>
        <v>962.5</v>
      </c>
      <c r="I118" s="290">
        <v>875</v>
      </c>
      <c r="J118" s="290">
        <v>4812.5</v>
      </c>
      <c r="K118" s="290">
        <v>350</v>
      </c>
      <c r="L118" s="290">
        <v>1925</v>
      </c>
      <c r="M118" s="254"/>
    </row>
    <row r="119" spans="1:13" ht="22.5" customHeight="1">
      <c r="A119" s="254">
        <v>96</v>
      </c>
      <c r="B119" s="254" t="s">
        <v>2623</v>
      </c>
      <c r="C119" s="254" t="s">
        <v>2624</v>
      </c>
      <c r="D119" s="254" t="s">
        <v>2594</v>
      </c>
      <c r="E119" s="254">
        <v>5.4</v>
      </c>
      <c r="F119" s="289">
        <v>35</v>
      </c>
      <c r="G119" s="290">
        <v>175</v>
      </c>
      <c r="H119" s="290">
        <f t="shared" si="10"/>
        <v>945.00000000000011</v>
      </c>
      <c r="I119" s="290">
        <v>875</v>
      </c>
      <c r="J119" s="290">
        <v>4725</v>
      </c>
      <c r="K119" s="290">
        <v>350</v>
      </c>
      <c r="L119" s="290">
        <v>1890.0000000000002</v>
      </c>
      <c r="M119" s="254"/>
    </row>
    <row r="120" spans="1:13" ht="22.5" customHeight="1">
      <c r="A120" s="254">
        <v>97</v>
      </c>
      <c r="B120" s="254" t="s">
        <v>2625</v>
      </c>
      <c r="C120" s="254" t="s">
        <v>2624</v>
      </c>
      <c r="D120" s="254" t="s">
        <v>2458</v>
      </c>
      <c r="E120" s="254">
        <v>5.5</v>
      </c>
      <c r="F120" s="289">
        <v>35</v>
      </c>
      <c r="G120" s="290">
        <v>175</v>
      </c>
      <c r="H120" s="290">
        <f t="shared" si="10"/>
        <v>962.5</v>
      </c>
      <c r="I120" s="290">
        <v>875</v>
      </c>
      <c r="J120" s="290">
        <v>4812.5</v>
      </c>
      <c r="K120" s="290">
        <v>350</v>
      </c>
      <c r="L120" s="290">
        <v>1925</v>
      </c>
      <c r="M120" s="254"/>
    </row>
    <row r="121" spans="1:13" ht="22.5" customHeight="1">
      <c r="A121" s="254">
        <v>98</v>
      </c>
      <c r="B121" s="254" t="s">
        <v>2626</v>
      </c>
      <c r="C121" s="254" t="s">
        <v>2624</v>
      </c>
      <c r="D121" s="254" t="s">
        <v>2458</v>
      </c>
      <c r="E121" s="254">
        <v>3.6</v>
      </c>
      <c r="F121" s="289">
        <v>35</v>
      </c>
      <c r="G121" s="290">
        <v>175</v>
      </c>
      <c r="H121" s="290">
        <f t="shared" si="10"/>
        <v>630</v>
      </c>
      <c r="I121" s="290">
        <v>875</v>
      </c>
      <c r="J121" s="290">
        <v>4812.5</v>
      </c>
      <c r="K121" s="290">
        <v>350</v>
      </c>
      <c r="L121" s="290">
        <v>1925</v>
      </c>
      <c r="M121" s="254"/>
    </row>
    <row r="122" spans="1:13" ht="22.5" customHeight="1">
      <c r="A122" s="254">
        <v>99</v>
      </c>
      <c r="B122" s="254" t="s">
        <v>2627</v>
      </c>
      <c r="C122" s="254" t="s">
        <v>2624</v>
      </c>
      <c r="D122" s="254" t="s">
        <v>2628</v>
      </c>
      <c r="E122" s="254">
        <v>4.3</v>
      </c>
      <c r="F122" s="289">
        <v>35</v>
      </c>
      <c r="G122" s="290">
        <v>175</v>
      </c>
      <c r="H122" s="290">
        <f t="shared" si="10"/>
        <v>752.5</v>
      </c>
      <c r="I122" s="290">
        <v>875</v>
      </c>
      <c r="J122" s="290">
        <v>3762.5</v>
      </c>
      <c r="K122" s="290">
        <v>350</v>
      </c>
      <c r="L122" s="290">
        <v>1505</v>
      </c>
      <c r="M122" s="254"/>
    </row>
    <row r="123" spans="1:13" ht="22.5" customHeight="1">
      <c r="A123" s="254">
        <v>100</v>
      </c>
      <c r="B123" s="254" t="s">
        <v>2629</v>
      </c>
      <c r="C123" s="254" t="s">
        <v>2624</v>
      </c>
      <c r="D123" s="254" t="s">
        <v>2630</v>
      </c>
      <c r="E123" s="254">
        <v>4.5</v>
      </c>
      <c r="F123" s="289">
        <v>35</v>
      </c>
      <c r="G123" s="290">
        <v>175</v>
      </c>
      <c r="H123" s="290">
        <f t="shared" si="10"/>
        <v>787.5</v>
      </c>
      <c r="I123" s="290">
        <v>875</v>
      </c>
      <c r="J123" s="290">
        <v>3937.5</v>
      </c>
      <c r="K123" s="290">
        <v>350</v>
      </c>
      <c r="L123" s="290">
        <v>1575</v>
      </c>
      <c r="M123" s="254"/>
    </row>
    <row r="124" spans="1:13" ht="22.5" customHeight="1">
      <c r="A124" s="254">
        <v>101</v>
      </c>
      <c r="B124" s="254" t="s">
        <v>2631</v>
      </c>
      <c r="C124" s="254" t="s">
        <v>2624</v>
      </c>
      <c r="D124" s="254" t="s">
        <v>2458</v>
      </c>
      <c r="E124" s="254">
        <v>4.2</v>
      </c>
      <c r="F124" s="289">
        <v>35</v>
      </c>
      <c r="G124" s="290">
        <v>175</v>
      </c>
      <c r="H124" s="290">
        <f t="shared" si="10"/>
        <v>735</v>
      </c>
      <c r="I124" s="290">
        <v>875</v>
      </c>
      <c r="J124" s="290">
        <v>3675</v>
      </c>
      <c r="K124" s="290">
        <v>350</v>
      </c>
      <c r="L124" s="290">
        <v>1470</v>
      </c>
      <c r="M124" s="254"/>
    </row>
    <row r="125" spans="1:13" ht="22.5" customHeight="1">
      <c r="A125" s="254">
        <v>102</v>
      </c>
      <c r="B125" s="254" t="s">
        <v>2632</v>
      </c>
      <c r="C125" s="254" t="s">
        <v>2624</v>
      </c>
      <c r="D125" s="254" t="s">
        <v>2633</v>
      </c>
      <c r="E125" s="254">
        <v>4.3</v>
      </c>
      <c r="F125" s="289">
        <v>35</v>
      </c>
      <c r="G125" s="290">
        <v>175</v>
      </c>
      <c r="H125" s="290">
        <f t="shared" si="10"/>
        <v>752.5</v>
      </c>
      <c r="I125" s="290">
        <v>875</v>
      </c>
      <c r="J125" s="290">
        <v>3762.5</v>
      </c>
      <c r="K125" s="290">
        <v>350</v>
      </c>
      <c r="L125" s="290">
        <v>1505</v>
      </c>
      <c r="M125" s="254"/>
    </row>
    <row r="126" spans="1:13" ht="22.5" customHeight="1">
      <c r="A126" s="254">
        <v>103</v>
      </c>
      <c r="B126" s="254" t="s">
        <v>2634</v>
      </c>
      <c r="C126" s="254" t="s">
        <v>2624</v>
      </c>
      <c r="D126" s="254" t="s">
        <v>2594</v>
      </c>
      <c r="E126" s="254">
        <v>4.3</v>
      </c>
      <c r="F126" s="289">
        <v>35</v>
      </c>
      <c r="G126" s="290">
        <v>175</v>
      </c>
      <c r="H126" s="290">
        <f t="shared" si="10"/>
        <v>752.5</v>
      </c>
      <c r="I126" s="290">
        <v>875</v>
      </c>
      <c r="J126" s="290">
        <v>3762.5</v>
      </c>
      <c r="K126" s="290">
        <v>350</v>
      </c>
      <c r="L126" s="290">
        <v>1505</v>
      </c>
      <c r="M126" s="254"/>
    </row>
    <row r="127" spans="1:13" ht="22.5" customHeight="1">
      <c r="A127" s="254">
        <v>104</v>
      </c>
      <c r="B127" s="254" t="s">
        <v>2635</v>
      </c>
      <c r="C127" s="254" t="s">
        <v>2624</v>
      </c>
      <c r="D127" s="254" t="s">
        <v>2458</v>
      </c>
      <c r="E127" s="254">
        <v>5.5</v>
      </c>
      <c r="F127" s="289">
        <v>35</v>
      </c>
      <c r="G127" s="290">
        <v>175</v>
      </c>
      <c r="H127" s="290">
        <f t="shared" si="10"/>
        <v>962.5</v>
      </c>
      <c r="I127" s="290">
        <v>875</v>
      </c>
      <c r="J127" s="290">
        <v>4812.5</v>
      </c>
      <c r="K127" s="290">
        <v>350</v>
      </c>
      <c r="L127" s="290">
        <v>1925</v>
      </c>
      <c r="M127" s="254"/>
    </row>
    <row r="128" spans="1:13" ht="22.5" customHeight="1">
      <c r="A128" s="254">
        <v>105</v>
      </c>
      <c r="B128" s="254" t="s">
        <v>2636</v>
      </c>
      <c r="C128" s="254" t="s">
        <v>2624</v>
      </c>
      <c r="D128" s="254" t="s">
        <v>2458</v>
      </c>
      <c r="E128" s="254">
        <v>4.3</v>
      </c>
      <c r="F128" s="289">
        <v>35</v>
      </c>
      <c r="G128" s="290">
        <v>175</v>
      </c>
      <c r="H128" s="290">
        <f t="shared" si="10"/>
        <v>752.5</v>
      </c>
      <c r="I128" s="290">
        <v>875</v>
      </c>
      <c r="J128" s="290">
        <v>3762.5</v>
      </c>
      <c r="K128" s="290">
        <v>350</v>
      </c>
      <c r="L128" s="290">
        <v>1505</v>
      </c>
      <c r="M128" s="254"/>
    </row>
    <row r="129" spans="1:13" ht="22.5" customHeight="1">
      <c r="A129" s="254">
        <v>106</v>
      </c>
      <c r="B129" s="254" t="s">
        <v>2637</v>
      </c>
      <c r="C129" s="254" t="s">
        <v>2624</v>
      </c>
      <c r="D129" s="254" t="s">
        <v>2594</v>
      </c>
      <c r="E129" s="254">
        <v>4.3</v>
      </c>
      <c r="F129" s="289">
        <v>35</v>
      </c>
      <c r="G129" s="290">
        <v>175</v>
      </c>
      <c r="H129" s="290">
        <f t="shared" si="10"/>
        <v>752.5</v>
      </c>
      <c r="I129" s="290">
        <v>875</v>
      </c>
      <c r="J129" s="290">
        <v>3762.5</v>
      </c>
      <c r="K129" s="290">
        <v>350</v>
      </c>
      <c r="L129" s="290">
        <v>1505</v>
      </c>
      <c r="M129" s="254"/>
    </row>
    <row r="130" spans="1:13" ht="22.5" customHeight="1">
      <c r="A130" s="254">
        <v>107</v>
      </c>
      <c r="B130" s="254" t="s">
        <v>2638</v>
      </c>
      <c r="C130" s="254" t="s">
        <v>2624</v>
      </c>
      <c r="D130" s="254" t="s">
        <v>2639</v>
      </c>
      <c r="E130" s="254">
        <v>5.4</v>
      </c>
      <c r="F130" s="289">
        <v>35</v>
      </c>
      <c r="G130" s="290">
        <v>175</v>
      </c>
      <c r="H130" s="290">
        <f t="shared" si="10"/>
        <v>945.00000000000011</v>
      </c>
      <c r="I130" s="290">
        <v>875</v>
      </c>
      <c r="J130" s="290">
        <v>4812.5</v>
      </c>
      <c r="K130" s="290">
        <v>350</v>
      </c>
      <c r="L130" s="290">
        <v>1925</v>
      </c>
      <c r="M130" s="254"/>
    </row>
    <row r="131" spans="1:13" ht="22.5" customHeight="1">
      <c r="A131" s="254">
        <v>108</v>
      </c>
      <c r="B131" s="254" t="s">
        <v>2640</v>
      </c>
      <c r="C131" s="254" t="s">
        <v>2624</v>
      </c>
      <c r="D131" s="254" t="s">
        <v>2641</v>
      </c>
      <c r="E131" s="254">
        <v>5.4</v>
      </c>
      <c r="F131" s="289">
        <v>35</v>
      </c>
      <c r="G131" s="290">
        <v>175</v>
      </c>
      <c r="H131" s="290">
        <f t="shared" si="10"/>
        <v>945.00000000000011</v>
      </c>
      <c r="I131" s="290">
        <v>875</v>
      </c>
      <c r="J131" s="290">
        <v>4725</v>
      </c>
      <c r="K131" s="290">
        <v>350</v>
      </c>
      <c r="L131" s="290">
        <v>1890.0000000000002</v>
      </c>
      <c r="M131" s="254"/>
    </row>
    <row r="132" spans="1:13" ht="22.5" customHeight="1">
      <c r="A132" s="254">
        <v>109</v>
      </c>
      <c r="B132" s="290" t="s">
        <v>2642</v>
      </c>
      <c r="C132" s="291" t="s">
        <v>2643</v>
      </c>
      <c r="D132" s="291" t="s">
        <v>2547</v>
      </c>
      <c r="E132" s="610" t="s">
        <v>2644</v>
      </c>
      <c r="F132" s="293">
        <v>35</v>
      </c>
      <c r="G132" s="290">
        <f>F132*5</f>
        <v>175</v>
      </c>
      <c r="H132" s="290">
        <f t="shared" si="10"/>
        <v>979.99999999999989</v>
      </c>
      <c r="I132" s="290">
        <f>G132*5</f>
        <v>875</v>
      </c>
      <c r="J132" s="290">
        <f>I132*E132</f>
        <v>4900</v>
      </c>
      <c r="K132" s="290">
        <f>G132*2</f>
        <v>350</v>
      </c>
      <c r="L132" s="290">
        <f>K132*E132</f>
        <v>1959.9999999999998</v>
      </c>
      <c r="M132" s="254"/>
    </row>
    <row r="133" spans="1:13" ht="22.5" customHeight="1">
      <c r="A133" s="254">
        <v>110</v>
      </c>
      <c r="B133" s="254" t="s">
        <v>2645</v>
      </c>
      <c r="C133" s="254" t="s">
        <v>2624</v>
      </c>
      <c r="D133" s="254" t="s">
        <v>2646</v>
      </c>
      <c r="E133" s="254">
        <v>4</v>
      </c>
      <c r="F133" s="289">
        <v>35</v>
      </c>
      <c r="G133" s="290">
        <v>175</v>
      </c>
      <c r="H133" s="290">
        <f t="shared" si="10"/>
        <v>700</v>
      </c>
      <c r="I133" s="290">
        <v>875</v>
      </c>
      <c r="J133" s="290">
        <v>3500</v>
      </c>
      <c r="K133" s="290">
        <v>350</v>
      </c>
      <c r="L133" s="290">
        <v>1400</v>
      </c>
      <c r="M133" s="254"/>
    </row>
    <row r="134" spans="1:13" ht="22.5" customHeight="1">
      <c r="A134" s="254">
        <v>111</v>
      </c>
      <c r="B134" s="290" t="s">
        <v>2647</v>
      </c>
      <c r="C134" s="254" t="s">
        <v>2648</v>
      </c>
      <c r="D134" s="254" t="s">
        <v>2547</v>
      </c>
      <c r="E134" s="319" t="s">
        <v>2649</v>
      </c>
      <c r="F134" s="289">
        <v>35</v>
      </c>
      <c r="G134" s="290">
        <v>175</v>
      </c>
      <c r="H134" s="320">
        <v>917.99999999999989</v>
      </c>
      <c r="I134" s="290">
        <v>875</v>
      </c>
      <c r="J134" s="290">
        <v>4987.5</v>
      </c>
      <c r="K134" s="290">
        <v>350</v>
      </c>
      <c r="L134" s="290">
        <v>1995</v>
      </c>
      <c r="M134" s="254"/>
    </row>
    <row r="135" spans="1:13" ht="22.5" customHeight="1">
      <c r="A135" s="254">
        <v>112</v>
      </c>
      <c r="B135" s="254" t="s">
        <v>2650</v>
      </c>
      <c r="C135" s="254" t="s">
        <v>2624</v>
      </c>
      <c r="D135" s="254" t="s">
        <v>2651</v>
      </c>
      <c r="E135" s="254">
        <v>4.3</v>
      </c>
      <c r="F135" s="289">
        <v>35</v>
      </c>
      <c r="G135" s="290">
        <v>175</v>
      </c>
      <c r="H135" s="290">
        <f t="shared" ref="H135:H150" si="11">G135*E135</f>
        <v>752.5</v>
      </c>
      <c r="I135" s="290">
        <v>875</v>
      </c>
      <c r="J135" s="290">
        <v>3762.5</v>
      </c>
      <c r="K135" s="290">
        <v>350</v>
      </c>
      <c r="L135" s="290">
        <v>1505</v>
      </c>
      <c r="M135" s="254"/>
    </row>
    <row r="136" spans="1:13" ht="22.5" customHeight="1">
      <c r="A136" s="254">
        <v>113</v>
      </c>
      <c r="B136" s="254" t="s">
        <v>2652</v>
      </c>
      <c r="C136" s="254" t="s">
        <v>2653</v>
      </c>
      <c r="D136" s="254" t="s">
        <v>2594</v>
      </c>
      <c r="E136" s="254">
        <v>4.8</v>
      </c>
      <c r="F136" s="289">
        <v>40</v>
      </c>
      <c r="G136" s="290">
        <v>200</v>
      </c>
      <c r="H136" s="290">
        <f t="shared" si="11"/>
        <v>960</v>
      </c>
      <c r="I136" s="290">
        <v>1000</v>
      </c>
      <c r="J136" s="290">
        <v>4800</v>
      </c>
      <c r="K136" s="290">
        <v>400</v>
      </c>
      <c r="L136" s="290">
        <v>1920</v>
      </c>
      <c r="M136" s="254"/>
    </row>
    <row r="137" spans="1:13" ht="22.5" customHeight="1">
      <c r="A137" s="254">
        <v>114</v>
      </c>
      <c r="B137" s="254" t="s">
        <v>2654</v>
      </c>
      <c r="C137" s="254" t="s">
        <v>2653</v>
      </c>
      <c r="D137" s="254" t="s">
        <v>2458</v>
      </c>
      <c r="E137" s="254">
        <v>5</v>
      </c>
      <c r="F137" s="289">
        <v>40</v>
      </c>
      <c r="G137" s="290">
        <v>200</v>
      </c>
      <c r="H137" s="290">
        <f t="shared" si="11"/>
        <v>1000</v>
      </c>
      <c r="I137" s="290">
        <v>1000</v>
      </c>
      <c r="J137" s="290">
        <v>5000</v>
      </c>
      <c r="K137" s="290">
        <v>400</v>
      </c>
      <c r="L137" s="290">
        <v>2000</v>
      </c>
      <c r="M137" s="254"/>
    </row>
    <row r="138" spans="1:13" ht="22.5" customHeight="1">
      <c r="A138" s="254">
        <v>115</v>
      </c>
      <c r="B138" s="254" t="s">
        <v>2655</v>
      </c>
      <c r="C138" s="254" t="s">
        <v>2656</v>
      </c>
      <c r="D138" s="254" t="s">
        <v>2657</v>
      </c>
      <c r="E138" s="254">
        <v>6</v>
      </c>
      <c r="F138" s="289">
        <v>50</v>
      </c>
      <c r="G138" s="290">
        <v>250</v>
      </c>
      <c r="H138" s="290">
        <f t="shared" si="11"/>
        <v>1500</v>
      </c>
      <c r="I138" s="290">
        <v>1250</v>
      </c>
      <c r="J138" s="290">
        <v>7500</v>
      </c>
      <c r="K138" s="290">
        <v>500</v>
      </c>
      <c r="L138" s="290">
        <v>3000</v>
      </c>
      <c r="M138" s="254"/>
    </row>
    <row r="139" spans="1:13" ht="22.5" customHeight="1">
      <c r="A139" s="254">
        <v>116</v>
      </c>
      <c r="B139" s="254" t="s">
        <v>2658</v>
      </c>
      <c r="C139" s="254" t="s">
        <v>2624</v>
      </c>
      <c r="D139" s="254" t="s">
        <v>2659</v>
      </c>
      <c r="E139" s="254">
        <v>4.7</v>
      </c>
      <c r="F139" s="289">
        <v>35</v>
      </c>
      <c r="G139" s="290">
        <v>175</v>
      </c>
      <c r="H139" s="290">
        <f t="shared" si="11"/>
        <v>822.5</v>
      </c>
      <c r="I139" s="290">
        <v>875</v>
      </c>
      <c r="J139" s="290">
        <v>4112.5</v>
      </c>
      <c r="K139" s="290">
        <v>350</v>
      </c>
      <c r="L139" s="290">
        <v>1645</v>
      </c>
      <c r="M139" s="254"/>
    </row>
    <row r="140" spans="1:13" ht="22.5" customHeight="1">
      <c r="A140" s="254">
        <v>117</v>
      </c>
      <c r="B140" s="254" t="s">
        <v>2660</v>
      </c>
      <c r="C140" s="254" t="s">
        <v>2624</v>
      </c>
      <c r="D140" s="254" t="s">
        <v>2458</v>
      </c>
      <c r="E140" s="254">
        <v>5.4</v>
      </c>
      <c r="F140" s="289">
        <v>40</v>
      </c>
      <c r="G140" s="290">
        <v>200</v>
      </c>
      <c r="H140" s="290">
        <f t="shared" si="11"/>
        <v>1080</v>
      </c>
      <c r="I140" s="290">
        <v>1000</v>
      </c>
      <c r="J140" s="290">
        <v>5400</v>
      </c>
      <c r="K140" s="290">
        <v>400</v>
      </c>
      <c r="L140" s="290">
        <v>2160</v>
      </c>
      <c r="M140" s="254"/>
    </row>
    <row r="141" spans="1:13" ht="22.5" customHeight="1">
      <c r="A141" s="254">
        <v>118</v>
      </c>
      <c r="B141" s="254" t="s">
        <v>2661</v>
      </c>
      <c r="C141" s="254" t="s">
        <v>2662</v>
      </c>
      <c r="D141" s="254" t="s">
        <v>2663</v>
      </c>
      <c r="E141" s="254">
        <v>5.5</v>
      </c>
      <c r="F141" s="289">
        <v>27</v>
      </c>
      <c r="G141" s="290">
        <v>135</v>
      </c>
      <c r="H141" s="290">
        <f t="shared" si="11"/>
        <v>742.5</v>
      </c>
      <c r="I141" s="290">
        <v>675</v>
      </c>
      <c r="J141" s="290">
        <v>3712.5</v>
      </c>
      <c r="K141" s="290">
        <v>270</v>
      </c>
      <c r="L141" s="290">
        <v>1485</v>
      </c>
      <c r="M141" s="254"/>
    </row>
    <row r="142" spans="1:13" ht="22.5" customHeight="1">
      <c r="A142" s="254">
        <v>119</v>
      </c>
      <c r="B142" s="254" t="s">
        <v>2664</v>
      </c>
      <c r="C142" s="254" t="s">
        <v>2665</v>
      </c>
      <c r="D142" s="254" t="s">
        <v>2666</v>
      </c>
      <c r="E142" s="254">
        <v>5.4</v>
      </c>
      <c r="F142" s="289">
        <v>27</v>
      </c>
      <c r="G142" s="290">
        <v>135</v>
      </c>
      <c r="H142" s="290">
        <f t="shared" si="11"/>
        <v>729</v>
      </c>
      <c r="I142" s="290">
        <v>675</v>
      </c>
      <c r="J142" s="290">
        <v>3645.0000000000005</v>
      </c>
      <c r="K142" s="290">
        <v>270</v>
      </c>
      <c r="L142" s="290">
        <v>1458</v>
      </c>
      <c r="M142" s="254"/>
    </row>
    <row r="143" spans="1:13" ht="22.5" customHeight="1">
      <c r="A143" s="254">
        <v>120</v>
      </c>
      <c r="B143" s="254" t="s">
        <v>2667</v>
      </c>
      <c r="C143" s="254" t="s">
        <v>2668</v>
      </c>
      <c r="D143" s="254" t="s">
        <v>2669</v>
      </c>
      <c r="E143" s="254">
        <v>4.3</v>
      </c>
      <c r="F143" s="289">
        <v>35</v>
      </c>
      <c r="G143" s="290">
        <v>175</v>
      </c>
      <c r="H143" s="290">
        <f t="shared" si="11"/>
        <v>752.5</v>
      </c>
      <c r="I143" s="290">
        <v>875</v>
      </c>
      <c r="J143" s="290">
        <v>3762.5</v>
      </c>
      <c r="K143" s="290">
        <v>350</v>
      </c>
      <c r="L143" s="290">
        <v>1505</v>
      </c>
      <c r="M143" s="254"/>
    </row>
    <row r="144" spans="1:13" ht="22.5" customHeight="1">
      <c r="A144" s="254">
        <v>121</v>
      </c>
      <c r="B144" s="254" t="s">
        <v>2670</v>
      </c>
      <c r="C144" s="254" t="s">
        <v>2671</v>
      </c>
      <c r="D144" s="254" t="s">
        <v>2672</v>
      </c>
      <c r="E144" s="254">
        <v>4.9000000000000004</v>
      </c>
      <c r="F144" s="289">
        <v>35</v>
      </c>
      <c r="G144" s="290">
        <v>175</v>
      </c>
      <c r="H144" s="290">
        <f t="shared" si="11"/>
        <v>857.50000000000011</v>
      </c>
      <c r="I144" s="290">
        <v>875</v>
      </c>
      <c r="J144" s="290">
        <v>4287.5</v>
      </c>
      <c r="K144" s="290">
        <v>350</v>
      </c>
      <c r="L144" s="290">
        <v>1715.0000000000002</v>
      </c>
      <c r="M144" s="254"/>
    </row>
    <row r="145" spans="1:13" ht="22.5" customHeight="1">
      <c r="A145" s="254">
        <v>122</v>
      </c>
      <c r="B145" s="254" t="s">
        <v>2673</v>
      </c>
      <c r="C145" s="254" t="s">
        <v>2674</v>
      </c>
      <c r="D145" s="254" t="s">
        <v>2478</v>
      </c>
      <c r="E145" s="254">
        <v>5.5</v>
      </c>
      <c r="F145" s="289">
        <v>35</v>
      </c>
      <c r="G145" s="290">
        <v>175</v>
      </c>
      <c r="H145" s="290">
        <f t="shared" si="11"/>
        <v>962.5</v>
      </c>
      <c r="I145" s="290">
        <v>875</v>
      </c>
      <c r="J145" s="290">
        <v>4812.5</v>
      </c>
      <c r="K145" s="290">
        <v>350</v>
      </c>
      <c r="L145" s="290">
        <v>1925</v>
      </c>
      <c r="M145" s="254"/>
    </row>
    <row r="146" spans="1:13" ht="22.5" customHeight="1">
      <c r="A146" s="254">
        <v>123</v>
      </c>
      <c r="B146" s="254" t="s">
        <v>2675</v>
      </c>
      <c r="C146" s="254" t="s">
        <v>2676</v>
      </c>
      <c r="D146" s="254" t="s">
        <v>2458</v>
      </c>
      <c r="E146" s="254">
        <v>4.7</v>
      </c>
      <c r="F146" s="289">
        <v>27</v>
      </c>
      <c r="G146" s="290">
        <v>135</v>
      </c>
      <c r="H146" s="290">
        <f t="shared" si="11"/>
        <v>634.5</v>
      </c>
      <c r="I146" s="290">
        <v>675</v>
      </c>
      <c r="J146" s="290">
        <v>3172.5</v>
      </c>
      <c r="K146" s="290">
        <v>270</v>
      </c>
      <c r="L146" s="290">
        <v>1269</v>
      </c>
      <c r="M146" s="254"/>
    </row>
    <row r="147" spans="1:13" ht="22.5" customHeight="1">
      <c r="A147" s="254">
        <v>124</v>
      </c>
      <c r="B147" s="254" t="s">
        <v>2677</v>
      </c>
      <c r="C147" s="254" t="s">
        <v>2662</v>
      </c>
      <c r="D147" s="254" t="s">
        <v>2678</v>
      </c>
      <c r="E147" s="254">
        <v>5.2</v>
      </c>
      <c r="F147" s="289">
        <v>27</v>
      </c>
      <c r="G147" s="290">
        <v>135</v>
      </c>
      <c r="H147" s="290">
        <f t="shared" si="11"/>
        <v>702</v>
      </c>
      <c r="I147" s="290">
        <v>675</v>
      </c>
      <c r="J147" s="290">
        <v>3510</v>
      </c>
      <c r="K147" s="290">
        <v>270</v>
      </c>
      <c r="L147" s="290">
        <v>1404</v>
      </c>
      <c r="M147" s="254"/>
    </row>
    <row r="148" spans="1:13" ht="22.5" customHeight="1">
      <c r="A148" s="254">
        <v>125</v>
      </c>
      <c r="B148" s="254" t="s">
        <v>2679</v>
      </c>
      <c r="C148" s="254" t="s">
        <v>2668</v>
      </c>
      <c r="D148" s="254" t="s">
        <v>2680</v>
      </c>
      <c r="E148" s="254">
        <v>4.3</v>
      </c>
      <c r="F148" s="289">
        <v>35</v>
      </c>
      <c r="G148" s="290">
        <v>175</v>
      </c>
      <c r="H148" s="290">
        <f t="shared" si="11"/>
        <v>752.5</v>
      </c>
      <c r="I148" s="290">
        <v>875</v>
      </c>
      <c r="J148" s="290">
        <v>3762.5</v>
      </c>
      <c r="K148" s="290">
        <v>350</v>
      </c>
      <c r="L148" s="290">
        <v>1505</v>
      </c>
      <c r="M148" s="254"/>
    </row>
    <row r="149" spans="1:13" ht="22.5" customHeight="1">
      <c r="A149" s="254">
        <v>126</v>
      </c>
      <c r="B149" s="254" t="s">
        <v>2681</v>
      </c>
      <c r="C149" s="254" t="s">
        <v>2662</v>
      </c>
      <c r="D149" s="254" t="s">
        <v>2682</v>
      </c>
      <c r="E149" s="254">
        <v>5.0999999999999996</v>
      </c>
      <c r="F149" s="289">
        <v>27</v>
      </c>
      <c r="G149" s="290">
        <f>F149*5</f>
        <v>135</v>
      </c>
      <c r="H149" s="290">
        <f t="shared" si="11"/>
        <v>688.5</v>
      </c>
      <c r="I149" s="290">
        <f>G149*5</f>
        <v>675</v>
      </c>
      <c r="J149" s="290">
        <f>I149*E149</f>
        <v>3442.4999999999995</v>
      </c>
      <c r="K149" s="290">
        <f>G149*2</f>
        <v>270</v>
      </c>
      <c r="L149" s="290">
        <f>K149*E149</f>
        <v>1377</v>
      </c>
      <c r="M149" s="254"/>
    </row>
    <row r="150" spans="1:13" ht="22.5" customHeight="1">
      <c r="A150" s="254">
        <v>127</v>
      </c>
      <c r="B150" s="254" t="s">
        <v>2683</v>
      </c>
      <c r="C150" s="254" t="s">
        <v>2684</v>
      </c>
      <c r="D150" s="254" t="s">
        <v>2685</v>
      </c>
      <c r="E150" s="254">
        <v>5.6</v>
      </c>
      <c r="F150" s="289">
        <v>27</v>
      </c>
      <c r="G150" s="290">
        <v>135</v>
      </c>
      <c r="H150" s="290">
        <f t="shared" si="11"/>
        <v>756</v>
      </c>
      <c r="I150" s="290">
        <v>675</v>
      </c>
      <c r="J150" s="290">
        <v>3779.9999999999995</v>
      </c>
      <c r="K150" s="290">
        <v>270</v>
      </c>
      <c r="L150" s="290">
        <v>1512</v>
      </c>
      <c r="M150" s="254"/>
    </row>
    <row r="151" spans="1:13" ht="22.5" customHeight="1">
      <c r="A151" s="936" t="s">
        <v>318</v>
      </c>
      <c r="B151" s="932"/>
      <c r="C151" s="311">
        <f>COUNTA(CD[[ARTICLE ]])</f>
        <v>34</v>
      </c>
      <c r="D151" s="311"/>
      <c r="E151" s="611">
        <f>SUM(E116:E150)</f>
        <v>156.80000000000001</v>
      </c>
      <c r="F151" s="611"/>
      <c r="G151" s="328"/>
      <c r="H151" s="323">
        <f>SUM(H117:H150)</f>
        <v>28684</v>
      </c>
      <c r="I151" s="315"/>
      <c r="J151" s="611"/>
      <c r="K151" s="604"/>
      <c r="L151" s="604"/>
      <c r="M151" s="604"/>
    </row>
    <row r="152" spans="1:13" ht="16.8">
      <c r="A152" s="255"/>
      <c r="B152" s="255"/>
      <c r="C152" s="255"/>
      <c r="D152" s="255"/>
      <c r="E152" s="612"/>
      <c r="F152" s="612"/>
      <c r="G152" s="613"/>
      <c r="H152" s="614"/>
      <c r="I152" s="615"/>
      <c r="J152" s="612"/>
      <c r="K152" s="616"/>
      <c r="L152" s="616"/>
      <c r="M152" s="616"/>
    </row>
    <row r="153" spans="1:13" ht="16.8">
      <c r="A153" s="255"/>
      <c r="B153" s="255"/>
      <c r="C153" s="255"/>
      <c r="D153" s="255"/>
      <c r="E153" s="612"/>
      <c r="F153" s="612"/>
      <c r="G153" s="613"/>
      <c r="H153" s="614"/>
      <c r="I153" s="615"/>
      <c r="J153" s="612"/>
      <c r="K153" s="616"/>
      <c r="L153" s="616"/>
      <c r="M153" s="616"/>
    </row>
    <row r="154" spans="1:13" ht="16.8">
      <c r="A154" s="255"/>
      <c r="B154" s="255"/>
      <c r="C154" s="255"/>
      <c r="D154" s="255"/>
      <c r="E154" s="612"/>
      <c r="F154" s="612"/>
      <c r="G154" s="613"/>
      <c r="H154" s="614"/>
      <c r="I154" s="615"/>
      <c r="J154" s="612"/>
      <c r="K154" s="616"/>
      <c r="L154" s="616"/>
      <c r="M154" s="616"/>
    </row>
    <row r="155" spans="1:13" ht="16.8">
      <c r="A155" s="255"/>
      <c r="B155" s="255"/>
      <c r="C155" s="255"/>
      <c r="D155" s="255"/>
      <c r="E155" s="612"/>
      <c r="F155" s="612"/>
      <c r="G155" s="613"/>
      <c r="H155" s="614"/>
      <c r="I155" s="615"/>
      <c r="J155" s="612"/>
      <c r="K155" s="616"/>
      <c r="L155" s="616"/>
      <c r="M155" s="616"/>
    </row>
    <row r="156" spans="1:13" ht="16.8">
      <c r="A156" s="255"/>
      <c r="B156" s="255"/>
      <c r="C156" s="255"/>
      <c r="D156" s="255"/>
      <c r="E156" s="612"/>
      <c r="F156" s="612"/>
      <c r="G156" s="613"/>
      <c r="H156" s="614"/>
      <c r="I156" s="615"/>
      <c r="J156" s="612"/>
      <c r="K156" s="616"/>
      <c r="L156" s="616"/>
      <c r="M156" s="616"/>
    </row>
    <row r="157" spans="1:13" ht="13.2">
      <c r="A157" s="983" t="s">
        <v>2686</v>
      </c>
      <c r="B157" s="931"/>
      <c r="C157" s="931"/>
      <c r="D157" s="931"/>
      <c r="E157" s="931"/>
      <c r="F157" s="931"/>
      <c r="G157" s="931"/>
      <c r="H157" s="931"/>
      <c r="I157" s="931"/>
      <c r="J157" s="931"/>
      <c r="K157" s="931"/>
      <c r="L157" s="931"/>
      <c r="M157" s="932"/>
    </row>
    <row r="158" spans="1:13" ht="22.5" customHeight="1">
      <c r="A158" s="253" t="s">
        <v>165</v>
      </c>
      <c r="B158" s="255" t="s">
        <v>166</v>
      </c>
      <c r="C158" s="253" t="s">
        <v>167</v>
      </c>
      <c r="D158" s="253" t="s">
        <v>168</v>
      </c>
      <c r="E158" s="253" t="s">
        <v>2461</v>
      </c>
      <c r="F158" s="313" t="s">
        <v>2687</v>
      </c>
      <c r="G158" s="601" t="s">
        <v>2688</v>
      </c>
      <c r="H158" s="601" t="s">
        <v>2689</v>
      </c>
      <c r="I158" s="254" t="s">
        <v>2690</v>
      </c>
      <c r="J158" s="254" t="s">
        <v>2691</v>
      </c>
      <c r="K158" s="254" t="s">
        <v>2692</v>
      </c>
      <c r="L158" s="254" t="s">
        <v>2693</v>
      </c>
      <c r="M158" s="318" t="s">
        <v>177</v>
      </c>
    </row>
    <row r="159" spans="1:13" ht="22.5" customHeight="1">
      <c r="A159" s="254">
        <v>128</v>
      </c>
      <c r="B159" s="617" t="s">
        <v>2694</v>
      </c>
      <c r="C159" s="254" t="s">
        <v>2695</v>
      </c>
      <c r="D159" s="254" t="s">
        <v>2492</v>
      </c>
      <c r="E159" s="288">
        <v>6.4</v>
      </c>
      <c r="F159" s="289">
        <v>30</v>
      </c>
      <c r="G159" s="320">
        <f t="shared" ref="G159:G251" si="12">F159*5</f>
        <v>150</v>
      </c>
      <c r="H159" s="320">
        <f t="shared" ref="H159:H251" si="13">E159*G159</f>
        <v>960</v>
      </c>
      <c r="I159" s="320">
        <f t="shared" ref="I159:I251" si="14">G159*5</f>
        <v>750</v>
      </c>
      <c r="J159" s="320">
        <f t="shared" ref="J159:J251" si="15">I159*E159</f>
        <v>4800</v>
      </c>
      <c r="K159" s="320">
        <f t="shared" ref="K159:K251" si="16">I159/2</f>
        <v>375</v>
      </c>
      <c r="L159" s="320">
        <f t="shared" ref="L159:L251" si="17">K159*E159</f>
        <v>2400</v>
      </c>
      <c r="M159" s="319"/>
    </row>
    <row r="160" spans="1:13" ht="22.5" customHeight="1">
      <c r="A160" s="254">
        <v>129</v>
      </c>
      <c r="B160" s="617" t="s">
        <v>2696</v>
      </c>
      <c r="C160" s="254" t="s">
        <v>2695</v>
      </c>
      <c r="D160" s="254" t="s">
        <v>2476</v>
      </c>
      <c r="E160" s="288">
        <v>6.4</v>
      </c>
      <c r="F160" s="289">
        <v>30</v>
      </c>
      <c r="G160" s="320">
        <f t="shared" si="12"/>
        <v>150</v>
      </c>
      <c r="H160" s="320">
        <f t="shared" si="13"/>
        <v>960</v>
      </c>
      <c r="I160" s="320">
        <f t="shared" si="14"/>
        <v>750</v>
      </c>
      <c r="J160" s="320">
        <f t="shared" si="15"/>
        <v>4800</v>
      </c>
      <c r="K160" s="320">
        <f t="shared" si="16"/>
        <v>375</v>
      </c>
      <c r="L160" s="320">
        <f t="shared" si="17"/>
        <v>2400</v>
      </c>
      <c r="M160" s="319"/>
    </row>
    <row r="161" spans="1:13" ht="22.5" customHeight="1">
      <c r="A161" s="254">
        <v>130</v>
      </c>
      <c r="B161" s="617" t="s">
        <v>2697</v>
      </c>
      <c r="C161" s="254" t="s">
        <v>2695</v>
      </c>
      <c r="D161" s="274" t="s">
        <v>2698</v>
      </c>
      <c r="E161" s="288">
        <v>6.4</v>
      </c>
      <c r="F161" s="289">
        <v>30</v>
      </c>
      <c r="G161" s="320">
        <f t="shared" si="12"/>
        <v>150</v>
      </c>
      <c r="H161" s="320">
        <f t="shared" si="13"/>
        <v>960</v>
      </c>
      <c r="I161" s="320">
        <f t="shared" si="14"/>
        <v>750</v>
      </c>
      <c r="J161" s="320">
        <f t="shared" si="15"/>
        <v>4800</v>
      </c>
      <c r="K161" s="320">
        <f t="shared" si="16"/>
        <v>375</v>
      </c>
      <c r="L161" s="320">
        <f t="shared" si="17"/>
        <v>2400</v>
      </c>
      <c r="M161" s="319"/>
    </row>
    <row r="162" spans="1:13" ht="22.5" customHeight="1">
      <c r="A162" s="254">
        <v>131</v>
      </c>
      <c r="B162" s="617" t="s">
        <v>2699</v>
      </c>
      <c r="C162" s="254" t="s">
        <v>2695</v>
      </c>
      <c r="D162" s="254" t="s">
        <v>2700</v>
      </c>
      <c r="E162" s="288">
        <v>6.4</v>
      </c>
      <c r="F162" s="289">
        <v>30</v>
      </c>
      <c r="G162" s="320">
        <f t="shared" si="12"/>
        <v>150</v>
      </c>
      <c r="H162" s="320">
        <f t="shared" si="13"/>
        <v>960</v>
      </c>
      <c r="I162" s="320">
        <f t="shared" si="14"/>
        <v>750</v>
      </c>
      <c r="J162" s="320">
        <f t="shared" si="15"/>
        <v>4800</v>
      </c>
      <c r="K162" s="320">
        <f t="shared" si="16"/>
        <v>375</v>
      </c>
      <c r="L162" s="320">
        <f t="shared" si="17"/>
        <v>2400</v>
      </c>
      <c r="M162" s="319"/>
    </row>
    <row r="163" spans="1:13" ht="22.5" customHeight="1">
      <c r="A163" s="254">
        <v>132</v>
      </c>
      <c r="B163" s="617" t="s">
        <v>2701</v>
      </c>
      <c r="C163" s="254" t="s">
        <v>2695</v>
      </c>
      <c r="D163" s="254" t="s">
        <v>2702</v>
      </c>
      <c r="E163" s="288">
        <v>6.4</v>
      </c>
      <c r="F163" s="289">
        <v>30</v>
      </c>
      <c r="G163" s="320">
        <f t="shared" si="12"/>
        <v>150</v>
      </c>
      <c r="H163" s="320">
        <f t="shared" si="13"/>
        <v>960</v>
      </c>
      <c r="I163" s="320">
        <f t="shared" si="14"/>
        <v>750</v>
      </c>
      <c r="J163" s="320">
        <f t="shared" si="15"/>
        <v>4800</v>
      </c>
      <c r="K163" s="320">
        <f t="shared" si="16"/>
        <v>375</v>
      </c>
      <c r="L163" s="320">
        <f t="shared" si="17"/>
        <v>2400</v>
      </c>
      <c r="M163" s="319"/>
    </row>
    <row r="164" spans="1:13" ht="22.5" customHeight="1">
      <c r="A164" s="254">
        <v>133</v>
      </c>
      <c r="B164" s="617" t="s">
        <v>2703</v>
      </c>
      <c r="C164" s="254" t="s">
        <v>2695</v>
      </c>
      <c r="D164" s="254" t="s">
        <v>2594</v>
      </c>
      <c r="E164" s="288">
        <v>6.4</v>
      </c>
      <c r="F164" s="289">
        <v>30</v>
      </c>
      <c r="G164" s="320">
        <f t="shared" si="12"/>
        <v>150</v>
      </c>
      <c r="H164" s="320">
        <f t="shared" si="13"/>
        <v>960</v>
      </c>
      <c r="I164" s="320">
        <f t="shared" si="14"/>
        <v>750</v>
      </c>
      <c r="J164" s="320">
        <f t="shared" si="15"/>
        <v>4800</v>
      </c>
      <c r="K164" s="320">
        <f t="shared" si="16"/>
        <v>375</v>
      </c>
      <c r="L164" s="320">
        <f t="shared" si="17"/>
        <v>2400</v>
      </c>
      <c r="M164" s="319"/>
    </row>
    <row r="165" spans="1:13" ht="22.5" customHeight="1">
      <c r="A165" s="254">
        <v>134</v>
      </c>
      <c r="B165" s="617" t="s">
        <v>2704</v>
      </c>
      <c r="C165" s="254" t="s">
        <v>2705</v>
      </c>
      <c r="D165" s="254" t="s">
        <v>2476</v>
      </c>
      <c r="E165" s="288">
        <v>6.4</v>
      </c>
      <c r="F165" s="289">
        <v>30</v>
      </c>
      <c r="G165" s="320">
        <f t="shared" si="12"/>
        <v>150</v>
      </c>
      <c r="H165" s="320">
        <f t="shared" si="13"/>
        <v>960</v>
      </c>
      <c r="I165" s="320">
        <f t="shared" si="14"/>
        <v>750</v>
      </c>
      <c r="J165" s="320">
        <f t="shared" si="15"/>
        <v>4800</v>
      </c>
      <c r="K165" s="320">
        <f t="shared" si="16"/>
        <v>375</v>
      </c>
      <c r="L165" s="320">
        <f t="shared" si="17"/>
        <v>2400</v>
      </c>
      <c r="M165" s="319"/>
    </row>
    <row r="166" spans="1:13" ht="22.5" customHeight="1">
      <c r="A166" s="254">
        <v>135</v>
      </c>
      <c r="B166" s="617" t="s">
        <v>2706</v>
      </c>
      <c r="C166" s="254" t="s">
        <v>2705</v>
      </c>
      <c r="D166" s="254" t="s">
        <v>2707</v>
      </c>
      <c r="E166" s="288">
        <v>6.4</v>
      </c>
      <c r="F166" s="289">
        <v>30</v>
      </c>
      <c r="G166" s="320">
        <f t="shared" si="12"/>
        <v>150</v>
      </c>
      <c r="H166" s="320">
        <f t="shared" si="13"/>
        <v>960</v>
      </c>
      <c r="I166" s="320">
        <f t="shared" si="14"/>
        <v>750</v>
      </c>
      <c r="J166" s="320">
        <f t="shared" si="15"/>
        <v>4800</v>
      </c>
      <c r="K166" s="320">
        <f t="shared" si="16"/>
        <v>375</v>
      </c>
      <c r="L166" s="320">
        <f t="shared" si="17"/>
        <v>2400</v>
      </c>
      <c r="M166" s="319"/>
    </row>
    <row r="167" spans="1:13" ht="22.5" customHeight="1">
      <c r="A167" s="254">
        <v>136</v>
      </c>
      <c r="B167" s="617" t="s">
        <v>2708</v>
      </c>
      <c r="C167" s="254" t="s">
        <v>2705</v>
      </c>
      <c r="D167" s="254" t="s">
        <v>2702</v>
      </c>
      <c r="E167" s="288">
        <v>6.4</v>
      </c>
      <c r="F167" s="289">
        <v>30</v>
      </c>
      <c r="G167" s="320">
        <f t="shared" si="12"/>
        <v>150</v>
      </c>
      <c r="H167" s="320">
        <f t="shared" si="13"/>
        <v>960</v>
      </c>
      <c r="I167" s="320">
        <f t="shared" si="14"/>
        <v>750</v>
      </c>
      <c r="J167" s="320">
        <f t="shared" si="15"/>
        <v>4800</v>
      </c>
      <c r="K167" s="320">
        <f t="shared" si="16"/>
        <v>375</v>
      </c>
      <c r="L167" s="320">
        <f t="shared" si="17"/>
        <v>2400</v>
      </c>
      <c r="M167" s="319"/>
    </row>
    <row r="168" spans="1:13" ht="22.5" customHeight="1">
      <c r="A168" s="254">
        <v>137</v>
      </c>
      <c r="B168" s="617" t="s">
        <v>2709</v>
      </c>
      <c r="C168" s="254" t="s">
        <v>2710</v>
      </c>
      <c r="D168" s="254" t="s">
        <v>2698</v>
      </c>
      <c r="E168" s="288">
        <v>6.4</v>
      </c>
      <c r="F168" s="289">
        <v>30</v>
      </c>
      <c r="G168" s="320">
        <f t="shared" si="12"/>
        <v>150</v>
      </c>
      <c r="H168" s="320">
        <f t="shared" si="13"/>
        <v>960</v>
      </c>
      <c r="I168" s="320">
        <f t="shared" si="14"/>
        <v>750</v>
      </c>
      <c r="J168" s="320">
        <f t="shared" si="15"/>
        <v>4800</v>
      </c>
      <c r="K168" s="320">
        <f t="shared" si="16"/>
        <v>375</v>
      </c>
      <c r="L168" s="320">
        <f t="shared" si="17"/>
        <v>2400</v>
      </c>
      <c r="M168" s="319"/>
    </row>
    <row r="169" spans="1:13" ht="22.5" customHeight="1">
      <c r="A169" s="254">
        <v>138</v>
      </c>
      <c r="B169" s="617" t="s">
        <v>2711</v>
      </c>
      <c r="C169" s="254" t="s">
        <v>2710</v>
      </c>
      <c r="D169" s="254" t="s">
        <v>2712</v>
      </c>
      <c r="E169" s="288">
        <v>6.4</v>
      </c>
      <c r="F169" s="289">
        <v>30</v>
      </c>
      <c r="G169" s="320">
        <f t="shared" si="12"/>
        <v>150</v>
      </c>
      <c r="H169" s="320">
        <f t="shared" si="13"/>
        <v>960</v>
      </c>
      <c r="I169" s="320">
        <f t="shared" si="14"/>
        <v>750</v>
      </c>
      <c r="J169" s="320">
        <f t="shared" si="15"/>
        <v>4800</v>
      </c>
      <c r="K169" s="320">
        <f t="shared" si="16"/>
        <v>375</v>
      </c>
      <c r="L169" s="320">
        <f t="shared" si="17"/>
        <v>2400</v>
      </c>
      <c r="M169" s="319"/>
    </row>
    <row r="170" spans="1:13" ht="22.5" customHeight="1">
      <c r="A170" s="254">
        <v>139</v>
      </c>
      <c r="B170" s="617" t="s">
        <v>2713</v>
      </c>
      <c r="C170" s="254" t="s">
        <v>2710</v>
      </c>
      <c r="D170" s="254" t="s">
        <v>2714</v>
      </c>
      <c r="E170" s="288">
        <v>6.4</v>
      </c>
      <c r="F170" s="289">
        <v>30</v>
      </c>
      <c r="G170" s="320">
        <f t="shared" si="12"/>
        <v>150</v>
      </c>
      <c r="H170" s="320">
        <f t="shared" si="13"/>
        <v>960</v>
      </c>
      <c r="I170" s="320">
        <f t="shared" si="14"/>
        <v>750</v>
      </c>
      <c r="J170" s="320">
        <f t="shared" si="15"/>
        <v>4800</v>
      </c>
      <c r="K170" s="320">
        <f t="shared" si="16"/>
        <v>375</v>
      </c>
      <c r="L170" s="320">
        <f t="shared" si="17"/>
        <v>2400</v>
      </c>
      <c r="M170" s="319"/>
    </row>
    <row r="171" spans="1:13" ht="22.5" customHeight="1">
      <c r="A171" s="254">
        <v>140</v>
      </c>
      <c r="B171" s="617" t="s">
        <v>2715</v>
      </c>
      <c r="C171" s="254" t="s">
        <v>2716</v>
      </c>
      <c r="D171" s="254" t="s">
        <v>2685</v>
      </c>
      <c r="E171" s="288">
        <v>6.4</v>
      </c>
      <c r="F171" s="289">
        <v>30</v>
      </c>
      <c r="G171" s="320">
        <f t="shared" si="12"/>
        <v>150</v>
      </c>
      <c r="H171" s="320">
        <f t="shared" si="13"/>
        <v>960</v>
      </c>
      <c r="I171" s="320">
        <f t="shared" si="14"/>
        <v>750</v>
      </c>
      <c r="J171" s="320">
        <f t="shared" si="15"/>
        <v>4800</v>
      </c>
      <c r="K171" s="320">
        <f t="shared" si="16"/>
        <v>375</v>
      </c>
      <c r="L171" s="320">
        <f t="shared" si="17"/>
        <v>2400</v>
      </c>
      <c r="M171" s="319"/>
    </row>
    <row r="172" spans="1:13" ht="22.5" customHeight="1">
      <c r="A172" s="254">
        <v>141</v>
      </c>
      <c r="B172" s="617" t="s">
        <v>2717</v>
      </c>
      <c r="C172" s="254" t="s">
        <v>2716</v>
      </c>
      <c r="D172" s="254" t="s">
        <v>2702</v>
      </c>
      <c r="E172" s="288">
        <v>6.4</v>
      </c>
      <c r="F172" s="289">
        <v>30</v>
      </c>
      <c r="G172" s="320">
        <f t="shared" si="12"/>
        <v>150</v>
      </c>
      <c r="H172" s="320">
        <f t="shared" si="13"/>
        <v>960</v>
      </c>
      <c r="I172" s="320">
        <f t="shared" si="14"/>
        <v>750</v>
      </c>
      <c r="J172" s="320">
        <f t="shared" si="15"/>
        <v>4800</v>
      </c>
      <c r="K172" s="320">
        <f t="shared" si="16"/>
        <v>375</v>
      </c>
      <c r="L172" s="320">
        <f t="shared" si="17"/>
        <v>2400</v>
      </c>
      <c r="M172" s="319"/>
    </row>
    <row r="173" spans="1:13" ht="22.5" customHeight="1">
      <c r="A173" s="254">
        <v>142</v>
      </c>
      <c r="B173" s="617" t="s">
        <v>2718</v>
      </c>
      <c r="C173" s="254" t="s">
        <v>2719</v>
      </c>
      <c r="D173" s="254" t="s">
        <v>2720</v>
      </c>
      <c r="E173" s="288">
        <v>6.4</v>
      </c>
      <c r="F173" s="289">
        <v>30</v>
      </c>
      <c r="G173" s="320">
        <f t="shared" si="12"/>
        <v>150</v>
      </c>
      <c r="H173" s="320">
        <f t="shared" si="13"/>
        <v>960</v>
      </c>
      <c r="I173" s="320">
        <f t="shared" si="14"/>
        <v>750</v>
      </c>
      <c r="J173" s="320">
        <f t="shared" si="15"/>
        <v>4800</v>
      </c>
      <c r="K173" s="320">
        <f t="shared" si="16"/>
        <v>375</v>
      </c>
      <c r="L173" s="320">
        <f t="shared" si="17"/>
        <v>2400</v>
      </c>
      <c r="M173" s="319"/>
    </row>
    <row r="174" spans="1:13" ht="22.5" customHeight="1">
      <c r="A174" s="254">
        <v>143</v>
      </c>
      <c r="B174" s="617" t="s">
        <v>2721</v>
      </c>
      <c r="C174" s="254" t="s">
        <v>2719</v>
      </c>
      <c r="D174" s="254" t="s">
        <v>2722</v>
      </c>
      <c r="E174" s="288">
        <v>6.4</v>
      </c>
      <c r="F174" s="289">
        <v>30</v>
      </c>
      <c r="G174" s="320">
        <f t="shared" si="12"/>
        <v>150</v>
      </c>
      <c r="H174" s="320">
        <f t="shared" si="13"/>
        <v>960</v>
      </c>
      <c r="I174" s="320">
        <f t="shared" si="14"/>
        <v>750</v>
      </c>
      <c r="J174" s="320">
        <f t="shared" si="15"/>
        <v>4800</v>
      </c>
      <c r="K174" s="320">
        <f t="shared" si="16"/>
        <v>375</v>
      </c>
      <c r="L174" s="320">
        <f t="shared" si="17"/>
        <v>2400</v>
      </c>
      <c r="M174" s="319"/>
    </row>
    <row r="175" spans="1:13" ht="22.5" customHeight="1">
      <c r="A175" s="254">
        <v>144</v>
      </c>
      <c r="B175" s="617" t="s">
        <v>2723</v>
      </c>
      <c r="C175" s="254" t="s">
        <v>2724</v>
      </c>
      <c r="D175" s="254" t="s">
        <v>2722</v>
      </c>
      <c r="E175" s="288">
        <v>6.4</v>
      </c>
      <c r="F175" s="289">
        <v>30</v>
      </c>
      <c r="G175" s="320">
        <f t="shared" si="12"/>
        <v>150</v>
      </c>
      <c r="H175" s="320">
        <f t="shared" si="13"/>
        <v>960</v>
      </c>
      <c r="I175" s="320">
        <f t="shared" si="14"/>
        <v>750</v>
      </c>
      <c r="J175" s="320">
        <f t="shared" si="15"/>
        <v>4800</v>
      </c>
      <c r="K175" s="320">
        <f t="shared" si="16"/>
        <v>375</v>
      </c>
      <c r="L175" s="320">
        <f t="shared" si="17"/>
        <v>2400</v>
      </c>
      <c r="M175" s="319"/>
    </row>
    <row r="176" spans="1:13" ht="22.5" customHeight="1">
      <c r="A176" s="254">
        <v>145</v>
      </c>
      <c r="B176" s="617" t="s">
        <v>2725</v>
      </c>
      <c r="C176" s="254" t="s">
        <v>2724</v>
      </c>
      <c r="D176" s="254" t="s">
        <v>2712</v>
      </c>
      <c r="E176" s="288">
        <v>6.4</v>
      </c>
      <c r="F176" s="289">
        <v>30</v>
      </c>
      <c r="G176" s="320">
        <f t="shared" si="12"/>
        <v>150</v>
      </c>
      <c r="H176" s="320">
        <f t="shared" si="13"/>
        <v>960</v>
      </c>
      <c r="I176" s="320">
        <f t="shared" si="14"/>
        <v>750</v>
      </c>
      <c r="J176" s="320">
        <f t="shared" si="15"/>
        <v>4800</v>
      </c>
      <c r="K176" s="320">
        <f t="shared" si="16"/>
        <v>375</v>
      </c>
      <c r="L176" s="320">
        <f t="shared" si="17"/>
        <v>2400</v>
      </c>
      <c r="M176" s="319"/>
    </row>
    <row r="177" spans="1:13" ht="22.5" customHeight="1">
      <c r="A177" s="254">
        <v>146</v>
      </c>
      <c r="B177" s="617" t="s">
        <v>2726</v>
      </c>
      <c r="C177" s="254" t="s">
        <v>2724</v>
      </c>
      <c r="D177" s="254" t="s">
        <v>2685</v>
      </c>
      <c r="E177" s="288">
        <v>6.4</v>
      </c>
      <c r="F177" s="289">
        <v>30</v>
      </c>
      <c r="G177" s="320">
        <f t="shared" si="12"/>
        <v>150</v>
      </c>
      <c r="H177" s="320">
        <f t="shared" si="13"/>
        <v>960</v>
      </c>
      <c r="I177" s="320">
        <f t="shared" si="14"/>
        <v>750</v>
      </c>
      <c r="J177" s="320">
        <f t="shared" si="15"/>
        <v>4800</v>
      </c>
      <c r="K177" s="320">
        <f t="shared" si="16"/>
        <v>375</v>
      </c>
      <c r="L177" s="320">
        <f t="shared" si="17"/>
        <v>2400</v>
      </c>
      <c r="M177" s="319"/>
    </row>
    <row r="178" spans="1:13" ht="22.5" customHeight="1">
      <c r="A178" s="254">
        <v>147</v>
      </c>
      <c r="B178" s="617" t="s">
        <v>2727</v>
      </c>
      <c r="C178" s="254" t="s">
        <v>2728</v>
      </c>
      <c r="D178" s="254" t="s">
        <v>2729</v>
      </c>
      <c r="E178" s="288">
        <v>6.4</v>
      </c>
      <c r="F178" s="289">
        <v>30</v>
      </c>
      <c r="G178" s="320">
        <f t="shared" si="12"/>
        <v>150</v>
      </c>
      <c r="H178" s="320">
        <f t="shared" si="13"/>
        <v>960</v>
      </c>
      <c r="I178" s="320">
        <f t="shared" si="14"/>
        <v>750</v>
      </c>
      <c r="J178" s="320">
        <f t="shared" si="15"/>
        <v>4800</v>
      </c>
      <c r="K178" s="320">
        <f t="shared" si="16"/>
        <v>375</v>
      </c>
      <c r="L178" s="320">
        <f t="shared" si="17"/>
        <v>2400</v>
      </c>
      <c r="M178" s="319"/>
    </row>
    <row r="179" spans="1:13" ht="22.5" customHeight="1">
      <c r="A179" s="254">
        <v>148</v>
      </c>
      <c r="B179" s="617" t="s">
        <v>2730</v>
      </c>
      <c r="C179" s="254" t="s">
        <v>2728</v>
      </c>
      <c r="D179" s="254" t="s">
        <v>2731</v>
      </c>
      <c r="E179" s="288">
        <v>6.4</v>
      </c>
      <c r="F179" s="289">
        <v>30</v>
      </c>
      <c r="G179" s="320">
        <f t="shared" si="12"/>
        <v>150</v>
      </c>
      <c r="H179" s="320">
        <f t="shared" si="13"/>
        <v>960</v>
      </c>
      <c r="I179" s="320">
        <f t="shared" si="14"/>
        <v>750</v>
      </c>
      <c r="J179" s="320">
        <f t="shared" si="15"/>
        <v>4800</v>
      </c>
      <c r="K179" s="320">
        <f t="shared" si="16"/>
        <v>375</v>
      </c>
      <c r="L179" s="320">
        <f t="shared" si="17"/>
        <v>2400</v>
      </c>
      <c r="M179" s="319"/>
    </row>
    <row r="180" spans="1:13" ht="22.5" customHeight="1">
      <c r="A180" s="254">
        <v>149</v>
      </c>
      <c r="B180" s="617" t="s">
        <v>2732</v>
      </c>
      <c r="C180" s="254" t="s">
        <v>2728</v>
      </c>
      <c r="D180" s="254" t="s">
        <v>2685</v>
      </c>
      <c r="E180" s="288">
        <v>6.4</v>
      </c>
      <c r="F180" s="289">
        <v>30</v>
      </c>
      <c r="G180" s="320">
        <f t="shared" si="12"/>
        <v>150</v>
      </c>
      <c r="H180" s="320">
        <f t="shared" si="13"/>
        <v>960</v>
      </c>
      <c r="I180" s="320">
        <f t="shared" si="14"/>
        <v>750</v>
      </c>
      <c r="J180" s="320">
        <f t="shared" si="15"/>
        <v>4800</v>
      </c>
      <c r="K180" s="320">
        <f t="shared" si="16"/>
        <v>375</v>
      </c>
      <c r="L180" s="320">
        <f t="shared" si="17"/>
        <v>2400</v>
      </c>
      <c r="M180" s="319"/>
    </row>
    <row r="181" spans="1:13" ht="22.5" customHeight="1">
      <c r="A181" s="254">
        <v>150</v>
      </c>
      <c r="B181" s="617" t="s">
        <v>2733</v>
      </c>
      <c r="C181" s="254" t="s">
        <v>2728</v>
      </c>
      <c r="D181" s="254" t="s">
        <v>2712</v>
      </c>
      <c r="E181" s="288">
        <v>6.4</v>
      </c>
      <c r="F181" s="289">
        <v>30</v>
      </c>
      <c r="G181" s="320">
        <f t="shared" si="12"/>
        <v>150</v>
      </c>
      <c r="H181" s="320">
        <f t="shared" si="13"/>
        <v>960</v>
      </c>
      <c r="I181" s="320">
        <f t="shared" si="14"/>
        <v>750</v>
      </c>
      <c r="J181" s="320">
        <f t="shared" si="15"/>
        <v>4800</v>
      </c>
      <c r="K181" s="320">
        <f t="shared" si="16"/>
        <v>375</v>
      </c>
      <c r="L181" s="320">
        <f t="shared" si="17"/>
        <v>2400</v>
      </c>
      <c r="M181" s="319"/>
    </row>
    <row r="182" spans="1:13" ht="22.5" customHeight="1">
      <c r="A182" s="254">
        <v>151</v>
      </c>
      <c r="B182" s="617" t="s">
        <v>2734</v>
      </c>
      <c r="C182" s="254" t="s">
        <v>2728</v>
      </c>
      <c r="D182" s="254" t="s">
        <v>2735</v>
      </c>
      <c r="E182" s="288">
        <v>6</v>
      </c>
      <c r="F182" s="289">
        <v>30</v>
      </c>
      <c r="G182" s="320">
        <f t="shared" si="12"/>
        <v>150</v>
      </c>
      <c r="H182" s="320">
        <f t="shared" si="13"/>
        <v>900</v>
      </c>
      <c r="I182" s="320">
        <f t="shared" si="14"/>
        <v>750</v>
      </c>
      <c r="J182" s="320">
        <f t="shared" si="15"/>
        <v>4500</v>
      </c>
      <c r="K182" s="320">
        <f t="shared" si="16"/>
        <v>375</v>
      </c>
      <c r="L182" s="320">
        <f t="shared" si="17"/>
        <v>2250</v>
      </c>
      <c r="M182" s="319"/>
    </row>
    <row r="183" spans="1:13" ht="22.5" customHeight="1">
      <c r="A183" s="254">
        <v>152</v>
      </c>
      <c r="B183" s="617" t="s">
        <v>2736</v>
      </c>
      <c r="C183" s="254" t="s">
        <v>2728</v>
      </c>
      <c r="D183" s="254" t="s">
        <v>2494</v>
      </c>
      <c r="E183" s="288">
        <v>6.4</v>
      </c>
      <c r="F183" s="289">
        <v>30</v>
      </c>
      <c r="G183" s="320">
        <f t="shared" si="12"/>
        <v>150</v>
      </c>
      <c r="H183" s="320">
        <f t="shared" si="13"/>
        <v>960</v>
      </c>
      <c r="I183" s="320">
        <f t="shared" si="14"/>
        <v>750</v>
      </c>
      <c r="J183" s="320">
        <f t="shared" si="15"/>
        <v>4800</v>
      </c>
      <c r="K183" s="320">
        <f t="shared" si="16"/>
        <v>375</v>
      </c>
      <c r="L183" s="320">
        <f t="shared" si="17"/>
        <v>2400</v>
      </c>
      <c r="M183" s="319"/>
    </row>
    <row r="184" spans="1:13" ht="22.5" customHeight="1">
      <c r="A184" s="254">
        <v>153</v>
      </c>
      <c r="B184" s="617" t="s">
        <v>2737</v>
      </c>
      <c r="C184" s="254" t="s">
        <v>2728</v>
      </c>
      <c r="D184" s="254" t="s">
        <v>2738</v>
      </c>
      <c r="E184" s="288">
        <v>6.4</v>
      </c>
      <c r="F184" s="289">
        <v>30</v>
      </c>
      <c r="G184" s="320">
        <f t="shared" si="12"/>
        <v>150</v>
      </c>
      <c r="H184" s="320">
        <f t="shared" si="13"/>
        <v>960</v>
      </c>
      <c r="I184" s="320">
        <f t="shared" si="14"/>
        <v>750</v>
      </c>
      <c r="J184" s="320">
        <f t="shared" si="15"/>
        <v>4800</v>
      </c>
      <c r="K184" s="320">
        <f t="shared" si="16"/>
        <v>375</v>
      </c>
      <c r="L184" s="320">
        <f t="shared" si="17"/>
        <v>2400</v>
      </c>
      <c r="M184" s="319"/>
    </row>
    <row r="185" spans="1:13" ht="22.5" customHeight="1">
      <c r="A185" s="254">
        <v>154</v>
      </c>
      <c r="B185" s="617" t="s">
        <v>2739</v>
      </c>
      <c r="C185" s="254" t="s">
        <v>2740</v>
      </c>
      <c r="D185" s="254" t="s">
        <v>2594</v>
      </c>
      <c r="E185" s="288">
        <v>6.4</v>
      </c>
      <c r="F185" s="289">
        <v>30</v>
      </c>
      <c r="G185" s="320">
        <f t="shared" si="12"/>
        <v>150</v>
      </c>
      <c r="H185" s="320">
        <f t="shared" si="13"/>
        <v>960</v>
      </c>
      <c r="I185" s="320">
        <f t="shared" si="14"/>
        <v>750</v>
      </c>
      <c r="J185" s="320">
        <f t="shared" si="15"/>
        <v>4800</v>
      </c>
      <c r="K185" s="320">
        <f t="shared" si="16"/>
        <v>375</v>
      </c>
      <c r="L185" s="320">
        <f t="shared" si="17"/>
        <v>2400</v>
      </c>
      <c r="M185" s="319"/>
    </row>
    <row r="186" spans="1:13" ht="22.5" customHeight="1">
      <c r="A186" s="254">
        <v>155</v>
      </c>
      <c r="B186" s="617" t="s">
        <v>2741</v>
      </c>
      <c r="C186" s="254" t="s">
        <v>2740</v>
      </c>
      <c r="D186" s="254" t="s">
        <v>2698</v>
      </c>
      <c r="E186" s="288">
        <v>6.4</v>
      </c>
      <c r="F186" s="289">
        <v>30</v>
      </c>
      <c r="G186" s="320">
        <f t="shared" si="12"/>
        <v>150</v>
      </c>
      <c r="H186" s="320">
        <f t="shared" si="13"/>
        <v>960</v>
      </c>
      <c r="I186" s="320">
        <f t="shared" si="14"/>
        <v>750</v>
      </c>
      <c r="J186" s="320">
        <f t="shared" si="15"/>
        <v>4800</v>
      </c>
      <c r="K186" s="320">
        <f t="shared" si="16"/>
        <v>375</v>
      </c>
      <c r="L186" s="320">
        <f t="shared" si="17"/>
        <v>2400</v>
      </c>
      <c r="M186" s="319"/>
    </row>
    <row r="187" spans="1:13" ht="22.5" customHeight="1">
      <c r="A187" s="254">
        <v>156</v>
      </c>
      <c r="B187" s="617" t="s">
        <v>2742</v>
      </c>
      <c r="C187" s="254" t="s">
        <v>2740</v>
      </c>
      <c r="D187" s="254" t="s">
        <v>2663</v>
      </c>
      <c r="E187" s="288">
        <v>6.4</v>
      </c>
      <c r="F187" s="289">
        <v>30</v>
      </c>
      <c r="G187" s="320">
        <f t="shared" si="12"/>
        <v>150</v>
      </c>
      <c r="H187" s="320">
        <f t="shared" si="13"/>
        <v>960</v>
      </c>
      <c r="I187" s="320">
        <f t="shared" si="14"/>
        <v>750</v>
      </c>
      <c r="J187" s="320">
        <f t="shared" si="15"/>
        <v>4800</v>
      </c>
      <c r="K187" s="320">
        <f t="shared" si="16"/>
        <v>375</v>
      </c>
      <c r="L187" s="320">
        <f t="shared" si="17"/>
        <v>2400</v>
      </c>
      <c r="M187" s="319"/>
    </row>
    <row r="188" spans="1:13" ht="22.5" customHeight="1">
      <c r="A188" s="254">
        <v>157</v>
      </c>
      <c r="B188" s="617" t="s">
        <v>2743</v>
      </c>
      <c r="C188" s="254" t="s">
        <v>2740</v>
      </c>
      <c r="D188" s="254" t="s">
        <v>2702</v>
      </c>
      <c r="E188" s="288">
        <v>6.4</v>
      </c>
      <c r="F188" s="289">
        <v>30</v>
      </c>
      <c r="G188" s="320">
        <f t="shared" si="12"/>
        <v>150</v>
      </c>
      <c r="H188" s="320">
        <f t="shared" si="13"/>
        <v>960</v>
      </c>
      <c r="I188" s="320">
        <f t="shared" si="14"/>
        <v>750</v>
      </c>
      <c r="J188" s="320">
        <f t="shared" si="15"/>
        <v>4800</v>
      </c>
      <c r="K188" s="320">
        <f t="shared" si="16"/>
        <v>375</v>
      </c>
      <c r="L188" s="320">
        <f t="shared" si="17"/>
        <v>2400</v>
      </c>
      <c r="M188" s="319"/>
    </row>
    <row r="189" spans="1:13" ht="22.5" customHeight="1">
      <c r="A189" s="254">
        <v>158</v>
      </c>
      <c r="B189" s="617" t="s">
        <v>2744</v>
      </c>
      <c r="C189" s="254" t="s">
        <v>2740</v>
      </c>
      <c r="D189" s="254" t="s">
        <v>2722</v>
      </c>
      <c r="E189" s="288">
        <v>6.4</v>
      </c>
      <c r="F189" s="289">
        <v>30</v>
      </c>
      <c r="G189" s="320">
        <f t="shared" si="12"/>
        <v>150</v>
      </c>
      <c r="H189" s="320">
        <f t="shared" si="13"/>
        <v>960</v>
      </c>
      <c r="I189" s="320">
        <f t="shared" si="14"/>
        <v>750</v>
      </c>
      <c r="J189" s="320">
        <f t="shared" si="15"/>
        <v>4800</v>
      </c>
      <c r="K189" s="320">
        <f t="shared" si="16"/>
        <v>375</v>
      </c>
      <c r="L189" s="320">
        <f t="shared" si="17"/>
        <v>2400</v>
      </c>
      <c r="M189" s="319"/>
    </row>
    <row r="190" spans="1:13" ht="22.5" customHeight="1">
      <c r="A190" s="254">
        <v>159</v>
      </c>
      <c r="B190" s="617" t="s">
        <v>2745</v>
      </c>
      <c r="C190" s="254" t="s">
        <v>2746</v>
      </c>
      <c r="D190" s="254" t="s">
        <v>2735</v>
      </c>
      <c r="E190" s="288">
        <v>6.4</v>
      </c>
      <c r="F190" s="289">
        <v>30</v>
      </c>
      <c r="G190" s="320">
        <f t="shared" si="12"/>
        <v>150</v>
      </c>
      <c r="H190" s="320">
        <f t="shared" si="13"/>
        <v>960</v>
      </c>
      <c r="I190" s="320">
        <f t="shared" si="14"/>
        <v>750</v>
      </c>
      <c r="J190" s="320">
        <f t="shared" si="15"/>
        <v>4800</v>
      </c>
      <c r="K190" s="320">
        <f t="shared" si="16"/>
        <v>375</v>
      </c>
      <c r="L190" s="320">
        <f t="shared" si="17"/>
        <v>2400</v>
      </c>
      <c r="M190" s="319"/>
    </row>
    <row r="191" spans="1:13" ht="22.5" customHeight="1">
      <c r="A191" s="254">
        <v>160</v>
      </c>
      <c r="B191" s="617" t="s">
        <v>2747</v>
      </c>
      <c r="C191" s="254" t="s">
        <v>2746</v>
      </c>
      <c r="D191" s="254" t="s">
        <v>2720</v>
      </c>
      <c r="E191" s="288">
        <v>6.4</v>
      </c>
      <c r="F191" s="289">
        <v>30</v>
      </c>
      <c r="G191" s="320">
        <f t="shared" si="12"/>
        <v>150</v>
      </c>
      <c r="H191" s="320">
        <f t="shared" si="13"/>
        <v>960</v>
      </c>
      <c r="I191" s="320">
        <f t="shared" si="14"/>
        <v>750</v>
      </c>
      <c r="J191" s="320">
        <f t="shared" si="15"/>
        <v>4800</v>
      </c>
      <c r="K191" s="320">
        <f t="shared" si="16"/>
        <v>375</v>
      </c>
      <c r="L191" s="320">
        <f t="shared" si="17"/>
        <v>2400</v>
      </c>
      <c r="M191" s="319"/>
    </row>
    <row r="192" spans="1:13" ht="22.5" customHeight="1">
      <c r="A192" s="254">
        <v>161</v>
      </c>
      <c r="B192" s="617" t="s">
        <v>2748</v>
      </c>
      <c r="C192" s="254" t="s">
        <v>2746</v>
      </c>
      <c r="D192" s="254" t="s">
        <v>2702</v>
      </c>
      <c r="E192" s="288">
        <v>6.4</v>
      </c>
      <c r="F192" s="289">
        <v>30</v>
      </c>
      <c r="G192" s="320">
        <f t="shared" si="12"/>
        <v>150</v>
      </c>
      <c r="H192" s="320">
        <f t="shared" si="13"/>
        <v>960</v>
      </c>
      <c r="I192" s="320">
        <f t="shared" si="14"/>
        <v>750</v>
      </c>
      <c r="J192" s="320">
        <f t="shared" si="15"/>
        <v>4800</v>
      </c>
      <c r="K192" s="320">
        <f t="shared" si="16"/>
        <v>375</v>
      </c>
      <c r="L192" s="320">
        <f t="shared" si="17"/>
        <v>2400</v>
      </c>
      <c r="M192" s="319"/>
    </row>
    <row r="193" spans="1:13" ht="22.5" customHeight="1">
      <c r="A193" s="254">
        <v>162</v>
      </c>
      <c r="B193" s="617" t="s">
        <v>2749</v>
      </c>
      <c r="C193" s="254" t="s">
        <v>2750</v>
      </c>
      <c r="D193" s="254" t="s">
        <v>2751</v>
      </c>
      <c r="E193" s="288">
        <v>6.4</v>
      </c>
      <c r="F193" s="289">
        <v>30</v>
      </c>
      <c r="G193" s="320">
        <f t="shared" si="12"/>
        <v>150</v>
      </c>
      <c r="H193" s="320">
        <f t="shared" si="13"/>
        <v>960</v>
      </c>
      <c r="I193" s="320">
        <f t="shared" si="14"/>
        <v>750</v>
      </c>
      <c r="J193" s="320">
        <f t="shared" si="15"/>
        <v>4800</v>
      </c>
      <c r="K193" s="320">
        <f t="shared" si="16"/>
        <v>375</v>
      </c>
      <c r="L193" s="320">
        <f t="shared" si="17"/>
        <v>2400</v>
      </c>
      <c r="M193" s="319"/>
    </row>
    <row r="194" spans="1:13" ht="22.5" customHeight="1">
      <c r="A194" s="254">
        <v>163</v>
      </c>
      <c r="B194" s="617" t="s">
        <v>2752</v>
      </c>
      <c r="C194" s="254" t="s">
        <v>2750</v>
      </c>
      <c r="D194" s="254" t="s">
        <v>2753</v>
      </c>
      <c r="E194" s="288">
        <v>6.4</v>
      </c>
      <c r="F194" s="289">
        <v>30</v>
      </c>
      <c r="G194" s="320">
        <f t="shared" si="12"/>
        <v>150</v>
      </c>
      <c r="H194" s="320">
        <f t="shared" si="13"/>
        <v>960</v>
      </c>
      <c r="I194" s="320">
        <f t="shared" si="14"/>
        <v>750</v>
      </c>
      <c r="J194" s="320">
        <f t="shared" si="15"/>
        <v>4800</v>
      </c>
      <c r="K194" s="320">
        <f t="shared" si="16"/>
        <v>375</v>
      </c>
      <c r="L194" s="320">
        <f t="shared" si="17"/>
        <v>2400</v>
      </c>
      <c r="M194" s="319"/>
    </row>
    <row r="195" spans="1:13" ht="22.5" customHeight="1">
      <c r="A195" s="254">
        <v>164</v>
      </c>
      <c r="B195" s="617" t="s">
        <v>2754</v>
      </c>
      <c r="C195" s="254" t="s">
        <v>2750</v>
      </c>
      <c r="D195" s="254" t="s">
        <v>2702</v>
      </c>
      <c r="E195" s="288">
        <v>6.4</v>
      </c>
      <c r="F195" s="289">
        <v>30</v>
      </c>
      <c r="G195" s="320">
        <f t="shared" si="12"/>
        <v>150</v>
      </c>
      <c r="H195" s="320">
        <f t="shared" si="13"/>
        <v>960</v>
      </c>
      <c r="I195" s="320">
        <f t="shared" si="14"/>
        <v>750</v>
      </c>
      <c r="J195" s="320">
        <f t="shared" si="15"/>
        <v>4800</v>
      </c>
      <c r="K195" s="320">
        <f t="shared" si="16"/>
        <v>375</v>
      </c>
      <c r="L195" s="320">
        <f t="shared" si="17"/>
        <v>2400</v>
      </c>
      <c r="M195" s="319"/>
    </row>
    <row r="196" spans="1:13" ht="22.5" customHeight="1">
      <c r="A196" s="254">
        <v>165</v>
      </c>
      <c r="B196" s="617" t="s">
        <v>2755</v>
      </c>
      <c r="C196" s="254" t="s">
        <v>2756</v>
      </c>
      <c r="D196" s="254" t="s">
        <v>2698</v>
      </c>
      <c r="E196" s="288">
        <v>6.4</v>
      </c>
      <c r="F196" s="289">
        <v>40</v>
      </c>
      <c r="G196" s="320">
        <f t="shared" si="12"/>
        <v>200</v>
      </c>
      <c r="H196" s="320">
        <f t="shared" si="13"/>
        <v>1280</v>
      </c>
      <c r="I196" s="320">
        <f t="shared" si="14"/>
        <v>1000</v>
      </c>
      <c r="J196" s="320">
        <f t="shared" si="15"/>
        <v>6400</v>
      </c>
      <c r="K196" s="320">
        <f t="shared" si="16"/>
        <v>500</v>
      </c>
      <c r="L196" s="320">
        <f t="shared" si="17"/>
        <v>3200</v>
      </c>
      <c r="M196" s="319"/>
    </row>
    <row r="197" spans="1:13" ht="22.5" customHeight="1">
      <c r="A197" s="254">
        <v>166</v>
      </c>
      <c r="B197" s="617" t="s">
        <v>2757</v>
      </c>
      <c r="C197" s="254" t="s">
        <v>2756</v>
      </c>
      <c r="D197" s="254" t="s">
        <v>2712</v>
      </c>
      <c r="E197" s="288">
        <v>6.4</v>
      </c>
      <c r="F197" s="289">
        <v>40</v>
      </c>
      <c r="G197" s="320">
        <f t="shared" si="12"/>
        <v>200</v>
      </c>
      <c r="H197" s="320">
        <f t="shared" si="13"/>
        <v>1280</v>
      </c>
      <c r="I197" s="320">
        <f t="shared" si="14"/>
        <v>1000</v>
      </c>
      <c r="J197" s="320">
        <f t="shared" si="15"/>
        <v>6400</v>
      </c>
      <c r="K197" s="320">
        <f t="shared" si="16"/>
        <v>500</v>
      </c>
      <c r="L197" s="320">
        <f t="shared" si="17"/>
        <v>3200</v>
      </c>
      <c r="M197" s="319"/>
    </row>
    <row r="198" spans="1:13" ht="22.5" customHeight="1">
      <c r="A198" s="254">
        <v>167</v>
      </c>
      <c r="B198" s="617" t="s">
        <v>2758</v>
      </c>
      <c r="C198" s="254" t="s">
        <v>2756</v>
      </c>
      <c r="D198" s="254" t="s">
        <v>2702</v>
      </c>
      <c r="E198" s="288">
        <v>6.4</v>
      </c>
      <c r="F198" s="289">
        <v>40</v>
      </c>
      <c r="G198" s="320">
        <f t="shared" si="12"/>
        <v>200</v>
      </c>
      <c r="H198" s="320">
        <f t="shared" si="13"/>
        <v>1280</v>
      </c>
      <c r="I198" s="320">
        <f t="shared" si="14"/>
        <v>1000</v>
      </c>
      <c r="J198" s="320">
        <f t="shared" si="15"/>
        <v>6400</v>
      </c>
      <c r="K198" s="320">
        <f t="shared" si="16"/>
        <v>500</v>
      </c>
      <c r="L198" s="320">
        <f t="shared" si="17"/>
        <v>3200</v>
      </c>
      <c r="M198" s="319"/>
    </row>
    <row r="199" spans="1:13" ht="22.5" customHeight="1">
      <c r="A199" s="254">
        <v>168</v>
      </c>
      <c r="B199" s="617" t="s">
        <v>2759</v>
      </c>
      <c r="C199" s="254" t="s">
        <v>2760</v>
      </c>
      <c r="D199" s="254" t="s">
        <v>2761</v>
      </c>
      <c r="E199" s="288">
        <v>6</v>
      </c>
      <c r="F199" s="289">
        <v>40</v>
      </c>
      <c r="G199" s="320">
        <f t="shared" si="12"/>
        <v>200</v>
      </c>
      <c r="H199" s="320">
        <f t="shared" si="13"/>
        <v>1200</v>
      </c>
      <c r="I199" s="320">
        <f t="shared" si="14"/>
        <v>1000</v>
      </c>
      <c r="J199" s="320">
        <f t="shared" si="15"/>
        <v>6000</v>
      </c>
      <c r="K199" s="320">
        <f t="shared" si="16"/>
        <v>500</v>
      </c>
      <c r="L199" s="320">
        <f t="shared" si="17"/>
        <v>3000</v>
      </c>
      <c r="M199" s="319"/>
    </row>
    <row r="200" spans="1:13" ht="22.5" customHeight="1">
      <c r="A200" s="254">
        <v>169</v>
      </c>
      <c r="B200" s="617" t="s">
        <v>2762</v>
      </c>
      <c r="C200" s="254" t="s">
        <v>2760</v>
      </c>
      <c r="D200" s="254" t="s">
        <v>2763</v>
      </c>
      <c r="E200" s="288">
        <v>6.4</v>
      </c>
      <c r="F200" s="289">
        <v>40</v>
      </c>
      <c r="G200" s="320">
        <f t="shared" si="12"/>
        <v>200</v>
      </c>
      <c r="H200" s="320">
        <f t="shared" si="13"/>
        <v>1280</v>
      </c>
      <c r="I200" s="320">
        <f t="shared" si="14"/>
        <v>1000</v>
      </c>
      <c r="J200" s="320">
        <f t="shared" si="15"/>
        <v>6400</v>
      </c>
      <c r="K200" s="320">
        <f t="shared" si="16"/>
        <v>500</v>
      </c>
      <c r="L200" s="320">
        <f t="shared" si="17"/>
        <v>3200</v>
      </c>
      <c r="M200" s="319"/>
    </row>
    <row r="201" spans="1:13" ht="22.5" customHeight="1">
      <c r="A201" s="254">
        <v>170</v>
      </c>
      <c r="B201" s="617" t="s">
        <v>2764</v>
      </c>
      <c r="C201" s="254" t="s">
        <v>2760</v>
      </c>
      <c r="D201" s="254" t="s">
        <v>2738</v>
      </c>
      <c r="E201" s="288">
        <v>6.4</v>
      </c>
      <c r="F201" s="289">
        <v>40</v>
      </c>
      <c r="G201" s="320">
        <f t="shared" si="12"/>
        <v>200</v>
      </c>
      <c r="H201" s="320">
        <f t="shared" si="13"/>
        <v>1280</v>
      </c>
      <c r="I201" s="320">
        <f t="shared" si="14"/>
        <v>1000</v>
      </c>
      <c r="J201" s="320">
        <f t="shared" si="15"/>
        <v>6400</v>
      </c>
      <c r="K201" s="320">
        <f t="shared" si="16"/>
        <v>500</v>
      </c>
      <c r="L201" s="320">
        <f t="shared" si="17"/>
        <v>3200</v>
      </c>
      <c r="M201" s="319"/>
    </row>
    <row r="202" spans="1:13" ht="22.5" customHeight="1">
      <c r="A202" s="254">
        <v>171</v>
      </c>
      <c r="B202" s="617" t="s">
        <v>2765</v>
      </c>
      <c r="C202" s="254" t="s">
        <v>2760</v>
      </c>
      <c r="D202" s="254" t="s">
        <v>2722</v>
      </c>
      <c r="E202" s="288">
        <v>6.4</v>
      </c>
      <c r="F202" s="289">
        <v>40</v>
      </c>
      <c r="G202" s="320">
        <f t="shared" si="12"/>
        <v>200</v>
      </c>
      <c r="H202" s="320">
        <f t="shared" si="13"/>
        <v>1280</v>
      </c>
      <c r="I202" s="320">
        <f t="shared" si="14"/>
        <v>1000</v>
      </c>
      <c r="J202" s="320">
        <f t="shared" si="15"/>
        <v>6400</v>
      </c>
      <c r="K202" s="320">
        <f t="shared" si="16"/>
        <v>500</v>
      </c>
      <c r="L202" s="320">
        <f t="shared" si="17"/>
        <v>3200</v>
      </c>
      <c r="M202" s="319"/>
    </row>
    <row r="203" spans="1:13" ht="22.5" customHeight="1">
      <c r="A203" s="254">
        <v>172</v>
      </c>
      <c r="B203" s="617" t="s">
        <v>2766</v>
      </c>
      <c r="C203" s="254" t="s">
        <v>2760</v>
      </c>
      <c r="D203" s="254" t="s">
        <v>2767</v>
      </c>
      <c r="E203" s="288">
        <v>6.4</v>
      </c>
      <c r="F203" s="289">
        <v>40</v>
      </c>
      <c r="G203" s="320">
        <f t="shared" si="12"/>
        <v>200</v>
      </c>
      <c r="H203" s="320">
        <f t="shared" si="13"/>
        <v>1280</v>
      </c>
      <c r="I203" s="320">
        <f t="shared" si="14"/>
        <v>1000</v>
      </c>
      <c r="J203" s="320">
        <f t="shared" si="15"/>
        <v>6400</v>
      </c>
      <c r="K203" s="320">
        <f t="shared" si="16"/>
        <v>500</v>
      </c>
      <c r="L203" s="320">
        <f t="shared" si="17"/>
        <v>3200</v>
      </c>
      <c r="M203" s="319"/>
    </row>
    <row r="204" spans="1:13" ht="22.5" customHeight="1">
      <c r="A204" s="254">
        <v>173</v>
      </c>
      <c r="B204" s="617" t="s">
        <v>2768</v>
      </c>
      <c r="C204" s="254" t="s">
        <v>2769</v>
      </c>
      <c r="D204" s="254" t="s">
        <v>2702</v>
      </c>
      <c r="E204" s="288">
        <v>6.4</v>
      </c>
      <c r="F204" s="289">
        <v>40</v>
      </c>
      <c r="G204" s="320">
        <f t="shared" si="12"/>
        <v>200</v>
      </c>
      <c r="H204" s="320">
        <f t="shared" si="13"/>
        <v>1280</v>
      </c>
      <c r="I204" s="320">
        <f t="shared" si="14"/>
        <v>1000</v>
      </c>
      <c r="J204" s="320">
        <f t="shared" si="15"/>
        <v>6400</v>
      </c>
      <c r="K204" s="320">
        <f t="shared" si="16"/>
        <v>500</v>
      </c>
      <c r="L204" s="320">
        <f t="shared" si="17"/>
        <v>3200</v>
      </c>
      <c r="M204" s="319"/>
    </row>
    <row r="205" spans="1:13" ht="22.5" customHeight="1">
      <c r="A205" s="254">
        <v>174</v>
      </c>
      <c r="B205" s="617" t="s">
        <v>2770</v>
      </c>
      <c r="C205" s="254" t="s">
        <v>2769</v>
      </c>
      <c r="D205" s="254" t="s">
        <v>2478</v>
      </c>
      <c r="E205" s="288">
        <v>6.4</v>
      </c>
      <c r="F205" s="289">
        <v>40</v>
      </c>
      <c r="G205" s="320">
        <f t="shared" si="12"/>
        <v>200</v>
      </c>
      <c r="H205" s="320">
        <f t="shared" si="13"/>
        <v>1280</v>
      </c>
      <c r="I205" s="320">
        <f t="shared" si="14"/>
        <v>1000</v>
      </c>
      <c r="J205" s="320">
        <f t="shared" si="15"/>
        <v>6400</v>
      </c>
      <c r="K205" s="320">
        <f t="shared" si="16"/>
        <v>500</v>
      </c>
      <c r="L205" s="320">
        <f t="shared" si="17"/>
        <v>3200</v>
      </c>
      <c r="M205" s="319"/>
    </row>
    <row r="206" spans="1:13" ht="22.5" customHeight="1">
      <c r="A206" s="254">
        <v>175</v>
      </c>
      <c r="B206" s="617" t="s">
        <v>2771</v>
      </c>
      <c r="C206" s="254" t="s">
        <v>2769</v>
      </c>
      <c r="D206" s="254" t="s">
        <v>2735</v>
      </c>
      <c r="E206" s="288">
        <v>6.4</v>
      </c>
      <c r="F206" s="289">
        <v>40</v>
      </c>
      <c r="G206" s="320">
        <f t="shared" si="12"/>
        <v>200</v>
      </c>
      <c r="H206" s="320">
        <f t="shared" si="13"/>
        <v>1280</v>
      </c>
      <c r="I206" s="320">
        <f t="shared" si="14"/>
        <v>1000</v>
      </c>
      <c r="J206" s="320">
        <f t="shared" si="15"/>
        <v>6400</v>
      </c>
      <c r="K206" s="320">
        <f t="shared" si="16"/>
        <v>500</v>
      </c>
      <c r="L206" s="320">
        <f t="shared" si="17"/>
        <v>3200</v>
      </c>
      <c r="M206" s="319"/>
    </row>
    <row r="207" spans="1:13" ht="22.5" customHeight="1">
      <c r="A207" s="254">
        <v>176</v>
      </c>
      <c r="B207" s="617" t="s">
        <v>2772</v>
      </c>
      <c r="C207" s="254" t="s">
        <v>2773</v>
      </c>
      <c r="D207" s="254" t="s">
        <v>2774</v>
      </c>
      <c r="E207" s="288">
        <v>6.4</v>
      </c>
      <c r="F207" s="289">
        <v>40</v>
      </c>
      <c r="G207" s="320">
        <f t="shared" si="12"/>
        <v>200</v>
      </c>
      <c r="H207" s="320">
        <f t="shared" si="13"/>
        <v>1280</v>
      </c>
      <c r="I207" s="320">
        <f t="shared" si="14"/>
        <v>1000</v>
      </c>
      <c r="J207" s="320">
        <f t="shared" si="15"/>
        <v>6400</v>
      </c>
      <c r="K207" s="320">
        <f t="shared" si="16"/>
        <v>500</v>
      </c>
      <c r="L207" s="320">
        <f t="shared" si="17"/>
        <v>3200</v>
      </c>
      <c r="M207" s="319"/>
    </row>
    <row r="208" spans="1:13" ht="22.5" customHeight="1">
      <c r="A208" s="254">
        <v>177</v>
      </c>
      <c r="B208" s="617" t="s">
        <v>2775</v>
      </c>
      <c r="C208" s="254" t="s">
        <v>2773</v>
      </c>
      <c r="D208" s="254" t="s">
        <v>2702</v>
      </c>
      <c r="E208" s="288">
        <v>6.4</v>
      </c>
      <c r="F208" s="289">
        <v>40</v>
      </c>
      <c r="G208" s="320">
        <f t="shared" si="12"/>
        <v>200</v>
      </c>
      <c r="H208" s="320">
        <f t="shared" si="13"/>
        <v>1280</v>
      </c>
      <c r="I208" s="320">
        <f t="shared" si="14"/>
        <v>1000</v>
      </c>
      <c r="J208" s="320">
        <f t="shared" si="15"/>
        <v>6400</v>
      </c>
      <c r="K208" s="320">
        <f t="shared" si="16"/>
        <v>500</v>
      </c>
      <c r="L208" s="320">
        <f t="shared" si="17"/>
        <v>3200</v>
      </c>
      <c r="M208" s="319"/>
    </row>
    <row r="209" spans="1:13" ht="22.5" customHeight="1">
      <c r="A209" s="254">
        <v>178</v>
      </c>
      <c r="B209" s="617" t="s">
        <v>2776</v>
      </c>
      <c r="C209" s="254" t="s">
        <v>2777</v>
      </c>
      <c r="D209" s="254" t="s">
        <v>2594</v>
      </c>
      <c r="E209" s="288">
        <v>6.4</v>
      </c>
      <c r="F209" s="289">
        <v>45</v>
      </c>
      <c r="G209" s="320">
        <f t="shared" si="12"/>
        <v>225</v>
      </c>
      <c r="H209" s="320">
        <f t="shared" si="13"/>
        <v>1440</v>
      </c>
      <c r="I209" s="320">
        <f t="shared" si="14"/>
        <v>1125</v>
      </c>
      <c r="J209" s="320">
        <f t="shared" si="15"/>
        <v>7200</v>
      </c>
      <c r="K209" s="320">
        <f t="shared" si="16"/>
        <v>562.5</v>
      </c>
      <c r="L209" s="320">
        <f t="shared" si="17"/>
        <v>3600</v>
      </c>
      <c r="M209" s="319"/>
    </row>
    <row r="210" spans="1:13" ht="22.5" customHeight="1">
      <c r="A210" s="254">
        <v>179</v>
      </c>
      <c r="B210" s="617" t="s">
        <v>2778</v>
      </c>
      <c r="C210" s="254" t="s">
        <v>2777</v>
      </c>
      <c r="D210" s="254" t="s">
        <v>2779</v>
      </c>
      <c r="E210" s="288">
        <v>6.4</v>
      </c>
      <c r="F210" s="289">
        <v>45</v>
      </c>
      <c r="G210" s="320">
        <f t="shared" si="12"/>
        <v>225</v>
      </c>
      <c r="H210" s="320">
        <f t="shared" si="13"/>
        <v>1440</v>
      </c>
      <c r="I210" s="320">
        <f t="shared" si="14"/>
        <v>1125</v>
      </c>
      <c r="J210" s="320">
        <f t="shared" si="15"/>
        <v>7200</v>
      </c>
      <c r="K210" s="320">
        <f t="shared" si="16"/>
        <v>562.5</v>
      </c>
      <c r="L210" s="320">
        <f t="shared" si="17"/>
        <v>3600</v>
      </c>
      <c r="M210" s="319"/>
    </row>
    <row r="211" spans="1:13" ht="22.5" customHeight="1">
      <c r="A211" s="254">
        <v>180</v>
      </c>
      <c r="B211" s="617" t="s">
        <v>2780</v>
      </c>
      <c r="C211" s="254" t="s">
        <v>2777</v>
      </c>
      <c r="D211" s="254" t="s">
        <v>2781</v>
      </c>
      <c r="E211" s="288">
        <v>6.4</v>
      </c>
      <c r="F211" s="289">
        <v>45</v>
      </c>
      <c r="G211" s="320">
        <f t="shared" si="12"/>
        <v>225</v>
      </c>
      <c r="H211" s="320">
        <f t="shared" si="13"/>
        <v>1440</v>
      </c>
      <c r="I211" s="320">
        <f t="shared" si="14"/>
        <v>1125</v>
      </c>
      <c r="J211" s="320">
        <f t="shared" si="15"/>
        <v>7200</v>
      </c>
      <c r="K211" s="320">
        <f t="shared" si="16"/>
        <v>562.5</v>
      </c>
      <c r="L211" s="320">
        <f t="shared" si="17"/>
        <v>3600</v>
      </c>
      <c r="M211" s="319"/>
    </row>
    <row r="212" spans="1:13" ht="22.5" customHeight="1">
      <c r="A212" s="254">
        <v>181</v>
      </c>
      <c r="B212" s="617" t="s">
        <v>2782</v>
      </c>
      <c r="C212" s="254" t="s">
        <v>2777</v>
      </c>
      <c r="D212" s="254" t="s">
        <v>2476</v>
      </c>
      <c r="E212" s="288">
        <v>6.4</v>
      </c>
      <c r="F212" s="289">
        <v>45</v>
      </c>
      <c r="G212" s="320">
        <f t="shared" si="12"/>
        <v>225</v>
      </c>
      <c r="H212" s="320">
        <f t="shared" si="13"/>
        <v>1440</v>
      </c>
      <c r="I212" s="320">
        <f t="shared" si="14"/>
        <v>1125</v>
      </c>
      <c r="J212" s="320">
        <f t="shared" si="15"/>
        <v>7200</v>
      </c>
      <c r="K212" s="320">
        <f t="shared" si="16"/>
        <v>562.5</v>
      </c>
      <c r="L212" s="320">
        <f t="shared" si="17"/>
        <v>3600</v>
      </c>
      <c r="M212" s="319"/>
    </row>
    <row r="213" spans="1:13" ht="22.5" customHeight="1">
      <c r="A213" s="254">
        <v>182</v>
      </c>
      <c r="B213" s="617" t="s">
        <v>2783</v>
      </c>
      <c r="C213" s="254" t="s">
        <v>2784</v>
      </c>
      <c r="D213" s="254" t="s">
        <v>2478</v>
      </c>
      <c r="E213" s="288">
        <v>6.4</v>
      </c>
      <c r="F213" s="289">
        <v>50</v>
      </c>
      <c r="G213" s="320">
        <f t="shared" si="12"/>
        <v>250</v>
      </c>
      <c r="H213" s="320">
        <f t="shared" si="13"/>
        <v>1600</v>
      </c>
      <c r="I213" s="320">
        <f t="shared" si="14"/>
        <v>1250</v>
      </c>
      <c r="J213" s="320">
        <f t="shared" si="15"/>
        <v>8000</v>
      </c>
      <c r="K213" s="320">
        <f t="shared" si="16"/>
        <v>625</v>
      </c>
      <c r="L213" s="320">
        <f t="shared" si="17"/>
        <v>4000</v>
      </c>
      <c r="M213" s="319"/>
    </row>
    <row r="214" spans="1:13" ht="22.5" customHeight="1">
      <c r="A214" s="254">
        <v>183</v>
      </c>
      <c r="B214" s="617" t="s">
        <v>2785</v>
      </c>
      <c r="C214" s="254" t="s">
        <v>2784</v>
      </c>
      <c r="D214" s="254" t="s">
        <v>2663</v>
      </c>
      <c r="E214" s="288">
        <v>6.4</v>
      </c>
      <c r="F214" s="289">
        <v>50</v>
      </c>
      <c r="G214" s="320">
        <f t="shared" si="12"/>
        <v>250</v>
      </c>
      <c r="H214" s="320">
        <f t="shared" si="13"/>
        <v>1600</v>
      </c>
      <c r="I214" s="320">
        <f t="shared" si="14"/>
        <v>1250</v>
      </c>
      <c r="J214" s="320">
        <f t="shared" si="15"/>
        <v>8000</v>
      </c>
      <c r="K214" s="320">
        <f t="shared" si="16"/>
        <v>625</v>
      </c>
      <c r="L214" s="320">
        <f t="shared" si="17"/>
        <v>4000</v>
      </c>
      <c r="M214" s="319"/>
    </row>
    <row r="215" spans="1:13" ht="22.5" customHeight="1">
      <c r="A215" s="254">
        <v>184</v>
      </c>
      <c r="B215" s="617" t="s">
        <v>2786</v>
      </c>
      <c r="C215" s="254" t="s">
        <v>2784</v>
      </c>
      <c r="D215" s="254" t="s">
        <v>2787</v>
      </c>
      <c r="E215" s="288">
        <v>6.4</v>
      </c>
      <c r="F215" s="289">
        <v>50</v>
      </c>
      <c r="G215" s="320">
        <f t="shared" si="12"/>
        <v>250</v>
      </c>
      <c r="H215" s="320">
        <f t="shared" si="13"/>
        <v>1600</v>
      </c>
      <c r="I215" s="320">
        <f t="shared" si="14"/>
        <v>1250</v>
      </c>
      <c r="J215" s="320">
        <f t="shared" si="15"/>
        <v>8000</v>
      </c>
      <c r="K215" s="320">
        <f t="shared" si="16"/>
        <v>625</v>
      </c>
      <c r="L215" s="320">
        <f t="shared" si="17"/>
        <v>4000</v>
      </c>
      <c r="M215" s="319"/>
    </row>
    <row r="216" spans="1:13" ht="22.5" customHeight="1">
      <c r="A216" s="254">
        <v>185</v>
      </c>
      <c r="B216" s="617" t="s">
        <v>2788</v>
      </c>
      <c r="C216" s="254" t="s">
        <v>2784</v>
      </c>
      <c r="D216" s="254" t="s">
        <v>2594</v>
      </c>
      <c r="E216" s="288">
        <v>6.4</v>
      </c>
      <c r="F216" s="289">
        <v>50</v>
      </c>
      <c r="G216" s="320">
        <f t="shared" si="12"/>
        <v>250</v>
      </c>
      <c r="H216" s="320">
        <f t="shared" si="13"/>
        <v>1600</v>
      </c>
      <c r="I216" s="320">
        <f t="shared" si="14"/>
        <v>1250</v>
      </c>
      <c r="J216" s="320">
        <f t="shared" si="15"/>
        <v>8000</v>
      </c>
      <c r="K216" s="320">
        <f t="shared" si="16"/>
        <v>625</v>
      </c>
      <c r="L216" s="320">
        <f t="shared" si="17"/>
        <v>4000</v>
      </c>
      <c r="M216" s="319"/>
    </row>
    <row r="217" spans="1:13" ht="22.5" customHeight="1">
      <c r="A217" s="254">
        <v>186</v>
      </c>
      <c r="B217" s="617" t="s">
        <v>2789</v>
      </c>
      <c r="C217" s="254" t="s">
        <v>2790</v>
      </c>
      <c r="D217" s="254" t="s">
        <v>2781</v>
      </c>
      <c r="E217" s="288">
        <v>6.4</v>
      </c>
      <c r="F217" s="289">
        <v>50</v>
      </c>
      <c r="G217" s="320">
        <f t="shared" si="12"/>
        <v>250</v>
      </c>
      <c r="H217" s="320">
        <f t="shared" si="13"/>
        <v>1600</v>
      </c>
      <c r="I217" s="320">
        <f t="shared" si="14"/>
        <v>1250</v>
      </c>
      <c r="J217" s="320">
        <f t="shared" si="15"/>
        <v>8000</v>
      </c>
      <c r="K217" s="320">
        <f t="shared" si="16"/>
        <v>625</v>
      </c>
      <c r="L217" s="320">
        <f t="shared" si="17"/>
        <v>4000</v>
      </c>
      <c r="M217" s="319"/>
    </row>
    <row r="218" spans="1:13" ht="22.5" customHeight="1">
      <c r="A218" s="254">
        <v>187</v>
      </c>
      <c r="B218" s="617" t="s">
        <v>2791</v>
      </c>
      <c r="C218" s="254" t="s">
        <v>2792</v>
      </c>
      <c r="D218" s="254" t="s">
        <v>2793</v>
      </c>
      <c r="E218" s="288">
        <v>6.4</v>
      </c>
      <c r="F218" s="289">
        <v>50</v>
      </c>
      <c r="G218" s="320">
        <f t="shared" si="12"/>
        <v>250</v>
      </c>
      <c r="H218" s="320">
        <f t="shared" si="13"/>
        <v>1600</v>
      </c>
      <c r="I218" s="320">
        <f t="shared" si="14"/>
        <v>1250</v>
      </c>
      <c r="J218" s="320">
        <f t="shared" si="15"/>
        <v>8000</v>
      </c>
      <c r="K218" s="320">
        <f t="shared" si="16"/>
        <v>625</v>
      </c>
      <c r="L218" s="320">
        <f t="shared" si="17"/>
        <v>4000</v>
      </c>
      <c r="M218" s="319"/>
    </row>
    <row r="219" spans="1:13" ht="22.5" customHeight="1">
      <c r="A219" s="254">
        <v>188</v>
      </c>
      <c r="B219" s="617" t="s">
        <v>2794</v>
      </c>
      <c r="C219" s="254" t="s">
        <v>2795</v>
      </c>
      <c r="D219" s="254" t="s">
        <v>2735</v>
      </c>
      <c r="E219" s="288">
        <v>6.4</v>
      </c>
      <c r="F219" s="289">
        <v>50</v>
      </c>
      <c r="G219" s="320">
        <f t="shared" si="12"/>
        <v>250</v>
      </c>
      <c r="H219" s="320">
        <f t="shared" si="13"/>
        <v>1600</v>
      </c>
      <c r="I219" s="320">
        <f t="shared" si="14"/>
        <v>1250</v>
      </c>
      <c r="J219" s="320">
        <f t="shared" si="15"/>
        <v>8000</v>
      </c>
      <c r="K219" s="320">
        <f t="shared" si="16"/>
        <v>625</v>
      </c>
      <c r="L219" s="320">
        <f t="shared" si="17"/>
        <v>4000</v>
      </c>
      <c r="M219" s="319"/>
    </row>
    <row r="220" spans="1:13" ht="22.5" customHeight="1">
      <c r="A220" s="254">
        <v>189</v>
      </c>
      <c r="B220" s="617" t="s">
        <v>2796</v>
      </c>
      <c r="C220" s="254" t="s">
        <v>2797</v>
      </c>
      <c r="D220" s="319" t="s">
        <v>2722</v>
      </c>
      <c r="E220" s="288">
        <v>6.4</v>
      </c>
      <c r="F220" s="289">
        <v>60</v>
      </c>
      <c r="G220" s="320">
        <f t="shared" si="12"/>
        <v>300</v>
      </c>
      <c r="H220" s="320">
        <f t="shared" si="13"/>
        <v>1920</v>
      </c>
      <c r="I220" s="320">
        <f t="shared" si="14"/>
        <v>1500</v>
      </c>
      <c r="J220" s="320">
        <f t="shared" si="15"/>
        <v>9600</v>
      </c>
      <c r="K220" s="320">
        <f t="shared" si="16"/>
        <v>750</v>
      </c>
      <c r="L220" s="320">
        <f t="shared" si="17"/>
        <v>4800</v>
      </c>
      <c r="M220" s="319"/>
    </row>
    <row r="221" spans="1:13" ht="22.5" customHeight="1">
      <c r="A221" s="254">
        <v>190</v>
      </c>
      <c r="B221" s="617" t="s">
        <v>2798</v>
      </c>
      <c r="C221" s="254" t="s">
        <v>2799</v>
      </c>
      <c r="D221" s="319" t="s">
        <v>2767</v>
      </c>
      <c r="E221" s="288">
        <v>6.4</v>
      </c>
      <c r="F221" s="289">
        <v>60</v>
      </c>
      <c r="G221" s="320">
        <f t="shared" si="12"/>
        <v>300</v>
      </c>
      <c r="H221" s="320">
        <f t="shared" si="13"/>
        <v>1920</v>
      </c>
      <c r="I221" s="320">
        <f t="shared" si="14"/>
        <v>1500</v>
      </c>
      <c r="J221" s="320">
        <f t="shared" si="15"/>
        <v>9600</v>
      </c>
      <c r="K221" s="320">
        <f t="shared" si="16"/>
        <v>750</v>
      </c>
      <c r="L221" s="320">
        <f t="shared" si="17"/>
        <v>4800</v>
      </c>
      <c r="M221" s="319"/>
    </row>
    <row r="222" spans="1:13" ht="22.5" customHeight="1">
      <c r="A222" s="254">
        <v>191</v>
      </c>
      <c r="B222" s="617" t="s">
        <v>2800</v>
      </c>
      <c r="C222" s="254" t="s">
        <v>2795</v>
      </c>
      <c r="D222" s="254" t="s">
        <v>2478</v>
      </c>
      <c r="E222" s="288">
        <v>6.4</v>
      </c>
      <c r="F222" s="289">
        <v>60</v>
      </c>
      <c r="G222" s="320">
        <f t="shared" si="12"/>
        <v>300</v>
      </c>
      <c r="H222" s="320">
        <f t="shared" si="13"/>
        <v>1920</v>
      </c>
      <c r="I222" s="320">
        <f t="shared" si="14"/>
        <v>1500</v>
      </c>
      <c r="J222" s="320">
        <f t="shared" si="15"/>
        <v>9600</v>
      </c>
      <c r="K222" s="320">
        <f t="shared" si="16"/>
        <v>750</v>
      </c>
      <c r="L222" s="320">
        <f t="shared" si="17"/>
        <v>4800</v>
      </c>
      <c r="M222" s="319"/>
    </row>
    <row r="223" spans="1:13" ht="22.5" customHeight="1">
      <c r="A223" s="254">
        <v>192</v>
      </c>
      <c r="B223" s="617" t="s">
        <v>2801</v>
      </c>
      <c r="C223" s="254" t="s">
        <v>2802</v>
      </c>
      <c r="D223" s="254" t="s">
        <v>2722</v>
      </c>
      <c r="E223" s="288">
        <v>6.4</v>
      </c>
      <c r="F223" s="289">
        <v>60</v>
      </c>
      <c r="G223" s="320">
        <f t="shared" si="12"/>
        <v>300</v>
      </c>
      <c r="H223" s="320">
        <f t="shared" si="13"/>
        <v>1920</v>
      </c>
      <c r="I223" s="320">
        <f t="shared" si="14"/>
        <v>1500</v>
      </c>
      <c r="J223" s="320">
        <f t="shared" si="15"/>
        <v>9600</v>
      </c>
      <c r="K223" s="320">
        <f t="shared" si="16"/>
        <v>750</v>
      </c>
      <c r="L223" s="320">
        <f t="shared" si="17"/>
        <v>4800</v>
      </c>
      <c r="M223" s="319"/>
    </row>
    <row r="224" spans="1:13" ht="22.5" customHeight="1">
      <c r="A224" s="254">
        <v>193</v>
      </c>
      <c r="B224" s="617" t="s">
        <v>2803</v>
      </c>
      <c r="C224" s="254" t="s">
        <v>2804</v>
      </c>
      <c r="D224" s="254" t="s">
        <v>2722</v>
      </c>
      <c r="E224" s="288">
        <v>6.4</v>
      </c>
      <c r="F224" s="289">
        <v>60</v>
      </c>
      <c r="G224" s="320">
        <f t="shared" si="12"/>
        <v>300</v>
      </c>
      <c r="H224" s="320">
        <f t="shared" si="13"/>
        <v>1920</v>
      </c>
      <c r="I224" s="320">
        <f t="shared" si="14"/>
        <v>1500</v>
      </c>
      <c r="J224" s="320">
        <f t="shared" si="15"/>
        <v>9600</v>
      </c>
      <c r="K224" s="320">
        <f t="shared" si="16"/>
        <v>750</v>
      </c>
      <c r="L224" s="320">
        <f t="shared" si="17"/>
        <v>4800</v>
      </c>
      <c r="M224" s="319"/>
    </row>
    <row r="225" spans="1:13" ht="22.5" customHeight="1">
      <c r="A225" s="254">
        <v>194</v>
      </c>
      <c r="B225" s="617" t="s">
        <v>2805</v>
      </c>
      <c r="C225" s="254" t="s">
        <v>2804</v>
      </c>
      <c r="D225" s="254" t="s">
        <v>2793</v>
      </c>
      <c r="E225" s="288">
        <v>6.4</v>
      </c>
      <c r="F225" s="289">
        <v>60</v>
      </c>
      <c r="G225" s="320">
        <f t="shared" si="12"/>
        <v>300</v>
      </c>
      <c r="H225" s="320">
        <f t="shared" si="13"/>
        <v>1920</v>
      </c>
      <c r="I225" s="320">
        <f t="shared" si="14"/>
        <v>1500</v>
      </c>
      <c r="J225" s="320">
        <f t="shared" si="15"/>
        <v>9600</v>
      </c>
      <c r="K225" s="320">
        <f t="shared" si="16"/>
        <v>750</v>
      </c>
      <c r="L225" s="320">
        <f t="shared" si="17"/>
        <v>4800</v>
      </c>
      <c r="M225" s="319"/>
    </row>
    <row r="226" spans="1:13" ht="22.5" customHeight="1">
      <c r="A226" s="254">
        <v>195</v>
      </c>
      <c r="B226" s="617" t="s">
        <v>2806</v>
      </c>
      <c r="C226" s="254" t="s">
        <v>2807</v>
      </c>
      <c r="D226" s="254" t="s">
        <v>2702</v>
      </c>
      <c r="E226" s="288">
        <v>6.4</v>
      </c>
      <c r="F226" s="289">
        <v>60</v>
      </c>
      <c r="G226" s="320">
        <f t="shared" si="12"/>
        <v>300</v>
      </c>
      <c r="H226" s="320">
        <f t="shared" si="13"/>
        <v>1920</v>
      </c>
      <c r="I226" s="320">
        <f t="shared" si="14"/>
        <v>1500</v>
      </c>
      <c r="J226" s="320">
        <f t="shared" si="15"/>
        <v>9600</v>
      </c>
      <c r="K226" s="320">
        <f t="shared" si="16"/>
        <v>750</v>
      </c>
      <c r="L226" s="320">
        <f t="shared" si="17"/>
        <v>4800</v>
      </c>
      <c r="M226" s="319"/>
    </row>
    <row r="227" spans="1:13" ht="22.5" customHeight="1">
      <c r="A227" s="254">
        <v>196</v>
      </c>
      <c r="B227" s="617" t="s">
        <v>2808</v>
      </c>
      <c r="C227" s="254" t="s">
        <v>2809</v>
      </c>
      <c r="D227" s="254" t="s">
        <v>2810</v>
      </c>
      <c r="E227" s="288">
        <v>6.4</v>
      </c>
      <c r="F227" s="289">
        <v>60</v>
      </c>
      <c r="G227" s="320">
        <f t="shared" si="12"/>
        <v>300</v>
      </c>
      <c r="H227" s="320">
        <f t="shared" si="13"/>
        <v>1920</v>
      </c>
      <c r="I227" s="320">
        <f t="shared" si="14"/>
        <v>1500</v>
      </c>
      <c r="J227" s="320">
        <f t="shared" si="15"/>
        <v>9600</v>
      </c>
      <c r="K227" s="320">
        <f t="shared" si="16"/>
        <v>750</v>
      </c>
      <c r="L227" s="320">
        <f t="shared" si="17"/>
        <v>4800</v>
      </c>
      <c r="M227" s="319"/>
    </row>
    <row r="228" spans="1:13" ht="22.5" customHeight="1">
      <c r="A228" s="254">
        <v>197</v>
      </c>
      <c r="B228" s="617" t="s">
        <v>2811</v>
      </c>
      <c r="C228" s="254" t="s">
        <v>2809</v>
      </c>
      <c r="D228" s="254" t="s">
        <v>2812</v>
      </c>
      <c r="E228" s="288">
        <v>6.4</v>
      </c>
      <c r="F228" s="289">
        <v>60</v>
      </c>
      <c r="G228" s="320">
        <f t="shared" si="12"/>
        <v>300</v>
      </c>
      <c r="H228" s="320">
        <f t="shared" si="13"/>
        <v>1920</v>
      </c>
      <c r="I228" s="320">
        <f t="shared" si="14"/>
        <v>1500</v>
      </c>
      <c r="J228" s="320">
        <f t="shared" si="15"/>
        <v>9600</v>
      </c>
      <c r="K228" s="320">
        <f t="shared" si="16"/>
        <v>750</v>
      </c>
      <c r="L228" s="320">
        <f t="shared" si="17"/>
        <v>4800</v>
      </c>
      <c r="M228" s="319"/>
    </row>
    <row r="229" spans="1:13" ht="22.5" customHeight="1">
      <c r="A229" s="254">
        <v>198</v>
      </c>
      <c r="B229" s="617" t="s">
        <v>2813</v>
      </c>
      <c r="C229" s="254"/>
      <c r="D229" s="254" t="s">
        <v>2814</v>
      </c>
      <c r="E229" s="288">
        <v>6.4</v>
      </c>
      <c r="F229" s="289">
        <v>60</v>
      </c>
      <c r="G229" s="320">
        <f t="shared" si="12"/>
        <v>300</v>
      </c>
      <c r="H229" s="320">
        <f t="shared" si="13"/>
        <v>1920</v>
      </c>
      <c r="I229" s="320">
        <f t="shared" si="14"/>
        <v>1500</v>
      </c>
      <c r="J229" s="320">
        <f t="shared" si="15"/>
        <v>9600</v>
      </c>
      <c r="K229" s="320">
        <f t="shared" si="16"/>
        <v>750</v>
      </c>
      <c r="L229" s="320">
        <f t="shared" si="17"/>
        <v>4800</v>
      </c>
      <c r="M229" s="319"/>
    </row>
    <row r="230" spans="1:13" ht="22.5" customHeight="1">
      <c r="A230" s="254">
        <v>199</v>
      </c>
      <c r="B230" s="617" t="s">
        <v>2815</v>
      </c>
      <c r="C230" s="254"/>
      <c r="D230" s="254" t="s">
        <v>2816</v>
      </c>
      <c r="E230" s="288">
        <v>6.4</v>
      </c>
      <c r="F230" s="289">
        <v>60</v>
      </c>
      <c r="G230" s="320">
        <f t="shared" si="12"/>
        <v>300</v>
      </c>
      <c r="H230" s="320">
        <f t="shared" si="13"/>
        <v>1920</v>
      </c>
      <c r="I230" s="320">
        <f t="shared" si="14"/>
        <v>1500</v>
      </c>
      <c r="J230" s="320">
        <f t="shared" si="15"/>
        <v>9600</v>
      </c>
      <c r="K230" s="320">
        <f t="shared" si="16"/>
        <v>750</v>
      </c>
      <c r="L230" s="320">
        <f t="shared" si="17"/>
        <v>4800</v>
      </c>
      <c r="M230" s="319"/>
    </row>
    <row r="231" spans="1:13" ht="22.5" customHeight="1">
      <c r="A231" s="254">
        <v>200</v>
      </c>
      <c r="B231" s="617" t="s">
        <v>2817</v>
      </c>
      <c r="C231" s="254">
        <v>1006</v>
      </c>
      <c r="D231" s="254" t="s">
        <v>2812</v>
      </c>
      <c r="E231" s="288">
        <v>6</v>
      </c>
      <c r="F231" s="289">
        <v>60</v>
      </c>
      <c r="G231" s="320">
        <f t="shared" si="12"/>
        <v>300</v>
      </c>
      <c r="H231" s="320">
        <f t="shared" si="13"/>
        <v>1800</v>
      </c>
      <c r="I231" s="320">
        <f t="shared" si="14"/>
        <v>1500</v>
      </c>
      <c r="J231" s="320">
        <f t="shared" si="15"/>
        <v>9000</v>
      </c>
      <c r="K231" s="320">
        <f t="shared" si="16"/>
        <v>750</v>
      </c>
      <c r="L231" s="320">
        <f t="shared" si="17"/>
        <v>4500</v>
      </c>
      <c r="M231" s="319"/>
    </row>
    <row r="232" spans="1:13" ht="22.5" customHeight="1">
      <c r="A232" s="254">
        <v>201</v>
      </c>
      <c r="B232" s="617" t="s">
        <v>2818</v>
      </c>
      <c r="C232" s="254" t="s">
        <v>2819</v>
      </c>
      <c r="D232" s="254"/>
      <c r="E232" s="288">
        <v>6</v>
      </c>
      <c r="F232" s="289">
        <v>60</v>
      </c>
      <c r="G232" s="320">
        <f t="shared" si="12"/>
        <v>300</v>
      </c>
      <c r="H232" s="320">
        <f t="shared" si="13"/>
        <v>1800</v>
      </c>
      <c r="I232" s="320">
        <f t="shared" si="14"/>
        <v>1500</v>
      </c>
      <c r="J232" s="320">
        <f t="shared" si="15"/>
        <v>9000</v>
      </c>
      <c r="K232" s="320">
        <f t="shared" si="16"/>
        <v>750</v>
      </c>
      <c r="L232" s="320">
        <f t="shared" si="17"/>
        <v>4500</v>
      </c>
      <c r="M232" s="319"/>
    </row>
    <row r="233" spans="1:13" ht="22.5" customHeight="1">
      <c r="A233" s="254">
        <v>202</v>
      </c>
      <c r="B233" s="617" t="s">
        <v>2820</v>
      </c>
      <c r="C233" s="254" t="s">
        <v>2821</v>
      </c>
      <c r="D233" s="254"/>
      <c r="E233" s="288">
        <v>6</v>
      </c>
      <c r="F233" s="289">
        <v>60</v>
      </c>
      <c r="G233" s="320">
        <f t="shared" si="12"/>
        <v>300</v>
      </c>
      <c r="H233" s="320">
        <f t="shared" si="13"/>
        <v>1800</v>
      </c>
      <c r="I233" s="320">
        <f t="shared" si="14"/>
        <v>1500</v>
      </c>
      <c r="J233" s="320">
        <f t="shared" si="15"/>
        <v>9000</v>
      </c>
      <c r="K233" s="320">
        <f t="shared" si="16"/>
        <v>750</v>
      </c>
      <c r="L233" s="320">
        <f t="shared" si="17"/>
        <v>4500</v>
      </c>
      <c r="M233" s="319"/>
    </row>
    <row r="234" spans="1:13" ht="22.5" customHeight="1">
      <c r="A234" s="254">
        <v>203</v>
      </c>
      <c r="B234" s="617" t="s">
        <v>2822</v>
      </c>
      <c r="C234" s="254"/>
      <c r="D234" s="254" t="s">
        <v>2823</v>
      </c>
      <c r="E234" s="288">
        <v>6</v>
      </c>
      <c r="F234" s="289">
        <v>60</v>
      </c>
      <c r="G234" s="320">
        <f t="shared" si="12"/>
        <v>300</v>
      </c>
      <c r="H234" s="320">
        <f t="shared" si="13"/>
        <v>1800</v>
      </c>
      <c r="I234" s="320">
        <f t="shared" si="14"/>
        <v>1500</v>
      </c>
      <c r="J234" s="320">
        <f t="shared" si="15"/>
        <v>9000</v>
      </c>
      <c r="K234" s="320">
        <f t="shared" si="16"/>
        <v>750</v>
      </c>
      <c r="L234" s="320">
        <f t="shared" si="17"/>
        <v>4500</v>
      </c>
      <c r="M234" s="319"/>
    </row>
    <row r="235" spans="1:13" ht="22.5" customHeight="1">
      <c r="A235" s="254">
        <v>204</v>
      </c>
      <c r="B235" s="617" t="s">
        <v>2824</v>
      </c>
      <c r="C235" s="254"/>
      <c r="D235" s="254" t="s">
        <v>2812</v>
      </c>
      <c r="E235" s="288">
        <v>6</v>
      </c>
      <c r="F235" s="289">
        <v>60</v>
      </c>
      <c r="G235" s="320">
        <f t="shared" si="12"/>
        <v>300</v>
      </c>
      <c r="H235" s="320">
        <f t="shared" si="13"/>
        <v>1800</v>
      </c>
      <c r="I235" s="320">
        <f t="shared" si="14"/>
        <v>1500</v>
      </c>
      <c r="J235" s="320">
        <f t="shared" si="15"/>
        <v>9000</v>
      </c>
      <c r="K235" s="320">
        <f t="shared" si="16"/>
        <v>750</v>
      </c>
      <c r="L235" s="320">
        <f t="shared" si="17"/>
        <v>4500</v>
      </c>
      <c r="M235" s="319"/>
    </row>
    <row r="236" spans="1:13" ht="22.5" customHeight="1">
      <c r="A236" s="254">
        <v>205</v>
      </c>
      <c r="B236" s="617" t="s">
        <v>2825</v>
      </c>
      <c r="C236" s="254" t="s">
        <v>2826</v>
      </c>
      <c r="D236" s="254" t="s">
        <v>2827</v>
      </c>
      <c r="E236" s="288">
        <v>6</v>
      </c>
      <c r="F236" s="289">
        <v>60</v>
      </c>
      <c r="G236" s="320">
        <f t="shared" si="12"/>
        <v>300</v>
      </c>
      <c r="H236" s="320">
        <f t="shared" si="13"/>
        <v>1800</v>
      </c>
      <c r="I236" s="320">
        <f t="shared" si="14"/>
        <v>1500</v>
      </c>
      <c r="J236" s="320">
        <f t="shared" si="15"/>
        <v>9000</v>
      </c>
      <c r="K236" s="320">
        <f t="shared" si="16"/>
        <v>750</v>
      </c>
      <c r="L236" s="320">
        <f t="shared" si="17"/>
        <v>4500</v>
      </c>
      <c r="M236" s="319"/>
    </row>
    <row r="237" spans="1:13" ht="22.5" customHeight="1">
      <c r="A237" s="254">
        <v>206</v>
      </c>
      <c r="B237" s="617" t="s">
        <v>2828</v>
      </c>
      <c r="C237" s="254" t="s">
        <v>2826</v>
      </c>
      <c r="D237" s="254" t="s">
        <v>2702</v>
      </c>
      <c r="E237" s="288">
        <v>6</v>
      </c>
      <c r="F237" s="289">
        <v>60</v>
      </c>
      <c r="G237" s="320">
        <f t="shared" si="12"/>
        <v>300</v>
      </c>
      <c r="H237" s="320">
        <f t="shared" si="13"/>
        <v>1800</v>
      </c>
      <c r="I237" s="320">
        <f t="shared" si="14"/>
        <v>1500</v>
      </c>
      <c r="J237" s="320">
        <f t="shared" si="15"/>
        <v>9000</v>
      </c>
      <c r="K237" s="320">
        <f t="shared" si="16"/>
        <v>750</v>
      </c>
      <c r="L237" s="320">
        <f t="shared" si="17"/>
        <v>4500</v>
      </c>
      <c r="M237" s="319"/>
    </row>
    <row r="238" spans="1:13" ht="22.5" customHeight="1">
      <c r="A238" s="254">
        <v>207</v>
      </c>
      <c r="B238" s="617" t="s">
        <v>2829</v>
      </c>
      <c r="C238" s="254" t="s">
        <v>2826</v>
      </c>
      <c r="D238" s="254" t="s">
        <v>2812</v>
      </c>
      <c r="E238" s="288">
        <v>6</v>
      </c>
      <c r="F238" s="289">
        <v>60</v>
      </c>
      <c r="G238" s="320">
        <f t="shared" si="12"/>
        <v>300</v>
      </c>
      <c r="H238" s="320">
        <f t="shared" si="13"/>
        <v>1800</v>
      </c>
      <c r="I238" s="320">
        <f t="shared" si="14"/>
        <v>1500</v>
      </c>
      <c r="J238" s="320">
        <f t="shared" si="15"/>
        <v>9000</v>
      </c>
      <c r="K238" s="320">
        <f t="shared" si="16"/>
        <v>750</v>
      </c>
      <c r="L238" s="320">
        <f t="shared" si="17"/>
        <v>4500</v>
      </c>
      <c r="M238" s="319"/>
    </row>
    <row r="239" spans="1:13" ht="22.5" customHeight="1">
      <c r="A239" s="254">
        <v>208</v>
      </c>
      <c r="B239" s="617" t="s">
        <v>2830</v>
      </c>
      <c r="C239" s="254"/>
      <c r="D239" s="254" t="s">
        <v>2816</v>
      </c>
      <c r="E239" s="288">
        <v>6</v>
      </c>
      <c r="F239" s="289">
        <v>60</v>
      </c>
      <c r="G239" s="320">
        <f t="shared" si="12"/>
        <v>300</v>
      </c>
      <c r="H239" s="320">
        <f t="shared" si="13"/>
        <v>1800</v>
      </c>
      <c r="I239" s="320">
        <f t="shared" si="14"/>
        <v>1500</v>
      </c>
      <c r="J239" s="320">
        <f t="shared" si="15"/>
        <v>9000</v>
      </c>
      <c r="K239" s="320">
        <f t="shared" si="16"/>
        <v>750</v>
      </c>
      <c r="L239" s="320">
        <f t="shared" si="17"/>
        <v>4500</v>
      </c>
      <c r="M239" s="319"/>
    </row>
    <row r="240" spans="1:13" ht="22.5" customHeight="1">
      <c r="A240" s="254">
        <v>209</v>
      </c>
      <c r="B240" s="617" t="s">
        <v>2831</v>
      </c>
      <c r="C240" s="254" t="s">
        <v>2724</v>
      </c>
      <c r="D240" s="254" t="s">
        <v>2702</v>
      </c>
      <c r="E240" s="288">
        <v>6.5</v>
      </c>
      <c r="F240" s="289">
        <v>30</v>
      </c>
      <c r="G240" s="320">
        <f t="shared" si="12"/>
        <v>150</v>
      </c>
      <c r="H240" s="320">
        <f t="shared" si="13"/>
        <v>975</v>
      </c>
      <c r="I240" s="320">
        <f t="shared" si="14"/>
        <v>750</v>
      </c>
      <c r="J240" s="320">
        <f t="shared" si="15"/>
        <v>4875</v>
      </c>
      <c r="K240" s="320">
        <f t="shared" si="16"/>
        <v>375</v>
      </c>
      <c r="L240" s="320">
        <f t="shared" si="17"/>
        <v>2437.5</v>
      </c>
      <c r="M240" s="319"/>
    </row>
    <row r="241" spans="1:13" ht="22.5" customHeight="1">
      <c r="A241" s="254">
        <v>210</v>
      </c>
      <c r="B241" s="617" t="s">
        <v>2832</v>
      </c>
      <c r="C241" s="254" t="s">
        <v>2833</v>
      </c>
      <c r="D241" s="254"/>
      <c r="E241" s="288">
        <v>6.7</v>
      </c>
      <c r="F241" s="289">
        <v>80</v>
      </c>
      <c r="G241" s="320">
        <f t="shared" si="12"/>
        <v>400</v>
      </c>
      <c r="H241" s="320">
        <f t="shared" si="13"/>
        <v>2680</v>
      </c>
      <c r="I241" s="320">
        <f t="shared" si="14"/>
        <v>2000</v>
      </c>
      <c r="J241" s="320">
        <f t="shared" si="15"/>
        <v>13400</v>
      </c>
      <c r="K241" s="320">
        <f t="shared" si="16"/>
        <v>1000</v>
      </c>
      <c r="L241" s="320">
        <f t="shared" si="17"/>
        <v>6700</v>
      </c>
      <c r="M241" s="319"/>
    </row>
    <row r="242" spans="1:13" ht="22.5" customHeight="1">
      <c r="A242" s="254">
        <v>211</v>
      </c>
      <c r="B242" s="617" t="s">
        <v>2834</v>
      </c>
      <c r="C242" s="254" t="s">
        <v>2835</v>
      </c>
      <c r="D242" s="254" t="s">
        <v>2781</v>
      </c>
      <c r="E242" s="288">
        <v>6.4</v>
      </c>
      <c r="F242" s="289">
        <v>80</v>
      </c>
      <c r="G242" s="320">
        <f t="shared" si="12"/>
        <v>400</v>
      </c>
      <c r="H242" s="320">
        <f t="shared" si="13"/>
        <v>2560</v>
      </c>
      <c r="I242" s="320">
        <f t="shared" si="14"/>
        <v>2000</v>
      </c>
      <c r="J242" s="320">
        <f t="shared" si="15"/>
        <v>12800</v>
      </c>
      <c r="K242" s="320">
        <f t="shared" si="16"/>
        <v>1000</v>
      </c>
      <c r="L242" s="320">
        <f t="shared" si="17"/>
        <v>6400</v>
      </c>
      <c r="M242" s="319"/>
    </row>
    <row r="243" spans="1:13" ht="22.5" customHeight="1">
      <c r="A243" s="254">
        <v>212</v>
      </c>
      <c r="B243" s="617" t="s">
        <v>2836</v>
      </c>
      <c r="C243" s="254" t="s">
        <v>2835</v>
      </c>
      <c r="D243" s="254" t="s">
        <v>2685</v>
      </c>
      <c r="E243" s="288">
        <v>6.4</v>
      </c>
      <c r="F243" s="289">
        <v>80</v>
      </c>
      <c r="G243" s="320">
        <f t="shared" si="12"/>
        <v>400</v>
      </c>
      <c r="H243" s="320">
        <f t="shared" si="13"/>
        <v>2560</v>
      </c>
      <c r="I243" s="320">
        <f t="shared" si="14"/>
        <v>2000</v>
      </c>
      <c r="J243" s="320">
        <f t="shared" si="15"/>
        <v>12800</v>
      </c>
      <c r="K243" s="320">
        <f t="shared" si="16"/>
        <v>1000</v>
      </c>
      <c r="L243" s="320">
        <f t="shared" si="17"/>
        <v>6400</v>
      </c>
      <c r="M243" s="319"/>
    </row>
    <row r="244" spans="1:13" ht="22.5" customHeight="1">
      <c r="A244" s="254">
        <v>213</v>
      </c>
      <c r="B244" s="617" t="s">
        <v>2837</v>
      </c>
      <c r="C244" s="254" t="s">
        <v>2838</v>
      </c>
      <c r="D244" s="254" t="s">
        <v>2702</v>
      </c>
      <c r="E244" s="288">
        <v>6.4</v>
      </c>
      <c r="F244" s="289">
        <v>80</v>
      </c>
      <c r="G244" s="320">
        <f t="shared" si="12"/>
        <v>400</v>
      </c>
      <c r="H244" s="320">
        <f t="shared" si="13"/>
        <v>2560</v>
      </c>
      <c r="I244" s="320">
        <f t="shared" si="14"/>
        <v>2000</v>
      </c>
      <c r="J244" s="320">
        <f t="shared" si="15"/>
        <v>12800</v>
      </c>
      <c r="K244" s="320">
        <f t="shared" si="16"/>
        <v>1000</v>
      </c>
      <c r="L244" s="320">
        <f t="shared" si="17"/>
        <v>6400</v>
      </c>
      <c r="M244" s="319"/>
    </row>
    <row r="245" spans="1:13" ht="22.5" customHeight="1">
      <c r="A245" s="254">
        <v>214</v>
      </c>
      <c r="B245" s="617" t="s">
        <v>2839</v>
      </c>
      <c r="C245" s="254" t="s">
        <v>2838</v>
      </c>
      <c r="D245" s="254" t="s">
        <v>2494</v>
      </c>
      <c r="E245" s="288">
        <v>6.4</v>
      </c>
      <c r="F245" s="289">
        <v>80</v>
      </c>
      <c r="G245" s="320">
        <f t="shared" si="12"/>
        <v>400</v>
      </c>
      <c r="H245" s="320">
        <f t="shared" si="13"/>
        <v>2560</v>
      </c>
      <c r="I245" s="320">
        <f t="shared" si="14"/>
        <v>2000</v>
      </c>
      <c r="J245" s="320">
        <f t="shared" si="15"/>
        <v>12800</v>
      </c>
      <c r="K245" s="320">
        <f t="shared" si="16"/>
        <v>1000</v>
      </c>
      <c r="L245" s="320">
        <f t="shared" si="17"/>
        <v>6400</v>
      </c>
      <c r="M245" s="319"/>
    </row>
    <row r="246" spans="1:13" ht="22.5" customHeight="1">
      <c r="A246" s="254">
        <v>215</v>
      </c>
      <c r="B246" s="617" t="s">
        <v>2840</v>
      </c>
      <c r="C246" s="254" t="s">
        <v>2841</v>
      </c>
      <c r="D246" s="254" t="s">
        <v>2781</v>
      </c>
      <c r="E246" s="288">
        <v>6.4</v>
      </c>
      <c r="F246" s="289">
        <v>80</v>
      </c>
      <c r="G246" s="320">
        <f t="shared" si="12"/>
        <v>400</v>
      </c>
      <c r="H246" s="320">
        <f t="shared" si="13"/>
        <v>2560</v>
      </c>
      <c r="I246" s="320">
        <f t="shared" si="14"/>
        <v>2000</v>
      </c>
      <c r="J246" s="320">
        <f t="shared" si="15"/>
        <v>12800</v>
      </c>
      <c r="K246" s="320">
        <f t="shared" si="16"/>
        <v>1000</v>
      </c>
      <c r="L246" s="320">
        <f t="shared" si="17"/>
        <v>6400</v>
      </c>
      <c r="M246" s="319"/>
    </row>
    <row r="247" spans="1:13" ht="22.5" customHeight="1">
      <c r="A247" s="254">
        <v>216</v>
      </c>
      <c r="B247" s="617" t="s">
        <v>2842</v>
      </c>
      <c r="C247" s="254" t="s">
        <v>2841</v>
      </c>
      <c r="D247" s="254" t="s">
        <v>2738</v>
      </c>
      <c r="E247" s="288">
        <v>6.4</v>
      </c>
      <c r="F247" s="289">
        <v>80</v>
      </c>
      <c r="G247" s="320">
        <f t="shared" si="12"/>
        <v>400</v>
      </c>
      <c r="H247" s="320">
        <f t="shared" si="13"/>
        <v>2560</v>
      </c>
      <c r="I247" s="320">
        <f t="shared" si="14"/>
        <v>2000</v>
      </c>
      <c r="J247" s="320">
        <f t="shared" si="15"/>
        <v>12800</v>
      </c>
      <c r="K247" s="320">
        <f t="shared" si="16"/>
        <v>1000</v>
      </c>
      <c r="L247" s="320">
        <f t="shared" si="17"/>
        <v>6400</v>
      </c>
      <c r="M247" s="319"/>
    </row>
    <row r="248" spans="1:13" ht="22.5" customHeight="1">
      <c r="A248" s="254">
        <v>217</v>
      </c>
      <c r="B248" s="617" t="s">
        <v>2843</v>
      </c>
      <c r="C248" s="254" t="s">
        <v>2838</v>
      </c>
      <c r="D248" s="254" t="s">
        <v>2793</v>
      </c>
      <c r="E248" s="288">
        <v>6.4</v>
      </c>
      <c r="F248" s="289">
        <v>80</v>
      </c>
      <c r="G248" s="320">
        <f t="shared" si="12"/>
        <v>400</v>
      </c>
      <c r="H248" s="320">
        <f t="shared" si="13"/>
        <v>2560</v>
      </c>
      <c r="I248" s="320">
        <f t="shared" si="14"/>
        <v>2000</v>
      </c>
      <c r="J248" s="320">
        <f t="shared" si="15"/>
        <v>12800</v>
      </c>
      <c r="K248" s="320">
        <f t="shared" si="16"/>
        <v>1000</v>
      </c>
      <c r="L248" s="320">
        <f t="shared" si="17"/>
        <v>6400</v>
      </c>
      <c r="M248" s="319"/>
    </row>
    <row r="249" spans="1:13" ht="22.5" customHeight="1">
      <c r="A249" s="254">
        <v>218</v>
      </c>
      <c r="B249" s="617" t="s">
        <v>2844</v>
      </c>
      <c r="C249" s="254" t="s">
        <v>2802</v>
      </c>
      <c r="D249" s="254" t="s">
        <v>2793</v>
      </c>
      <c r="E249" s="288">
        <v>6.4</v>
      </c>
      <c r="F249" s="289">
        <v>80</v>
      </c>
      <c r="G249" s="320">
        <f t="shared" si="12"/>
        <v>400</v>
      </c>
      <c r="H249" s="320">
        <f t="shared" si="13"/>
        <v>2560</v>
      </c>
      <c r="I249" s="320">
        <f t="shared" si="14"/>
        <v>2000</v>
      </c>
      <c r="J249" s="320">
        <f t="shared" si="15"/>
        <v>12800</v>
      </c>
      <c r="K249" s="320">
        <f t="shared" si="16"/>
        <v>1000</v>
      </c>
      <c r="L249" s="320">
        <f t="shared" si="17"/>
        <v>6400</v>
      </c>
      <c r="M249" s="319"/>
    </row>
    <row r="250" spans="1:13" ht="22.5" customHeight="1">
      <c r="A250" s="254">
        <v>219</v>
      </c>
      <c r="B250" s="617" t="s">
        <v>2845</v>
      </c>
      <c r="C250" s="254" t="s">
        <v>2802</v>
      </c>
      <c r="D250" s="254" t="s">
        <v>2594</v>
      </c>
      <c r="E250" s="288">
        <v>6.4</v>
      </c>
      <c r="F250" s="289">
        <v>80</v>
      </c>
      <c r="G250" s="320">
        <f t="shared" si="12"/>
        <v>400</v>
      </c>
      <c r="H250" s="320">
        <f t="shared" si="13"/>
        <v>2560</v>
      </c>
      <c r="I250" s="320">
        <f t="shared" si="14"/>
        <v>2000</v>
      </c>
      <c r="J250" s="320">
        <f t="shared" si="15"/>
        <v>12800</v>
      </c>
      <c r="K250" s="320">
        <f t="shared" si="16"/>
        <v>1000</v>
      </c>
      <c r="L250" s="320">
        <f t="shared" si="17"/>
        <v>6400</v>
      </c>
      <c r="M250" s="319"/>
    </row>
    <row r="251" spans="1:13" ht="22.5" customHeight="1">
      <c r="A251" s="254">
        <v>220</v>
      </c>
      <c r="B251" s="617" t="s">
        <v>2846</v>
      </c>
      <c r="C251" s="254" t="s">
        <v>2802</v>
      </c>
      <c r="D251" s="254" t="s">
        <v>2847</v>
      </c>
      <c r="E251" s="288">
        <v>6.4</v>
      </c>
      <c r="F251" s="289">
        <v>80</v>
      </c>
      <c r="G251" s="320">
        <f t="shared" si="12"/>
        <v>400</v>
      </c>
      <c r="H251" s="320">
        <f t="shared" si="13"/>
        <v>2560</v>
      </c>
      <c r="I251" s="320">
        <f t="shared" si="14"/>
        <v>2000</v>
      </c>
      <c r="J251" s="320">
        <f t="shared" si="15"/>
        <v>12800</v>
      </c>
      <c r="K251" s="320">
        <f t="shared" si="16"/>
        <v>1000</v>
      </c>
      <c r="L251" s="320">
        <f t="shared" si="17"/>
        <v>6400</v>
      </c>
      <c r="M251" s="319"/>
    </row>
    <row r="252" spans="1:13" ht="22.5" customHeight="1">
      <c r="A252" s="618"/>
      <c r="B252" s="619">
        <f>COUNTA(B159:B251)</f>
        <v>93</v>
      </c>
      <c r="C252" s="611"/>
      <c r="D252" s="611"/>
      <c r="E252" s="312">
        <f>SUM(E159:E251)</f>
        <v>591.19999999999925</v>
      </c>
      <c r="F252" s="323"/>
      <c r="G252" s="315"/>
      <c r="H252" s="323">
        <f>SUM(H159:H251)</f>
        <v>135555</v>
      </c>
      <c r="I252" s="604"/>
      <c r="J252" s="604"/>
      <c r="K252" s="604"/>
      <c r="L252" s="620"/>
      <c r="M252" s="620"/>
    </row>
    <row r="253" spans="1:13" ht="16.8">
      <c r="A253" s="255"/>
      <c r="B253" s="255"/>
      <c r="C253" s="255"/>
      <c r="D253" s="255"/>
      <c r="E253" s="612"/>
      <c r="F253" s="612"/>
      <c r="G253" s="613"/>
      <c r="H253" s="614"/>
      <c r="I253" s="615"/>
      <c r="J253" s="612"/>
      <c r="K253" s="616"/>
      <c r="L253" s="616"/>
      <c r="M253" s="616"/>
    </row>
    <row r="254" spans="1:13" ht="16.8">
      <c r="A254" s="255"/>
      <c r="B254" s="255"/>
      <c r="C254" s="255"/>
      <c r="D254" s="255"/>
      <c r="E254" s="612"/>
      <c r="F254" s="612"/>
      <c r="G254" s="613"/>
      <c r="H254" s="614"/>
      <c r="I254" s="615"/>
      <c r="J254" s="612"/>
      <c r="K254" s="616"/>
      <c r="L254" s="616"/>
      <c r="M254" s="616"/>
    </row>
    <row r="255" spans="1:13" ht="16.8">
      <c r="A255" s="255"/>
      <c r="B255" s="255"/>
      <c r="C255" s="255"/>
      <c r="D255" s="255"/>
      <c r="E255" s="612"/>
      <c r="F255" s="612"/>
      <c r="G255" s="613"/>
      <c r="H255" s="614"/>
      <c r="I255" s="615"/>
      <c r="J255" s="612"/>
      <c r="K255" s="616"/>
      <c r="L255" s="616"/>
      <c r="M255" s="616"/>
    </row>
    <row r="256" spans="1:13" ht="16.8">
      <c r="A256" s="255"/>
      <c r="B256" s="255"/>
      <c r="C256" s="255"/>
      <c r="D256" s="255"/>
      <c r="E256" s="612"/>
      <c r="F256" s="612"/>
      <c r="G256" s="613"/>
      <c r="H256" s="614"/>
      <c r="I256" s="615"/>
      <c r="J256" s="612"/>
      <c r="K256" s="616"/>
      <c r="L256" s="616"/>
      <c r="M256" s="616"/>
    </row>
    <row r="257" spans="1:13" ht="13.2">
      <c r="A257" s="983" t="s">
        <v>2848</v>
      </c>
      <c r="B257" s="931"/>
      <c r="C257" s="931"/>
      <c r="D257" s="931"/>
      <c r="E257" s="931"/>
      <c r="F257" s="931"/>
      <c r="G257" s="931"/>
      <c r="H257" s="931"/>
      <c r="I257" s="931"/>
      <c r="J257" s="931"/>
      <c r="K257" s="931"/>
      <c r="L257" s="931"/>
      <c r="M257" s="932"/>
    </row>
    <row r="258" spans="1:13" ht="22.5" customHeight="1">
      <c r="A258" s="253" t="s">
        <v>165</v>
      </c>
      <c r="B258" s="255" t="s">
        <v>166</v>
      </c>
      <c r="C258" s="253" t="s">
        <v>167</v>
      </c>
      <c r="D258" s="253" t="s">
        <v>168</v>
      </c>
      <c r="E258" s="253" t="s">
        <v>2461</v>
      </c>
      <c r="F258" s="313" t="s">
        <v>2849</v>
      </c>
      <c r="G258" s="601" t="s">
        <v>2850</v>
      </c>
      <c r="H258" s="601" t="s">
        <v>2851</v>
      </c>
      <c r="I258" s="254" t="s">
        <v>2852</v>
      </c>
      <c r="J258" s="254" t="s">
        <v>2853</v>
      </c>
      <c r="K258" s="254" t="s">
        <v>2854</v>
      </c>
      <c r="L258" s="254" t="s">
        <v>2855</v>
      </c>
      <c r="M258" s="318" t="s">
        <v>177</v>
      </c>
    </row>
    <row r="259" spans="1:13" ht="22.5" customHeight="1">
      <c r="A259" s="254">
        <v>221</v>
      </c>
      <c r="B259" s="617" t="s">
        <v>2856</v>
      </c>
      <c r="C259" s="254" t="s">
        <v>2857</v>
      </c>
      <c r="D259" s="254" t="s">
        <v>2478</v>
      </c>
      <c r="E259" s="288">
        <v>5</v>
      </c>
      <c r="F259" s="289">
        <v>6</v>
      </c>
      <c r="G259" s="320">
        <f t="shared" ref="G259:G328" si="18">F259*5</f>
        <v>30</v>
      </c>
      <c r="H259" s="320">
        <f t="shared" ref="H259:H328" si="19">E259*G259</f>
        <v>150</v>
      </c>
      <c r="I259" s="320">
        <f t="shared" ref="I259:I328" si="20">G259*5</f>
        <v>150</v>
      </c>
      <c r="J259" s="320">
        <f t="shared" ref="J259:J328" si="21">I259*E259</f>
        <v>750</v>
      </c>
      <c r="K259" s="320">
        <f t="shared" ref="K259:K328" si="22">I259/2</f>
        <v>75</v>
      </c>
      <c r="L259" s="320">
        <f t="shared" ref="L259:L328" si="23">K259*E259</f>
        <v>375</v>
      </c>
      <c r="M259" s="319"/>
    </row>
    <row r="260" spans="1:13" ht="22.5" customHeight="1">
      <c r="A260" s="254">
        <v>222</v>
      </c>
      <c r="B260" s="617" t="s">
        <v>2858</v>
      </c>
      <c r="C260" s="254" t="s">
        <v>2857</v>
      </c>
      <c r="D260" s="254" t="s">
        <v>2478</v>
      </c>
      <c r="E260" s="288">
        <v>5</v>
      </c>
      <c r="F260" s="289">
        <v>6</v>
      </c>
      <c r="G260" s="320">
        <f t="shared" si="18"/>
        <v>30</v>
      </c>
      <c r="H260" s="320">
        <f t="shared" si="19"/>
        <v>150</v>
      </c>
      <c r="I260" s="320">
        <f t="shared" si="20"/>
        <v>150</v>
      </c>
      <c r="J260" s="320">
        <f t="shared" si="21"/>
        <v>750</v>
      </c>
      <c r="K260" s="320">
        <f t="shared" si="22"/>
        <v>75</v>
      </c>
      <c r="L260" s="320">
        <f t="shared" si="23"/>
        <v>375</v>
      </c>
      <c r="M260" s="319"/>
    </row>
    <row r="261" spans="1:13" ht="22.5" customHeight="1">
      <c r="A261" s="254">
        <v>223</v>
      </c>
      <c r="B261" s="617" t="s">
        <v>2859</v>
      </c>
      <c r="C261" s="254" t="s">
        <v>2857</v>
      </c>
      <c r="D261" s="274" t="s">
        <v>2478</v>
      </c>
      <c r="E261" s="288">
        <v>5</v>
      </c>
      <c r="F261" s="289">
        <v>6</v>
      </c>
      <c r="G261" s="320">
        <f t="shared" si="18"/>
        <v>30</v>
      </c>
      <c r="H261" s="320">
        <f t="shared" si="19"/>
        <v>150</v>
      </c>
      <c r="I261" s="320">
        <f t="shared" si="20"/>
        <v>150</v>
      </c>
      <c r="J261" s="320">
        <f t="shared" si="21"/>
        <v>750</v>
      </c>
      <c r="K261" s="320">
        <f t="shared" si="22"/>
        <v>75</v>
      </c>
      <c r="L261" s="320">
        <f t="shared" si="23"/>
        <v>375</v>
      </c>
      <c r="M261" s="319"/>
    </row>
    <row r="262" spans="1:13" ht="22.5" customHeight="1">
      <c r="A262" s="254">
        <v>224</v>
      </c>
      <c r="B262" s="617" t="s">
        <v>2860</v>
      </c>
      <c r="C262" s="254" t="s">
        <v>2857</v>
      </c>
      <c r="D262" s="254" t="s">
        <v>2478</v>
      </c>
      <c r="E262" s="288">
        <v>5</v>
      </c>
      <c r="F262" s="289">
        <v>6</v>
      </c>
      <c r="G262" s="320">
        <f t="shared" si="18"/>
        <v>30</v>
      </c>
      <c r="H262" s="320">
        <f t="shared" si="19"/>
        <v>150</v>
      </c>
      <c r="I262" s="320">
        <f t="shared" si="20"/>
        <v>150</v>
      </c>
      <c r="J262" s="320">
        <f t="shared" si="21"/>
        <v>750</v>
      </c>
      <c r="K262" s="320">
        <f t="shared" si="22"/>
        <v>75</v>
      </c>
      <c r="L262" s="320">
        <f t="shared" si="23"/>
        <v>375</v>
      </c>
      <c r="M262" s="319"/>
    </row>
    <row r="263" spans="1:13" ht="22.5" customHeight="1">
      <c r="A263" s="254">
        <v>225</v>
      </c>
      <c r="B263" s="617" t="s">
        <v>2861</v>
      </c>
      <c r="C263" s="254" t="s">
        <v>2862</v>
      </c>
      <c r="D263" s="254" t="s">
        <v>2863</v>
      </c>
      <c r="E263" s="288">
        <v>5</v>
      </c>
      <c r="F263" s="289">
        <v>6</v>
      </c>
      <c r="G263" s="320">
        <f t="shared" si="18"/>
        <v>30</v>
      </c>
      <c r="H263" s="320">
        <f t="shared" si="19"/>
        <v>150</v>
      </c>
      <c r="I263" s="320">
        <f t="shared" si="20"/>
        <v>150</v>
      </c>
      <c r="J263" s="320">
        <f t="shared" si="21"/>
        <v>750</v>
      </c>
      <c r="K263" s="320">
        <f t="shared" si="22"/>
        <v>75</v>
      </c>
      <c r="L263" s="320">
        <f t="shared" si="23"/>
        <v>375</v>
      </c>
      <c r="M263" s="319"/>
    </row>
    <row r="264" spans="1:13" ht="22.5" customHeight="1">
      <c r="A264" s="254">
        <v>226</v>
      </c>
      <c r="B264" s="617" t="s">
        <v>2864</v>
      </c>
      <c r="C264" s="254" t="s">
        <v>2862</v>
      </c>
      <c r="D264" s="254" t="s">
        <v>2863</v>
      </c>
      <c r="E264" s="288">
        <v>5</v>
      </c>
      <c r="F264" s="289">
        <v>6</v>
      </c>
      <c r="G264" s="320">
        <f t="shared" si="18"/>
        <v>30</v>
      </c>
      <c r="H264" s="320">
        <f t="shared" si="19"/>
        <v>150</v>
      </c>
      <c r="I264" s="320">
        <f t="shared" si="20"/>
        <v>150</v>
      </c>
      <c r="J264" s="320">
        <f t="shared" si="21"/>
        <v>750</v>
      </c>
      <c r="K264" s="320">
        <f t="shared" si="22"/>
        <v>75</v>
      </c>
      <c r="L264" s="320">
        <f t="shared" si="23"/>
        <v>375</v>
      </c>
      <c r="M264" s="319"/>
    </row>
    <row r="265" spans="1:13" ht="22.5" customHeight="1">
      <c r="A265" s="254">
        <v>227</v>
      </c>
      <c r="B265" s="617" t="s">
        <v>2865</v>
      </c>
      <c r="C265" s="254" t="s">
        <v>2862</v>
      </c>
      <c r="D265" s="254" t="s">
        <v>2863</v>
      </c>
      <c r="E265" s="288">
        <v>3.5</v>
      </c>
      <c r="F265" s="289">
        <v>6</v>
      </c>
      <c r="G265" s="320">
        <f t="shared" si="18"/>
        <v>30</v>
      </c>
      <c r="H265" s="320">
        <f t="shared" si="19"/>
        <v>105</v>
      </c>
      <c r="I265" s="320">
        <f t="shared" si="20"/>
        <v>150</v>
      </c>
      <c r="J265" s="320">
        <f t="shared" si="21"/>
        <v>525</v>
      </c>
      <c r="K265" s="320">
        <f t="shared" si="22"/>
        <v>75</v>
      </c>
      <c r="L265" s="320">
        <f t="shared" si="23"/>
        <v>262.5</v>
      </c>
      <c r="M265" s="319"/>
    </row>
    <row r="266" spans="1:13" ht="22.5" customHeight="1">
      <c r="A266" s="254">
        <v>228</v>
      </c>
      <c r="B266" s="617" t="s">
        <v>2866</v>
      </c>
      <c r="C266" s="254" t="s">
        <v>2862</v>
      </c>
      <c r="D266" s="254" t="s">
        <v>2863</v>
      </c>
      <c r="E266" s="288">
        <v>4</v>
      </c>
      <c r="F266" s="289">
        <v>6</v>
      </c>
      <c r="G266" s="320">
        <f t="shared" si="18"/>
        <v>30</v>
      </c>
      <c r="H266" s="320">
        <f t="shared" si="19"/>
        <v>120</v>
      </c>
      <c r="I266" s="320">
        <f t="shared" si="20"/>
        <v>150</v>
      </c>
      <c r="J266" s="320">
        <f t="shared" si="21"/>
        <v>600</v>
      </c>
      <c r="K266" s="320">
        <f t="shared" si="22"/>
        <v>75</v>
      </c>
      <c r="L266" s="320">
        <f t="shared" si="23"/>
        <v>300</v>
      </c>
      <c r="M266" s="319"/>
    </row>
    <row r="267" spans="1:13" ht="22.5" customHeight="1">
      <c r="A267" s="254">
        <v>229</v>
      </c>
      <c r="B267" s="617" t="s">
        <v>2867</v>
      </c>
      <c r="C267" s="254" t="s">
        <v>2862</v>
      </c>
      <c r="D267" s="254" t="s">
        <v>2863</v>
      </c>
      <c r="E267" s="288">
        <v>4</v>
      </c>
      <c r="F267" s="289">
        <v>6</v>
      </c>
      <c r="G267" s="320">
        <f t="shared" si="18"/>
        <v>30</v>
      </c>
      <c r="H267" s="320">
        <f t="shared" si="19"/>
        <v>120</v>
      </c>
      <c r="I267" s="320">
        <f t="shared" si="20"/>
        <v>150</v>
      </c>
      <c r="J267" s="320">
        <f t="shared" si="21"/>
        <v>600</v>
      </c>
      <c r="K267" s="320">
        <f t="shared" si="22"/>
        <v>75</v>
      </c>
      <c r="L267" s="320">
        <f t="shared" si="23"/>
        <v>300</v>
      </c>
      <c r="M267" s="319"/>
    </row>
    <row r="268" spans="1:13" ht="22.5" customHeight="1">
      <c r="A268" s="254">
        <v>230</v>
      </c>
      <c r="B268" s="617" t="s">
        <v>2868</v>
      </c>
      <c r="C268" s="254" t="s">
        <v>2869</v>
      </c>
      <c r="D268" s="254" t="s">
        <v>2863</v>
      </c>
      <c r="E268" s="288">
        <v>5</v>
      </c>
      <c r="F268" s="289">
        <v>6</v>
      </c>
      <c r="G268" s="320">
        <f t="shared" si="18"/>
        <v>30</v>
      </c>
      <c r="H268" s="320">
        <f t="shared" si="19"/>
        <v>150</v>
      </c>
      <c r="I268" s="320">
        <f t="shared" si="20"/>
        <v>150</v>
      </c>
      <c r="J268" s="320">
        <f t="shared" si="21"/>
        <v>750</v>
      </c>
      <c r="K268" s="320">
        <f t="shared" si="22"/>
        <v>75</v>
      </c>
      <c r="L268" s="320">
        <f t="shared" si="23"/>
        <v>375</v>
      </c>
      <c r="M268" s="319"/>
    </row>
    <row r="269" spans="1:13" ht="22.5" customHeight="1">
      <c r="A269" s="254">
        <v>231</v>
      </c>
      <c r="B269" s="617" t="s">
        <v>2870</v>
      </c>
      <c r="C269" s="254" t="s">
        <v>2869</v>
      </c>
      <c r="D269" s="254" t="s">
        <v>2871</v>
      </c>
      <c r="E269" s="288">
        <v>6</v>
      </c>
      <c r="F269" s="289">
        <v>6</v>
      </c>
      <c r="G269" s="320">
        <f t="shared" si="18"/>
        <v>30</v>
      </c>
      <c r="H269" s="320">
        <f t="shared" si="19"/>
        <v>180</v>
      </c>
      <c r="I269" s="320">
        <f t="shared" si="20"/>
        <v>150</v>
      </c>
      <c r="J269" s="320">
        <f t="shared" si="21"/>
        <v>900</v>
      </c>
      <c r="K269" s="320">
        <f t="shared" si="22"/>
        <v>75</v>
      </c>
      <c r="L269" s="320">
        <f t="shared" si="23"/>
        <v>450</v>
      </c>
      <c r="M269" s="319"/>
    </row>
    <row r="270" spans="1:13" ht="22.5" customHeight="1">
      <c r="A270" s="254">
        <v>232</v>
      </c>
      <c r="B270" s="617" t="s">
        <v>2872</v>
      </c>
      <c r="C270" s="254" t="s">
        <v>2869</v>
      </c>
      <c r="D270" s="254" t="s">
        <v>2871</v>
      </c>
      <c r="E270" s="288">
        <v>6</v>
      </c>
      <c r="F270" s="289">
        <v>6</v>
      </c>
      <c r="G270" s="320">
        <f t="shared" si="18"/>
        <v>30</v>
      </c>
      <c r="H270" s="320">
        <f t="shared" si="19"/>
        <v>180</v>
      </c>
      <c r="I270" s="320">
        <f t="shared" si="20"/>
        <v>150</v>
      </c>
      <c r="J270" s="320">
        <f t="shared" si="21"/>
        <v>900</v>
      </c>
      <c r="K270" s="320">
        <f t="shared" si="22"/>
        <v>75</v>
      </c>
      <c r="L270" s="320">
        <f t="shared" si="23"/>
        <v>450</v>
      </c>
      <c r="M270" s="319"/>
    </row>
    <row r="271" spans="1:13" ht="22.5" customHeight="1">
      <c r="A271" s="254">
        <v>233</v>
      </c>
      <c r="B271" s="617" t="s">
        <v>2873</v>
      </c>
      <c r="C271" s="254" t="s">
        <v>2874</v>
      </c>
      <c r="D271" s="254" t="s">
        <v>2863</v>
      </c>
      <c r="E271" s="288">
        <v>5</v>
      </c>
      <c r="F271" s="289">
        <v>6</v>
      </c>
      <c r="G271" s="320">
        <f t="shared" si="18"/>
        <v>30</v>
      </c>
      <c r="H271" s="320">
        <f t="shared" si="19"/>
        <v>150</v>
      </c>
      <c r="I271" s="320">
        <f t="shared" si="20"/>
        <v>150</v>
      </c>
      <c r="J271" s="320">
        <f t="shared" si="21"/>
        <v>750</v>
      </c>
      <c r="K271" s="320">
        <f t="shared" si="22"/>
        <v>75</v>
      </c>
      <c r="L271" s="320">
        <f t="shared" si="23"/>
        <v>375</v>
      </c>
      <c r="M271" s="319"/>
    </row>
    <row r="272" spans="1:13" ht="22.5" customHeight="1">
      <c r="A272" s="254">
        <v>234</v>
      </c>
      <c r="B272" s="617" t="s">
        <v>2875</v>
      </c>
      <c r="C272" s="254" t="s">
        <v>2874</v>
      </c>
      <c r="D272" s="254" t="s">
        <v>2863</v>
      </c>
      <c r="E272" s="288">
        <v>6.5</v>
      </c>
      <c r="F272" s="289">
        <v>6</v>
      </c>
      <c r="G272" s="320">
        <f t="shared" si="18"/>
        <v>30</v>
      </c>
      <c r="H272" s="320">
        <f t="shared" si="19"/>
        <v>195</v>
      </c>
      <c r="I272" s="320">
        <f t="shared" si="20"/>
        <v>150</v>
      </c>
      <c r="J272" s="320">
        <f t="shared" si="21"/>
        <v>975</v>
      </c>
      <c r="K272" s="320">
        <f t="shared" si="22"/>
        <v>75</v>
      </c>
      <c r="L272" s="320">
        <f t="shared" si="23"/>
        <v>487.5</v>
      </c>
      <c r="M272" s="319"/>
    </row>
    <row r="273" spans="1:13" ht="22.5" customHeight="1">
      <c r="A273" s="254">
        <v>235</v>
      </c>
      <c r="B273" s="617" t="s">
        <v>2876</v>
      </c>
      <c r="C273" s="254" t="s">
        <v>2874</v>
      </c>
      <c r="D273" s="254" t="s">
        <v>2863</v>
      </c>
      <c r="E273" s="288">
        <v>5</v>
      </c>
      <c r="F273" s="289">
        <v>6</v>
      </c>
      <c r="G273" s="320">
        <f t="shared" si="18"/>
        <v>30</v>
      </c>
      <c r="H273" s="320">
        <f t="shared" si="19"/>
        <v>150</v>
      </c>
      <c r="I273" s="320">
        <f t="shared" si="20"/>
        <v>150</v>
      </c>
      <c r="J273" s="320">
        <f t="shared" si="21"/>
        <v>750</v>
      </c>
      <c r="K273" s="320">
        <f t="shared" si="22"/>
        <v>75</v>
      </c>
      <c r="L273" s="320">
        <f t="shared" si="23"/>
        <v>375</v>
      </c>
      <c r="M273" s="319"/>
    </row>
    <row r="274" spans="1:13" ht="22.5" customHeight="1">
      <c r="A274" s="254">
        <v>236</v>
      </c>
      <c r="B274" s="617" t="s">
        <v>2877</v>
      </c>
      <c r="C274" s="254" t="s">
        <v>2874</v>
      </c>
      <c r="D274" s="254" t="s">
        <v>2863</v>
      </c>
      <c r="E274" s="288">
        <v>5</v>
      </c>
      <c r="F274" s="289">
        <v>6</v>
      </c>
      <c r="G274" s="320">
        <f t="shared" si="18"/>
        <v>30</v>
      </c>
      <c r="H274" s="320">
        <f t="shared" si="19"/>
        <v>150</v>
      </c>
      <c r="I274" s="320">
        <f t="shared" si="20"/>
        <v>150</v>
      </c>
      <c r="J274" s="320">
        <f t="shared" si="21"/>
        <v>750</v>
      </c>
      <c r="K274" s="320">
        <f t="shared" si="22"/>
        <v>75</v>
      </c>
      <c r="L274" s="320">
        <f t="shared" si="23"/>
        <v>375</v>
      </c>
      <c r="M274" s="319"/>
    </row>
    <row r="275" spans="1:13" ht="22.5" customHeight="1">
      <c r="A275" s="254">
        <v>237</v>
      </c>
      <c r="B275" s="617" t="s">
        <v>2878</v>
      </c>
      <c r="C275" s="254" t="s">
        <v>2874</v>
      </c>
      <c r="D275" s="254" t="s">
        <v>2863</v>
      </c>
      <c r="E275" s="288">
        <v>5</v>
      </c>
      <c r="F275" s="289">
        <v>6</v>
      </c>
      <c r="G275" s="320">
        <f t="shared" si="18"/>
        <v>30</v>
      </c>
      <c r="H275" s="320">
        <f t="shared" si="19"/>
        <v>150</v>
      </c>
      <c r="I275" s="320">
        <f t="shared" si="20"/>
        <v>150</v>
      </c>
      <c r="J275" s="320">
        <f t="shared" si="21"/>
        <v>750</v>
      </c>
      <c r="K275" s="320">
        <f t="shared" si="22"/>
        <v>75</v>
      </c>
      <c r="L275" s="320">
        <f t="shared" si="23"/>
        <v>375</v>
      </c>
      <c r="M275" s="319"/>
    </row>
    <row r="276" spans="1:13" ht="22.5" customHeight="1">
      <c r="A276" s="254">
        <v>238</v>
      </c>
      <c r="B276" s="617" t="s">
        <v>2879</v>
      </c>
      <c r="C276" s="254" t="s">
        <v>2880</v>
      </c>
      <c r="D276" s="254" t="s">
        <v>2881</v>
      </c>
      <c r="E276" s="288">
        <v>6</v>
      </c>
      <c r="F276" s="289">
        <v>6</v>
      </c>
      <c r="G276" s="320">
        <f t="shared" si="18"/>
        <v>30</v>
      </c>
      <c r="H276" s="320">
        <f t="shared" si="19"/>
        <v>180</v>
      </c>
      <c r="I276" s="320">
        <f t="shared" si="20"/>
        <v>150</v>
      </c>
      <c r="J276" s="320">
        <f t="shared" si="21"/>
        <v>900</v>
      </c>
      <c r="K276" s="320">
        <f t="shared" si="22"/>
        <v>75</v>
      </c>
      <c r="L276" s="320">
        <f t="shared" si="23"/>
        <v>450</v>
      </c>
      <c r="M276" s="319"/>
    </row>
    <row r="277" spans="1:13" ht="22.5" customHeight="1">
      <c r="A277" s="254">
        <v>239</v>
      </c>
      <c r="B277" s="617" t="s">
        <v>2882</v>
      </c>
      <c r="C277" s="254" t="s">
        <v>2880</v>
      </c>
      <c r="D277" s="254" t="s">
        <v>2881</v>
      </c>
      <c r="E277" s="288">
        <v>5</v>
      </c>
      <c r="F277" s="289">
        <v>6</v>
      </c>
      <c r="G277" s="320">
        <f t="shared" si="18"/>
        <v>30</v>
      </c>
      <c r="H277" s="320">
        <f t="shared" si="19"/>
        <v>150</v>
      </c>
      <c r="I277" s="320">
        <f t="shared" si="20"/>
        <v>150</v>
      </c>
      <c r="J277" s="320">
        <f t="shared" si="21"/>
        <v>750</v>
      </c>
      <c r="K277" s="320">
        <f t="shared" si="22"/>
        <v>75</v>
      </c>
      <c r="L277" s="320">
        <f t="shared" si="23"/>
        <v>375</v>
      </c>
      <c r="M277" s="319"/>
    </row>
    <row r="278" spans="1:13" ht="22.5" customHeight="1">
      <c r="A278" s="254">
        <v>240</v>
      </c>
      <c r="B278" s="617" t="s">
        <v>2883</v>
      </c>
      <c r="C278" s="254" t="s">
        <v>2880</v>
      </c>
      <c r="D278" s="254" t="s">
        <v>2881</v>
      </c>
      <c r="E278" s="288">
        <v>4.7</v>
      </c>
      <c r="F278" s="289">
        <v>6</v>
      </c>
      <c r="G278" s="320">
        <f t="shared" si="18"/>
        <v>30</v>
      </c>
      <c r="H278" s="320">
        <f t="shared" si="19"/>
        <v>141</v>
      </c>
      <c r="I278" s="320">
        <f t="shared" si="20"/>
        <v>150</v>
      </c>
      <c r="J278" s="320">
        <f t="shared" si="21"/>
        <v>705</v>
      </c>
      <c r="K278" s="320">
        <f t="shared" si="22"/>
        <v>75</v>
      </c>
      <c r="L278" s="320">
        <f t="shared" si="23"/>
        <v>352.5</v>
      </c>
      <c r="M278" s="319"/>
    </row>
    <row r="279" spans="1:13" ht="22.5" customHeight="1">
      <c r="A279" s="254">
        <v>241</v>
      </c>
      <c r="B279" s="617" t="s">
        <v>2884</v>
      </c>
      <c r="C279" s="254" t="s">
        <v>2885</v>
      </c>
      <c r="D279" s="254" t="s">
        <v>2886</v>
      </c>
      <c r="E279" s="288">
        <v>5</v>
      </c>
      <c r="F279" s="289">
        <v>6</v>
      </c>
      <c r="G279" s="320">
        <f t="shared" si="18"/>
        <v>30</v>
      </c>
      <c r="H279" s="320">
        <f t="shared" si="19"/>
        <v>150</v>
      </c>
      <c r="I279" s="320">
        <f t="shared" si="20"/>
        <v>150</v>
      </c>
      <c r="J279" s="320">
        <f t="shared" si="21"/>
        <v>750</v>
      </c>
      <c r="K279" s="320">
        <f t="shared" si="22"/>
        <v>75</v>
      </c>
      <c r="L279" s="320">
        <f t="shared" si="23"/>
        <v>375</v>
      </c>
      <c r="M279" s="319"/>
    </row>
    <row r="280" spans="1:13" ht="22.5" customHeight="1">
      <c r="A280" s="254">
        <v>242</v>
      </c>
      <c r="B280" s="617" t="s">
        <v>2887</v>
      </c>
      <c r="C280" s="254" t="s">
        <v>2885</v>
      </c>
      <c r="D280" s="254" t="s">
        <v>2886</v>
      </c>
      <c r="E280" s="288">
        <v>5.5</v>
      </c>
      <c r="F280" s="289">
        <v>6</v>
      </c>
      <c r="G280" s="320">
        <f t="shared" si="18"/>
        <v>30</v>
      </c>
      <c r="H280" s="320">
        <f t="shared" si="19"/>
        <v>165</v>
      </c>
      <c r="I280" s="320">
        <f t="shared" si="20"/>
        <v>150</v>
      </c>
      <c r="J280" s="320">
        <f t="shared" si="21"/>
        <v>825</v>
      </c>
      <c r="K280" s="320">
        <f t="shared" si="22"/>
        <v>75</v>
      </c>
      <c r="L280" s="320">
        <f t="shared" si="23"/>
        <v>412.5</v>
      </c>
      <c r="M280" s="319"/>
    </row>
    <row r="281" spans="1:13" ht="22.5" customHeight="1">
      <c r="A281" s="254">
        <v>243</v>
      </c>
      <c r="B281" s="617" t="s">
        <v>2888</v>
      </c>
      <c r="C281" s="254" t="s">
        <v>2889</v>
      </c>
      <c r="D281" s="254" t="s">
        <v>2890</v>
      </c>
      <c r="E281" s="288">
        <v>5</v>
      </c>
      <c r="F281" s="289">
        <v>6</v>
      </c>
      <c r="G281" s="320">
        <f t="shared" si="18"/>
        <v>30</v>
      </c>
      <c r="H281" s="320">
        <f t="shared" si="19"/>
        <v>150</v>
      </c>
      <c r="I281" s="320">
        <f t="shared" si="20"/>
        <v>150</v>
      </c>
      <c r="J281" s="320">
        <f t="shared" si="21"/>
        <v>750</v>
      </c>
      <c r="K281" s="320">
        <f t="shared" si="22"/>
        <v>75</v>
      </c>
      <c r="L281" s="320">
        <f t="shared" si="23"/>
        <v>375</v>
      </c>
      <c r="M281" s="319"/>
    </row>
    <row r="282" spans="1:13" ht="22.5" customHeight="1">
      <c r="A282" s="254">
        <v>244</v>
      </c>
      <c r="B282" s="617" t="s">
        <v>2891</v>
      </c>
      <c r="C282" s="254" t="s">
        <v>2892</v>
      </c>
      <c r="D282" s="254" t="s">
        <v>2893</v>
      </c>
      <c r="E282" s="288">
        <v>5</v>
      </c>
      <c r="F282" s="289">
        <v>6</v>
      </c>
      <c r="G282" s="320">
        <f t="shared" si="18"/>
        <v>30</v>
      </c>
      <c r="H282" s="320">
        <f t="shared" si="19"/>
        <v>150</v>
      </c>
      <c r="I282" s="320">
        <f t="shared" si="20"/>
        <v>150</v>
      </c>
      <c r="J282" s="320">
        <f t="shared" si="21"/>
        <v>750</v>
      </c>
      <c r="K282" s="320">
        <f t="shared" si="22"/>
        <v>75</v>
      </c>
      <c r="L282" s="320">
        <f t="shared" si="23"/>
        <v>375</v>
      </c>
      <c r="M282" s="319"/>
    </row>
    <row r="283" spans="1:13" ht="22.5" customHeight="1">
      <c r="A283" s="254">
        <v>245</v>
      </c>
      <c r="B283" s="617" t="s">
        <v>2894</v>
      </c>
      <c r="C283" s="254" t="s">
        <v>2892</v>
      </c>
      <c r="D283" s="254" t="s">
        <v>2895</v>
      </c>
      <c r="E283" s="288">
        <v>4.5</v>
      </c>
      <c r="F283" s="289">
        <v>6</v>
      </c>
      <c r="G283" s="320">
        <f t="shared" si="18"/>
        <v>30</v>
      </c>
      <c r="H283" s="320">
        <f t="shared" si="19"/>
        <v>135</v>
      </c>
      <c r="I283" s="320">
        <f t="shared" si="20"/>
        <v>150</v>
      </c>
      <c r="J283" s="320">
        <f t="shared" si="21"/>
        <v>675</v>
      </c>
      <c r="K283" s="320">
        <f t="shared" si="22"/>
        <v>75</v>
      </c>
      <c r="L283" s="320">
        <f t="shared" si="23"/>
        <v>337.5</v>
      </c>
      <c r="M283" s="319"/>
    </row>
    <row r="284" spans="1:13" ht="22.5" customHeight="1">
      <c r="A284" s="254">
        <v>246</v>
      </c>
      <c r="B284" s="617" t="s">
        <v>2896</v>
      </c>
      <c r="C284" s="254" t="s">
        <v>2892</v>
      </c>
      <c r="D284" s="254" t="s">
        <v>2895</v>
      </c>
      <c r="E284" s="288">
        <v>4.5</v>
      </c>
      <c r="F284" s="289">
        <v>6</v>
      </c>
      <c r="G284" s="320">
        <f t="shared" si="18"/>
        <v>30</v>
      </c>
      <c r="H284" s="320">
        <f t="shared" si="19"/>
        <v>135</v>
      </c>
      <c r="I284" s="320">
        <f t="shared" si="20"/>
        <v>150</v>
      </c>
      <c r="J284" s="320">
        <f t="shared" si="21"/>
        <v>675</v>
      </c>
      <c r="K284" s="320">
        <f t="shared" si="22"/>
        <v>75</v>
      </c>
      <c r="L284" s="320">
        <f t="shared" si="23"/>
        <v>337.5</v>
      </c>
      <c r="M284" s="319"/>
    </row>
    <row r="285" spans="1:13" ht="22.5" customHeight="1">
      <c r="A285" s="254">
        <v>247</v>
      </c>
      <c r="B285" s="617" t="s">
        <v>2897</v>
      </c>
      <c r="C285" s="254" t="s">
        <v>2892</v>
      </c>
      <c r="D285" s="254" t="s">
        <v>2895</v>
      </c>
      <c r="E285" s="288">
        <v>4.5</v>
      </c>
      <c r="F285" s="289">
        <v>6</v>
      </c>
      <c r="G285" s="320">
        <f t="shared" si="18"/>
        <v>30</v>
      </c>
      <c r="H285" s="320">
        <f t="shared" si="19"/>
        <v>135</v>
      </c>
      <c r="I285" s="320">
        <f t="shared" si="20"/>
        <v>150</v>
      </c>
      <c r="J285" s="320">
        <f t="shared" si="21"/>
        <v>675</v>
      </c>
      <c r="K285" s="320">
        <f t="shared" si="22"/>
        <v>75</v>
      </c>
      <c r="L285" s="320">
        <f t="shared" si="23"/>
        <v>337.5</v>
      </c>
      <c r="M285" s="319"/>
    </row>
    <row r="286" spans="1:13" ht="22.5" customHeight="1">
      <c r="A286" s="254">
        <v>248</v>
      </c>
      <c r="B286" s="617" t="s">
        <v>2898</v>
      </c>
      <c r="C286" s="254" t="s">
        <v>2892</v>
      </c>
      <c r="D286" s="254" t="s">
        <v>2895</v>
      </c>
      <c r="E286" s="288">
        <v>5</v>
      </c>
      <c r="F286" s="289">
        <v>6</v>
      </c>
      <c r="G286" s="320">
        <f t="shared" si="18"/>
        <v>30</v>
      </c>
      <c r="H286" s="320">
        <f t="shared" si="19"/>
        <v>150</v>
      </c>
      <c r="I286" s="320">
        <f t="shared" si="20"/>
        <v>150</v>
      </c>
      <c r="J286" s="320">
        <f t="shared" si="21"/>
        <v>750</v>
      </c>
      <c r="K286" s="320">
        <f t="shared" si="22"/>
        <v>75</v>
      </c>
      <c r="L286" s="320">
        <f t="shared" si="23"/>
        <v>375</v>
      </c>
      <c r="M286" s="319"/>
    </row>
    <row r="287" spans="1:13" ht="22.5" customHeight="1">
      <c r="A287" s="254">
        <v>249</v>
      </c>
      <c r="B287" s="617" t="s">
        <v>2899</v>
      </c>
      <c r="C287" s="254" t="s">
        <v>2892</v>
      </c>
      <c r="D287" s="254" t="s">
        <v>2895</v>
      </c>
      <c r="E287" s="288">
        <v>5</v>
      </c>
      <c r="F287" s="289">
        <v>6</v>
      </c>
      <c r="G287" s="320">
        <f t="shared" si="18"/>
        <v>30</v>
      </c>
      <c r="H287" s="320">
        <f t="shared" si="19"/>
        <v>150</v>
      </c>
      <c r="I287" s="320">
        <f t="shared" si="20"/>
        <v>150</v>
      </c>
      <c r="J287" s="320">
        <f t="shared" si="21"/>
        <v>750</v>
      </c>
      <c r="K287" s="320">
        <f t="shared" si="22"/>
        <v>75</v>
      </c>
      <c r="L287" s="320">
        <f t="shared" si="23"/>
        <v>375</v>
      </c>
      <c r="M287" s="319"/>
    </row>
    <row r="288" spans="1:13" ht="22.5" customHeight="1">
      <c r="A288" s="254">
        <v>250</v>
      </c>
      <c r="B288" s="617" t="s">
        <v>2900</v>
      </c>
      <c r="C288" s="254" t="s">
        <v>2901</v>
      </c>
      <c r="D288" s="254" t="s">
        <v>2902</v>
      </c>
      <c r="E288" s="288">
        <v>5</v>
      </c>
      <c r="F288" s="289">
        <v>6</v>
      </c>
      <c r="G288" s="320">
        <f t="shared" si="18"/>
        <v>30</v>
      </c>
      <c r="H288" s="320">
        <f t="shared" si="19"/>
        <v>150</v>
      </c>
      <c r="I288" s="320">
        <f t="shared" si="20"/>
        <v>150</v>
      </c>
      <c r="J288" s="320">
        <f t="shared" si="21"/>
        <v>750</v>
      </c>
      <c r="K288" s="320">
        <f t="shared" si="22"/>
        <v>75</v>
      </c>
      <c r="L288" s="320">
        <f t="shared" si="23"/>
        <v>375</v>
      </c>
      <c r="M288" s="319"/>
    </row>
    <row r="289" spans="1:13" ht="22.5" customHeight="1">
      <c r="A289" s="254">
        <v>251</v>
      </c>
      <c r="B289" s="617" t="s">
        <v>2903</v>
      </c>
      <c r="C289" s="254" t="s">
        <v>2901</v>
      </c>
      <c r="D289" s="254" t="s">
        <v>2902</v>
      </c>
      <c r="E289" s="288">
        <v>5</v>
      </c>
      <c r="F289" s="289">
        <v>6</v>
      </c>
      <c r="G289" s="320">
        <f t="shared" si="18"/>
        <v>30</v>
      </c>
      <c r="H289" s="320">
        <f t="shared" si="19"/>
        <v>150</v>
      </c>
      <c r="I289" s="320">
        <f t="shared" si="20"/>
        <v>150</v>
      </c>
      <c r="J289" s="320">
        <f t="shared" si="21"/>
        <v>750</v>
      </c>
      <c r="K289" s="320">
        <f t="shared" si="22"/>
        <v>75</v>
      </c>
      <c r="L289" s="320">
        <f t="shared" si="23"/>
        <v>375</v>
      </c>
      <c r="M289" s="319"/>
    </row>
    <row r="290" spans="1:13" ht="22.5" customHeight="1">
      <c r="A290" s="254">
        <v>252</v>
      </c>
      <c r="B290" s="617" t="s">
        <v>2904</v>
      </c>
      <c r="C290" s="254" t="s">
        <v>2901</v>
      </c>
      <c r="D290" s="254" t="s">
        <v>2902</v>
      </c>
      <c r="E290" s="288">
        <v>5</v>
      </c>
      <c r="F290" s="289">
        <v>6</v>
      </c>
      <c r="G290" s="320">
        <f t="shared" si="18"/>
        <v>30</v>
      </c>
      <c r="H290" s="320">
        <f t="shared" si="19"/>
        <v>150</v>
      </c>
      <c r="I290" s="320">
        <f t="shared" si="20"/>
        <v>150</v>
      </c>
      <c r="J290" s="320">
        <f t="shared" si="21"/>
        <v>750</v>
      </c>
      <c r="K290" s="320">
        <f t="shared" si="22"/>
        <v>75</v>
      </c>
      <c r="L290" s="320">
        <f t="shared" si="23"/>
        <v>375</v>
      </c>
      <c r="M290" s="319"/>
    </row>
    <row r="291" spans="1:13" ht="22.5" customHeight="1">
      <c r="A291" s="254">
        <v>253</v>
      </c>
      <c r="B291" s="617" t="s">
        <v>2905</v>
      </c>
      <c r="C291" s="254" t="s">
        <v>2901</v>
      </c>
      <c r="D291" s="254" t="s">
        <v>2902</v>
      </c>
      <c r="E291" s="288">
        <v>5</v>
      </c>
      <c r="F291" s="289">
        <v>6</v>
      </c>
      <c r="G291" s="320">
        <f t="shared" si="18"/>
        <v>30</v>
      </c>
      <c r="H291" s="320">
        <f t="shared" si="19"/>
        <v>150</v>
      </c>
      <c r="I291" s="320">
        <f t="shared" si="20"/>
        <v>150</v>
      </c>
      <c r="J291" s="320">
        <f t="shared" si="21"/>
        <v>750</v>
      </c>
      <c r="K291" s="320">
        <f t="shared" si="22"/>
        <v>75</v>
      </c>
      <c r="L291" s="320">
        <f t="shared" si="23"/>
        <v>375</v>
      </c>
      <c r="M291" s="319"/>
    </row>
    <row r="292" spans="1:13" ht="22.5" customHeight="1">
      <c r="A292" s="254">
        <v>254</v>
      </c>
      <c r="B292" s="617" t="s">
        <v>2906</v>
      </c>
      <c r="C292" s="254" t="s">
        <v>2907</v>
      </c>
      <c r="D292" s="254" t="s">
        <v>2908</v>
      </c>
      <c r="E292" s="288">
        <v>5</v>
      </c>
      <c r="F292" s="289">
        <v>6</v>
      </c>
      <c r="G292" s="320">
        <f t="shared" si="18"/>
        <v>30</v>
      </c>
      <c r="H292" s="320">
        <f t="shared" si="19"/>
        <v>150</v>
      </c>
      <c r="I292" s="320">
        <f t="shared" si="20"/>
        <v>150</v>
      </c>
      <c r="J292" s="320">
        <f t="shared" si="21"/>
        <v>750</v>
      </c>
      <c r="K292" s="320">
        <f t="shared" si="22"/>
        <v>75</v>
      </c>
      <c r="L292" s="320">
        <f t="shared" si="23"/>
        <v>375</v>
      </c>
      <c r="M292" s="319"/>
    </row>
    <row r="293" spans="1:13" ht="22.5" customHeight="1">
      <c r="A293" s="254">
        <v>255</v>
      </c>
      <c r="B293" s="617" t="s">
        <v>2909</v>
      </c>
      <c r="C293" s="254" t="s">
        <v>2907</v>
      </c>
      <c r="D293" s="254" t="s">
        <v>2908</v>
      </c>
      <c r="E293" s="288">
        <v>5</v>
      </c>
      <c r="F293" s="289">
        <v>6</v>
      </c>
      <c r="G293" s="320">
        <f t="shared" si="18"/>
        <v>30</v>
      </c>
      <c r="H293" s="320">
        <f t="shared" si="19"/>
        <v>150</v>
      </c>
      <c r="I293" s="320">
        <f t="shared" si="20"/>
        <v>150</v>
      </c>
      <c r="J293" s="320">
        <f t="shared" si="21"/>
        <v>750</v>
      </c>
      <c r="K293" s="320">
        <f t="shared" si="22"/>
        <v>75</v>
      </c>
      <c r="L293" s="320">
        <f t="shared" si="23"/>
        <v>375</v>
      </c>
      <c r="M293" s="319"/>
    </row>
    <row r="294" spans="1:13" ht="22.5" customHeight="1">
      <c r="A294" s="254">
        <v>256</v>
      </c>
      <c r="B294" s="617" t="s">
        <v>2910</v>
      </c>
      <c r="C294" s="254" t="s">
        <v>2907</v>
      </c>
      <c r="D294" s="254" t="s">
        <v>2908</v>
      </c>
      <c r="E294" s="288">
        <v>5</v>
      </c>
      <c r="F294" s="289">
        <v>6</v>
      </c>
      <c r="G294" s="320">
        <f t="shared" si="18"/>
        <v>30</v>
      </c>
      <c r="H294" s="320">
        <f t="shared" si="19"/>
        <v>150</v>
      </c>
      <c r="I294" s="320">
        <f t="shared" si="20"/>
        <v>150</v>
      </c>
      <c r="J294" s="320">
        <f t="shared" si="21"/>
        <v>750</v>
      </c>
      <c r="K294" s="320">
        <f t="shared" si="22"/>
        <v>75</v>
      </c>
      <c r="L294" s="320">
        <f t="shared" si="23"/>
        <v>375</v>
      </c>
      <c r="M294" s="319"/>
    </row>
    <row r="295" spans="1:13" ht="22.5" customHeight="1">
      <c r="A295" s="254">
        <v>257</v>
      </c>
      <c r="B295" s="617" t="s">
        <v>2911</v>
      </c>
      <c r="C295" s="254" t="s">
        <v>2907</v>
      </c>
      <c r="D295" s="254" t="s">
        <v>2908</v>
      </c>
      <c r="E295" s="288">
        <v>5</v>
      </c>
      <c r="F295" s="289">
        <v>6</v>
      </c>
      <c r="G295" s="320">
        <f t="shared" si="18"/>
        <v>30</v>
      </c>
      <c r="H295" s="320">
        <f t="shared" si="19"/>
        <v>150</v>
      </c>
      <c r="I295" s="320">
        <f t="shared" si="20"/>
        <v>150</v>
      </c>
      <c r="J295" s="320">
        <f t="shared" si="21"/>
        <v>750</v>
      </c>
      <c r="K295" s="320">
        <f t="shared" si="22"/>
        <v>75</v>
      </c>
      <c r="L295" s="320">
        <f t="shared" si="23"/>
        <v>375</v>
      </c>
      <c r="M295" s="319"/>
    </row>
    <row r="296" spans="1:13" ht="22.5" customHeight="1">
      <c r="A296" s="254">
        <v>258</v>
      </c>
      <c r="B296" s="617" t="s">
        <v>2912</v>
      </c>
      <c r="C296" s="254" t="s">
        <v>2907</v>
      </c>
      <c r="D296" s="254" t="s">
        <v>2908</v>
      </c>
      <c r="E296" s="288">
        <v>5</v>
      </c>
      <c r="F296" s="289">
        <v>6</v>
      </c>
      <c r="G296" s="320">
        <f t="shared" si="18"/>
        <v>30</v>
      </c>
      <c r="H296" s="320">
        <f t="shared" si="19"/>
        <v>150</v>
      </c>
      <c r="I296" s="320">
        <f t="shared" si="20"/>
        <v>150</v>
      </c>
      <c r="J296" s="320">
        <f t="shared" si="21"/>
        <v>750</v>
      </c>
      <c r="K296" s="320">
        <f t="shared" si="22"/>
        <v>75</v>
      </c>
      <c r="L296" s="320">
        <f t="shared" si="23"/>
        <v>375</v>
      </c>
      <c r="M296" s="319"/>
    </row>
    <row r="297" spans="1:13" ht="22.5" customHeight="1">
      <c r="A297" s="254">
        <v>259</v>
      </c>
      <c r="B297" s="617" t="s">
        <v>2913</v>
      </c>
      <c r="C297" s="254" t="s">
        <v>2907</v>
      </c>
      <c r="D297" s="254" t="s">
        <v>2908</v>
      </c>
      <c r="E297" s="288">
        <v>4</v>
      </c>
      <c r="F297" s="289">
        <v>6</v>
      </c>
      <c r="G297" s="320">
        <f t="shared" si="18"/>
        <v>30</v>
      </c>
      <c r="H297" s="320">
        <f t="shared" si="19"/>
        <v>120</v>
      </c>
      <c r="I297" s="320">
        <f t="shared" si="20"/>
        <v>150</v>
      </c>
      <c r="J297" s="320">
        <f t="shared" si="21"/>
        <v>600</v>
      </c>
      <c r="K297" s="320">
        <f t="shared" si="22"/>
        <v>75</v>
      </c>
      <c r="L297" s="320">
        <f t="shared" si="23"/>
        <v>300</v>
      </c>
      <c r="M297" s="319"/>
    </row>
    <row r="298" spans="1:13" ht="22.5" customHeight="1">
      <c r="A298" s="254">
        <v>260</v>
      </c>
      <c r="B298" s="617" t="s">
        <v>2914</v>
      </c>
      <c r="C298" s="254" t="s">
        <v>2907</v>
      </c>
      <c r="D298" s="254" t="s">
        <v>2908</v>
      </c>
      <c r="E298" s="288">
        <v>4</v>
      </c>
      <c r="F298" s="289">
        <v>6</v>
      </c>
      <c r="G298" s="320">
        <f t="shared" si="18"/>
        <v>30</v>
      </c>
      <c r="H298" s="320">
        <f t="shared" si="19"/>
        <v>120</v>
      </c>
      <c r="I298" s="320">
        <f t="shared" si="20"/>
        <v>150</v>
      </c>
      <c r="J298" s="320">
        <f t="shared" si="21"/>
        <v>600</v>
      </c>
      <c r="K298" s="320">
        <f t="shared" si="22"/>
        <v>75</v>
      </c>
      <c r="L298" s="320">
        <f t="shared" si="23"/>
        <v>300</v>
      </c>
      <c r="M298" s="319"/>
    </row>
    <row r="299" spans="1:13" ht="22.5" customHeight="1">
      <c r="A299" s="254">
        <v>261</v>
      </c>
      <c r="B299" s="617" t="s">
        <v>2915</v>
      </c>
      <c r="C299" s="254" t="s">
        <v>2916</v>
      </c>
      <c r="D299" s="254" t="s">
        <v>2886</v>
      </c>
      <c r="E299" s="288">
        <v>6</v>
      </c>
      <c r="F299" s="289">
        <v>6</v>
      </c>
      <c r="G299" s="320">
        <f t="shared" si="18"/>
        <v>30</v>
      </c>
      <c r="H299" s="320">
        <f t="shared" si="19"/>
        <v>180</v>
      </c>
      <c r="I299" s="320">
        <f t="shared" si="20"/>
        <v>150</v>
      </c>
      <c r="J299" s="320">
        <f t="shared" si="21"/>
        <v>900</v>
      </c>
      <c r="K299" s="320">
        <f t="shared" si="22"/>
        <v>75</v>
      </c>
      <c r="L299" s="320">
        <f t="shared" si="23"/>
        <v>450</v>
      </c>
      <c r="M299" s="319"/>
    </row>
    <row r="300" spans="1:13" ht="22.5" customHeight="1">
      <c r="A300" s="254">
        <v>262</v>
      </c>
      <c r="B300" s="617" t="s">
        <v>2917</v>
      </c>
      <c r="C300" s="254" t="s">
        <v>2916</v>
      </c>
      <c r="D300" s="254" t="s">
        <v>2497</v>
      </c>
      <c r="E300" s="288">
        <v>5</v>
      </c>
      <c r="F300" s="289">
        <v>6</v>
      </c>
      <c r="G300" s="320">
        <f t="shared" si="18"/>
        <v>30</v>
      </c>
      <c r="H300" s="320">
        <f t="shared" si="19"/>
        <v>150</v>
      </c>
      <c r="I300" s="320">
        <f t="shared" si="20"/>
        <v>150</v>
      </c>
      <c r="J300" s="320">
        <f t="shared" si="21"/>
        <v>750</v>
      </c>
      <c r="K300" s="320">
        <f t="shared" si="22"/>
        <v>75</v>
      </c>
      <c r="L300" s="320">
        <f t="shared" si="23"/>
        <v>375</v>
      </c>
      <c r="M300" s="319"/>
    </row>
    <row r="301" spans="1:13" ht="22.5" customHeight="1">
      <c r="A301" s="254">
        <v>263</v>
      </c>
      <c r="B301" s="617" t="s">
        <v>2918</v>
      </c>
      <c r="C301" s="254" t="s">
        <v>2919</v>
      </c>
      <c r="D301" s="254" t="s">
        <v>2497</v>
      </c>
      <c r="E301" s="288">
        <v>5</v>
      </c>
      <c r="F301" s="289">
        <v>6</v>
      </c>
      <c r="G301" s="320">
        <f t="shared" si="18"/>
        <v>30</v>
      </c>
      <c r="H301" s="320">
        <f t="shared" si="19"/>
        <v>150</v>
      </c>
      <c r="I301" s="320">
        <f t="shared" si="20"/>
        <v>150</v>
      </c>
      <c r="J301" s="320">
        <f t="shared" si="21"/>
        <v>750</v>
      </c>
      <c r="K301" s="320">
        <f t="shared" si="22"/>
        <v>75</v>
      </c>
      <c r="L301" s="320">
        <f t="shared" si="23"/>
        <v>375</v>
      </c>
      <c r="M301" s="319"/>
    </row>
    <row r="302" spans="1:13" ht="22.5" customHeight="1">
      <c r="A302" s="254">
        <v>264</v>
      </c>
      <c r="B302" s="617" t="s">
        <v>2920</v>
      </c>
      <c r="C302" s="254" t="s">
        <v>2919</v>
      </c>
      <c r="D302" s="254" t="s">
        <v>2497</v>
      </c>
      <c r="E302" s="288">
        <v>5</v>
      </c>
      <c r="F302" s="289">
        <v>6</v>
      </c>
      <c r="G302" s="320">
        <f t="shared" si="18"/>
        <v>30</v>
      </c>
      <c r="H302" s="320">
        <f t="shared" si="19"/>
        <v>150</v>
      </c>
      <c r="I302" s="320">
        <f t="shared" si="20"/>
        <v>150</v>
      </c>
      <c r="J302" s="320">
        <f t="shared" si="21"/>
        <v>750</v>
      </c>
      <c r="K302" s="320">
        <f t="shared" si="22"/>
        <v>75</v>
      </c>
      <c r="L302" s="320">
        <f t="shared" si="23"/>
        <v>375</v>
      </c>
      <c r="M302" s="319"/>
    </row>
    <row r="303" spans="1:13" ht="22.5" customHeight="1">
      <c r="A303" s="254">
        <v>265</v>
      </c>
      <c r="B303" s="617" t="s">
        <v>2921</v>
      </c>
      <c r="C303" s="254" t="s">
        <v>2919</v>
      </c>
      <c r="D303" s="254" t="s">
        <v>2497</v>
      </c>
      <c r="E303" s="288">
        <v>4.5</v>
      </c>
      <c r="F303" s="289">
        <v>6</v>
      </c>
      <c r="G303" s="320">
        <f t="shared" si="18"/>
        <v>30</v>
      </c>
      <c r="H303" s="320">
        <f t="shared" si="19"/>
        <v>135</v>
      </c>
      <c r="I303" s="320">
        <f t="shared" si="20"/>
        <v>150</v>
      </c>
      <c r="J303" s="320">
        <f t="shared" si="21"/>
        <v>675</v>
      </c>
      <c r="K303" s="320">
        <f t="shared" si="22"/>
        <v>75</v>
      </c>
      <c r="L303" s="320">
        <f t="shared" si="23"/>
        <v>337.5</v>
      </c>
      <c r="M303" s="319"/>
    </row>
    <row r="304" spans="1:13" ht="22.5" customHeight="1">
      <c r="A304" s="254">
        <v>266</v>
      </c>
      <c r="B304" s="617" t="s">
        <v>2922</v>
      </c>
      <c r="C304" s="254" t="s">
        <v>2919</v>
      </c>
      <c r="D304" s="254" t="s">
        <v>2497</v>
      </c>
      <c r="E304" s="288">
        <v>4.5</v>
      </c>
      <c r="F304" s="289">
        <v>6</v>
      </c>
      <c r="G304" s="320">
        <f t="shared" si="18"/>
        <v>30</v>
      </c>
      <c r="H304" s="320">
        <f t="shared" si="19"/>
        <v>135</v>
      </c>
      <c r="I304" s="320">
        <f t="shared" si="20"/>
        <v>150</v>
      </c>
      <c r="J304" s="320">
        <f t="shared" si="21"/>
        <v>675</v>
      </c>
      <c r="K304" s="320">
        <f t="shared" si="22"/>
        <v>75</v>
      </c>
      <c r="L304" s="320">
        <f t="shared" si="23"/>
        <v>337.5</v>
      </c>
      <c r="M304" s="319"/>
    </row>
    <row r="305" spans="1:13" ht="22.5" customHeight="1">
      <c r="A305" s="254">
        <v>267</v>
      </c>
      <c r="B305" s="617" t="s">
        <v>2923</v>
      </c>
      <c r="C305" s="254" t="s">
        <v>2924</v>
      </c>
      <c r="D305" s="254" t="s">
        <v>2925</v>
      </c>
      <c r="E305" s="288">
        <v>6</v>
      </c>
      <c r="F305" s="289">
        <v>6</v>
      </c>
      <c r="G305" s="320">
        <f t="shared" si="18"/>
        <v>30</v>
      </c>
      <c r="H305" s="320">
        <f t="shared" si="19"/>
        <v>180</v>
      </c>
      <c r="I305" s="320">
        <f t="shared" si="20"/>
        <v>150</v>
      </c>
      <c r="J305" s="320">
        <f t="shared" si="21"/>
        <v>900</v>
      </c>
      <c r="K305" s="320">
        <f t="shared" si="22"/>
        <v>75</v>
      </c>
      <c r="L305" s="320">
        <f t="shared" si="23"/>
        <v>450</v>
      </c>
      <c r="M305" s="319"/>
    </row>
    <row r="306" spans="1:13" ht="22.5" customHeight="1">
      <c r="A306" s="254">
        <v>268</v>
      </c>
      <c r="B306" s="617" t="s">
        <v>2926</v>
      </c>
      <c r="C306" s="254" t="s">
        <v>2924</v>
      </c>
      <c r="D306" s="254" t="s">
        <v>2927</v>
      </c>
      <c r="E306" s="288">
        <v>6</v>
      </c>
      <c r="F306" s="289">
        <v>6</v>
      </c>
      <c r="G306" s="320">
        <f t="shared" si="18"/>
        <v>30</v>
      </c>
      <c r="H306" s="320">
        <f t="shared" si="19"/>
        <v>180</v>
      </c>
      <c r="I306" s="320">
        <f t="shared" si="20"/>
        <v>150</v>
      </c>
      <c r="J306" s="320">
        <f t="shared" si="21"/>
        <v>900</v>
      </c>
      <c r="K306" s="320">
        <f t="shared" si="22"/>
        <v>75</v>
      </c>
      <c r="L306" s="320">
        <f t="shared" si="23"/>
        <v>450</v>
      </c>
      <c r="M306" s="319"/>
    </row>
    <row r="307" spans="1:13" ht="22.5" customHeight="1">
      <c r="A307" s="254">
        <v>269</v>
      </c>
      <c r="B307" s="617" t="s">
        <v>2928</v>
      </c>
      <c r="C307" s="254" t="s">
        <v>2924</v>
      </c>
      <c r="D307" s="254" t="s">
        <v>2927</v>
      </c>
      <c r="E307" s="288">
        <v>6</v>
      </c>
      <c r="F307" s="289">
        <v>6</v>
      </c>
      <c r="G307" s="320">
        <f t="shared" si="18"/>
        <v>30</v>
      </c>
      <c r="H307" s="320">
        <f t="shared" si="19"/>
        <v>180</v>
      </c>
      <c r="I307" s="320">
        <f t="shared" si="20"/>
        <v>150</v>
      </c>
      <c r="J307" s="320">
        <f t="shared" si="21"/>
        <v>900</v>
      </c>
      <c r="K307" s="320">
        <f t="shared" si="22"/>
        <v>75</v>
      </c>
      <c r="L307" s="320">
        <f t="shared" si="23"/>
        <v>450</v>
      </c>
      <c r="M307" s="319"/>
    </row>
    <row r="308" spans="1:13" ht="22.5" customHeight="1">
      <c r="A308" s="254">
        <v>270</v>
      </c>
      <c r="B308" s="617" t="s">
        <v>2929</v>
      </c>
      <c r="C308" s="254" t="s">
        <v>2924</v>
      </c>
      <c r="D308" s="254" t="s">
        <v>2927</v>
      </c>
      <c r="E308" s="288">
        <v>5</v>
      </c>
      <c r="F308" s="289">
        <v>6</v>
      </c>
      <c r="G308" s="320">
        <f t="shared" si="18"/>
        <v>30</v>
      </c>
      <c r="H308" s="320">
        <f t="shared" si="19"/>
        <v>150</v>
      </c>
      <c r="I308" s="320">
        <f t="shared" si="20"/>
        <v>150</v>
      </c>
      <c r="J308" s="320">
        <f t="shared" si="21"/>
        <v>750</v>
      </c>
      <c r="K308" s="320">
        <f t="shared" si="22"/>
        <v>75</v>
      </c>
      <c r="L308" s="320">
        <f t="shared" si="23"/>
        <v>375</v>
      </c>
      <c r="M308" s="319"/>
    </row>
    <row r="309" spans="1:13" ht="22.5" customHeight="1">
      <c r="A309" s="254">
        <v>271</v>
      </c>
      <c r="B309" s="617" t="s">
        <v>2930</v>
      </c>
      <c r="C309" s="254" t="s">
        <v>2880</v>
      </c>
      <c r="D309" s="254" t="s">
        <v>2881</v>
      </c>
      <c r="E309" s="288">
        <v>3.5</v>
      </c>
      <c r="F309" s="289">
        <v>6</v>
      </c>
      <c r="G309" s="320">
        <f t="shared" si="18"/>
        <v>30</v>
      </c>
      <c r="H309" s="320">
        <f t="shared" si="19"/>
        <v>105</v>
      </c>
      <c r="I309" s="320">
        <f t="shared" si="20"/>
        <v>150</v>
      </c>
      <c r="J309" s="320">
        <f t="shared" si="21"/>
        <v>525</v>
      </c>
      <c r="K309" s="320">
        <f t="shared" si="22"/>
        <v>75</v>
      </c>
      <c r="L309" s="320">
        <f t="shared" si="23"/>
        <v>262.5</v>
      </c>
      <c r="M309" s="319"/>
    </row>
    <row r="310" spans="1:13" ht="22.5" customHeight="1">
      <c r="A310" s="254">
        <v>272</v>
      </c>
      <c r="B310" s="617" t="s">
        <v>2931</v>
      </c>
      <c r="C310" s="254" t="s">
        <v>2880</v>
      </c>
      <c r="D310" s="254" t="s">
        <v>2881</v>
      </c>
      <c r="E310" s="288">
        <v>4</v>
      </c>
      <c r="F310" s="289">
        <v>6</v>
      </c>
      <c r="G310" s="320">
        <f t="shared" si="18"/>
        <v>30</v>
      </c>
      <c r="H310" s="320">
        <f t="shared" si="19"/>
        <v>120</v>
      </c>
      <c r="I310" s="320">
        <f t="shared" si="20"/>
        <v>150</v>
      </c>
      <c r="J310" s="320">
        <f t="shared" si="21"/>
        <v>600</v>
      </c>
      <c r="K310" s="320">
        <f t="shared" si="22"/>
        <v>75</v>
      </c>
      <c r="L310" s="320">
        <f t="shared" si="23"/>
        <v>300</v>
      </c>
      <c r="M310" s="319"/>
    </row>
    <row r="311" spans="1:13" ht="22.5" customHeight="1">
      <c r="A311" s="254">
        <v>273</v>
      </c>
      <c r="B311" s="617" t="s">
        <v>2932</v>
      </c>
      <c r="C311" s="254" t="s">
        <v>2880</v>
      </c>
      <c r="D311" s="254" t="s">
        <v>2881</v>
      </c>
      <c r="E311" s="288">
        <v>4</v>
      </c>
      <c r="F311" s="289">
        <v>6</v>
      </c>
      <c r="G311" s="320">
        <f t="shared" si="18"/>
        <v>30</v>
      </c>
      <c r="H311" s="320">
        <f t="shared" si="19"/>
        <v>120</v>
      </c>
      <c r="I311" s="320">
        <f t="shared" si="20"/>
        <v>150</v>
      </c>
      <c r="J311" s="320">
        <f t="shared" si="21"/>
        <v>600</v>
      </c>
      <c r="K311" s="320">
        <f t="shared" si="22"/>
        <v>75</v>
      </c>
      <c r="L311" s="320">
        <f t="shared" si="23"/>
        <v>300</v>
      </c>
      <c r="M311" s="319"/>
    </row>
    <row r="312" spans="1:13" ht="22.5" customHeight="1">
      <c r="A312" s="254">
        <v>274</v>
      </c>
      <c r="B312" s="617" t="s">
        <v>2933</v>
      </c>
      <c r="C312" s="254" t="s">
        <v>2880</v>
      </c>
      <c r="D312" s="254" t="s">
        <v>2881</v>
      </c>
      <c r="E312" s="288">
        <v>4</v>
      </c>
      <c r="F312" s="289">
        <v>6</v>
      </c>
      <c r="G312" s="320">
        <f t="shared" si="18"/>
        <v>30</v>
      </c>
      <c r="H312" s="320">
        <f t="shared" si="19"/>
        <v>120</v>
      </c>
      <c r="I312" s="320">
        <f t="shared" si="20"/>
        <v>150</v>
      </c>
      <c r="J312" s="320">
        <f t="shared" si="21"/>
        <v>600</v>
      </c>
      <c r="K312" s="320">
        <f t="shared" si="22"/>
        <v>75</v>
      </c>
      <c r="L312" s="320">
        <f t="shared" si="23"/>
        <v>300</v>
      </c>
      <c r="M312" s="319"/>
    </row>
    <row r="313" spans="1:13" ht="22.5" customHeight="1">
      <c r="A313" s="254">
        <v>275</v>
      </c>
      <c r="B313" s="617" t="s">
        <v>2934</v>
      </c>
      <c r="C313" s="254" t="s">
        <v>2880</v>
      </c>
      <c r="D313" s="254" t="s">
        <v>2881</v>
      </c>
      <c r="E313" s="288">
        <v>4</v>
      </c>
      <c r="F313" s="289">
        <v>6</v>
      </c>
      <c r="G313" s="320">
        <f t="shared" si="18"/>
        <v>30</v>
      </c>
      <c r="H313" s="320">
        <f t="shared" si="19"/>
        <v>120</v>
      </c>
      <c r="I313" s="320">
        <f t="shared" si="20"/>
        <v>150</v>
      </c>
      <c r="J313" s="320">
        <f t="shared" si="21"/>
        <v>600</v>
      </c>
      <c r="K313" s="320">
        <f t="shared" si="22"/>
        <v>75</v>
      </c>
      <c r="L313" s="320">
        <f t="shared" si="23"/>
        <v>300</v>
      </c>
      <c r="M313" s="319"/>
    </row>
    <row r="314" spans="1:13" ht="22.5" customHeight="1">
      <c r="A314" s="254">
        <v>276</v>
      </c>
      <c r="B314" s="617" t="s">
        <v>2935</v>
      </c>
      <c r="C314" s="254" t="s">
        <v>2880</v>
      </c>
      <c r="D314" s="254" t="s">
        <v>2881</v>
      </c>
      <c r="E314" s="288">
        <v>4</v>
      </c>
      <c r="F314" s="289">
        <v>6</v>
      </c>
      <c r="G314" s="320">
        <f t="shared" si="18"/>
        <v>30</v>
      </c>
      <c r="H314" s="320">
        <f t="shared" si="19"/>
        <v>120</v>
      </c>
      <c r="I314" s="320">
        <f t="shared" si="20"/>
        <v>150</v>
      </c>
      <c r="J314" s="320">
        <f t="shared" si="21"/>
        <v>600</v>
      </c>
      <c r="K314" s="320">
        <f t="shared" si="22"/>
        <v>75</v>
      </c>
      <c r="L314" s="320">
        <f t="shared" si="23"/>
        <v>300</v>
      </c>
      <c r="M314" s="319"/>
    </row>
    <row r="315" spans="1:13" ht="22.5" customHeight="1">
      <c r="A315" s="254">
        <v>277</v>
      </c>
      <c r="B315" s="617" t="s">
        <v>2936</v>
      </c>
      <c r="C315" s="254" t="s">
        <v>2880</v>
      </c>
      <c r="D315" s="254" t="s">
        <v>2881</v>
      </c>
      <c r="E315" s="288">
        <v>4</v>
      </c>
      <c r="F315" s="289">
        <v>6</v>
      </c>
      <c r="G315" s="320">
        <f t="shared" si="18"/>
        <v>30</v>
      </c>
      <c r="H315" s="320">
        <f t="shared" si="19"/>
        <v>120</v>
      </c>
      <c r="I315" s="320">
        <f t="shared" si="20"/>
        <v>150</v>
      </c>
      <c r="J315" s="320">
        <f t="shared" si="21"/>
        <v>600</v>
      </c>
      <c r="K315" s="320">
        <f t="shared" si="22"/>
        <v>75</v>
      </c>
      <c r="L315" s="320">
        <f t="shared" si="23"/>
        <v>300</v>
      </c>
      <c r="M315" s="319"/>
    </row>
    <row r="316" spans="1:13" ht="22.5" customHeight="1">
      <c r="A316" s="254">
        <v>278</v>
      </c>
      <c r="B316" s="617" t="s">
        <v>2937</v>
      </c>
      <c r="C316" s="254" t="s">
        <v>2938</v>
      </c>
      <c r="D316" s="254" t="s">
        <v>2939</v>
      </c>
      <c r="E316" s="288">
        <v>4.7</v>
      </c>
      <c r="F316" s="289">
        <v>6</v>
      </c>
      <c r="G316" s="320">
        <f t="shared" si="18"/>
        <v>30</v>
      </c>
      <c r="H316" s="320">
        <f t="shared" si="19"/>
        <v>141</v>
      </c>
      <c r="I316" s="320">
        <f t="shared" si="20"/>
        <v>150</v>
      </c>
      <c r="J316" s="320">
        <f t="shared" si="21"/>
        <v>705</v>
      </c>
      <c r="K316" s="320">
        <f t="shared" si="22"/>
        <v>75</v>
      </c>
      <c r="L316" s="320">
        <f t="shared" si="23"/>
        <v>352.5</v>
      </c>
      <c r="M316" s="319"/>
    </row>
    <row r="317" spans="1:13" ht="22.5" customHeight="1">
      <c r="A317" s="254">
        <v>279</v>
      </c>
      <c r="B317" s="617" t="s">
        <v>2940</v>
      </c>
      <c r="C317" s="254" t="s">
        <v>2938</v>
      </c>
      <c r="D317" s="254" t="s">
        <v>2939</v>
      </c>
      <c r="E317" s="288">
        <v>4.7</v>
      </c>
      <c r="F317" s="289">
        <v>6</v>
      </c>
      <c r="G317" s="320">
        <f t="shared" si="18"/>
        <v>30</v>
      </c>
      <c r="H317" s="320">
        <f t="shared" si="19"/>
        <v>141</v>
      </c>
      <c r="I317" s="320">
        <f t="shared" si="20"/>
        <v>150</v>
      </c>
      <c r="J317" s="320">
        <f t="shared" si="21"/>
        <v>705</v>
      </c>
      <c r="K317" s="320">
        <f t="shared" si="22"/>
        <v>75</v>
      </c>
      <c r="L317" s="320">
        <f t="shared" si="23"/>
        <v>352.5</v>
      </c>
      <c r="M317" s="319"/>
    </row>
    <row r="318" spans="1:13" ht="22.5" customHeight="1">
      <c r="A318" s="254">
        <v>280</v>
      </c>
      <c r="B318" s="617" t="s">
        <v>2941</v>
      </c>
      <c r="C318" s="254" t="s">
        <v>2938</v>
      </c>
      <c r="D318" s="254" t="s">
        <v>2939</v>
      </c>
      <c r="E318" s="288">
        <v>4</v>
      </c>
      <c r="F318" s="289">
        <v>6</v>
      </c>
      <c r="G318" s="320">
        <f t="shared" si="18"/>
        <v>30</v>
      </c>
      <c r="H318" s="320">
        <f t="shared" si="19"/>
        <v>120</v>
      </c>
      <c r="I318" s="320">
        <f t="shared" si="20"/>
        <v>150</v>
      </c>
      <c r="J318" s="320">
        <f t="shared" si="21"/>
        <v>600</v>
      </c>
      <c r="K318" s="320">
        <f t="shared" si="22"/>
        <v>75</v>
      </c>
      <c r="L318" s="320">
        <f t="shared" si="23"/>
        <v>300</v>
      </c>
      <c r="M318" s="319"/>
    </row>
    <row r="319" spans="1:13" ht="22.5" customHeight="1">
      <c r="A319" s="254">
        <v>281</v>
      </c>
      <c r="B319" s="617" t="s">
        <v>2942</v>
      </c>
      <c r="C319" s="254" t="s">
        <v>2938</v>
      </c>
      <c r="D319" s="254" t="s">
        <v>2939</v>
      </c>
      <c r="E319" s="288">
        <v>4</v>
      </c>
      <c r="F319" s="289">
        <v>6</v>
      </c>
      <c r="G319" s="320">
        <f t="shared" si="18"/>
        <v>30</v>
      </c>
      <c r="H319" s="320">
        <f t="shared" si="19"/>
        <v>120</v>
      </c>
      <c r="I319" s="320">
        <f t="shared" si="20"/>
        <v>150</v>
      </c>
      <c r="J319" s="320">
        <f t="shared" si="21"/>
        <v>600</v>
      </c>
      <c r="K319" s="320">
        <f t="shared" si="22"/>
        <v>75</v>
      </c>
      <c r="L319" s="320">
        <f t="shared" si="23"/>
        <v>300</v>
      </c>
      <c r="M319" s="319"/>
    </row>
    <row r="320" spans="1:13" ht="22.5" customHeight="1">
      <c r="A320" s="254">
        <v>282</v>
      </c>
      <c r="B320" s="617" t="s">
        <v>2943</v>
      </c>
      <c r="C320" s="254" t="s">
        <v>2938</v>
      </c>
      <c r="D320" s="254" t="s">
        <v>2939</v>
      </c>
      <c r="E320" s="288">
        <v>4</v>
      </c>
      <c r="F320" s="289">
        <v>6</v>
      </c>
      <c r="G320" s="320">
        <f t="shared" si="18"/>
        <v>30</v>
      </c>
      <c r="H320" s="320">
        <f t="shared" si="19"/>
        <v>120</v>
      </c>
      <c r="I320" s="320">
        <f t="shared" si="20"/>
        <v>150</v>
      </c>
      <c r="J320" s="320">
        <f t="shared" si="21"/>
        <v>600</v>
      </c>
      <c r="K320" s="320">
        <f t="shared" si="22"/>
        <v>75</v>
      </c>
      <c r="L320" s="320">
        <f t="shared" si="23"/>
        <v>300</v>
      </c>
      <c r="M320" s="319"/>
    </row>
    <row r="321" spans="1:13" ht="22.5" customHeight="1">
      <c r="A321" s="254">
        <v>283</v>
      </c>
      <c r="B321" s="617" t="s">
        <v>2944</v>
      </c>
      <c r="C321" s="254" t="s">
        <v>2938</v>
      </c>
      <c r="D321" s="319" t="s">
        <v>2939</v>
      </c>
      <c r="E321" s="288">
        <v>4</v>
      </c>
      <c r="F321" s="289">
        <v>6</v>
      </c>
      <c r="G321" s="320">
        <f t="shared" si="18"/>
        <v>30</v>
      </c>
      <c r="H321" s="320">
        <f t="shared" si="19"/>
        <v>120</v>
      </c>
      <c r="I321" s="320">
        <f t="shared" si="20"/>
        <v>150</v>
      </c>
      <c r="J321" s="320">
        <f t="shared" si="21"/>
        <v>600</v>
      </c>
      <c r="K321" s="320">
        <f t="shared" si="22"/>
        <v>75</v>
      </c>
      <c r="L321" s="320">
        <f t="shared" si="23"/>
        <v>300</v>
      </c>
      <c r="M321" s="319"/>
    </row>
    <row r="322" spans="1:13" ht="22.5" customHeight="1">
      <c r="A322" s="254">
        <v>284</v>
      </c>
      <c r="B322" s="617" t="s">
        <v>2945</v>
      </c>
      <c r="C322" s="254" t="s">
        <v>2938</v>
      </c>
      <c r="D322" s="319" t="s">
        <v>2939</v>
      </c>
      <c r="E322" s="288">
        <v>4</v>
      </c>
      <c r="F322" s="289">
        <v>6</v>
      </c>
      <c r="G322" s="320">
        <f t="shared" si="18"/>
        <v>30</v>
      </c>
      <c r="H322" s="320">
        <f t="shared" si="19"/>
        <v>120</v>
      </c>
      <c r="I322" s="320">
        <f t="shared" si="20"/>
        <v>150</v>
      </c>
      <c r="J322" s="320">
        <f t="shared" si="21"/>
        <v>600</v>
      </c>
      <c r="K322" s="320">
        <f t="shared" si="22"/>
        <v>75</v>
      </c>
      <c r="L322" s="320">
        <f t="shared" si="23"/>
        <v>300</v>
      </c>
      <c r="M322" s="319"/>
    </row>
    <row r="323" spans="1:13" ht="22.5" customHeight="1">
      <c r="A323" s="254">
        <v>285</v>
      </c>
      <c r="B323" s="617" t="s">
        <v>2946</v>
      </c>
      <c r="C323" s="254" t="s">
        <v>2947</v>
      </c>
      <c r="D323" s="254" t="s">
        <v>2948</v>
      </c>
      <c r="E323" s="288">
        <v>3.2</v>
      </c>
      <c r="F323" s="289">
        <v>6</v>
      </c>
      <c r="G323" s="320">
        <f t="shared" si="18"/>
        <v>30</v>
      </c>
      <c r="H323" s="320">
        <f t="shared" si="19"/>
        <v>96</v>
      </c>
      <c r="I323" s="320">
        <f t="shared" si="20"/>
        <v>150</v>
      </c>
      <c r="J323" s="320">
        <f t="shared" si="21"/>
        <v>480</v>
      </c>
      <c r="K323" s="320">
        <f t="shared" si="22"/>
        <v>75</v>
      </c>
      <c r="L323" s="320">
        <f t="shared" si="23"/>
        <v>240</v>
      </c>
      <c r="M323" s="319"/>
    </row>
    <row r="324" spans="1:13" ht="22.5" customHeight="1">
      <c r="A324" s="254">
        <v>286</v>
      </c>
      <c r="B324" s="617" t="s">
        <v>2949</v>
      </c>
      <c r="C324" s="254" t="s">
        <v>2947</v>
      </c>
      <c r="D324" s="254" t="s">
        <v>2948</v>
      </c>
      <c r="E324" s="288">
        <v>3.2</v>
      </c>
      <c r="F324" s="289">
        <v>6</v>
      </c>
      <c r="G324" s="320">
        <f t="shared" si="18"/>
        <v>30</v>
      </c>
      <c r="H324" s="320">
        <f t="shared" si="19"/>
        <v>96</v>
      </c>
      <c r="I324" s="320">
        <f t="shared" si="20"/>
        <v>150</v>
      </c>
      <c r="J324" s="320">
        <f t="shared" si="21"/>
        <v>480</v>
      </c>
      <c r="K324" s="320">
        <f t="shared" si="22"/>
        <v>75</v>
      </c>
      <c r="L324" s="320">
        <f t="shared" si="23"/>
        <v>240</v>
      </c>
      <c r="M324" s="319"/>
    </row>
    <row r="325" spans="1:13" ht="22.5" customHeight="1">
      <c r="A325" s="254">
        <v>287</v>
      </c>
      <c r="B325" s="617" t="s">
        <v>2950</v>
      </c>
      <c r="C325" s="254" t="s">
        <v>2947</v>
      </c>
      <c r="D325" s="254" t="s">
        <v>2948</v>
      </c>
      <c r="E325" s="288">
        <v>4</v>
      </c>
      <c r="F325" s="289">
        <v>6</v>
      </c>
      <c r="G325" s="320">
        <f t="shared" si="18"/>
        <v>30</v>
      </c>
      <c r="H325" s="320">
        <f t="shared" si="19"/>
        <v>120</v>
      </c>
      <c r="I325" s="320">
        <f t="shared" si="20"/>
        <v>150</v>
      </c>
      <c r="J325" s="320">
        <f t="shared" si="21"/>
        <v>600</v>
      </c>
      <c r="K325" s="320">
        <f t="shared" si="22"/>
        <v>75</v>
      </c>
      <c r="L325" s="320">
        <f t="shared" si="23"/>
        <v>300</v>
      </c>
      <c r="M325" s="319"/>
    </row>
    <row r="326" spans="1:13" ht="22.5" customHeight="1">
      <c r="A326" s="254">
        <v>288</v>
      </c>
      <c r="B326" s="617" t="s">
        <v>2951</v>
      </c>
      <c r="C326" s="254" t="s">
        <v>2947</v>
      </c>
      <c r="D326" s="254" t="s">
        <v>2948</v>
      </c>
      <c r="E326" s="288">
        <v>4</v>
      </c>
      <c r="F326" s="289">
        <v>6</v>
      </c>
      <c r="G326" s="320">
        <f t="shared" si="18"/>
        <v>30</v>
      </c>
      <c r="H326" s="320">
        <f t="shared" si="19"/>
        <v>120</v>
      </c>
      <c r="I326" s="320">
        <f t="shared" si="20"/>
        <v>150</v>
      </c>
      <c r="J326" s="320">
        <f t="shared" si="21"/>
        <v>600</v>
      </c>
      <c r="K326" s="320">
        <f t="shared" si="22"/>
        <v>75</v>
      </c>
      <c r="L326" s="320">
        <f t="shared" si="23"/>
        <v>300</v>
      </c>
      <c r="M326" s="319"/>
    </row>
    <row r="327" spans="1:13" ht="22.5" customHeight="1">
      <c r="A327" s="254">
        <v>289</v>
      </c>
      <c r="B327" s="617" t="s">
        <v>2952</v>
      </c>
      <c r="C327" s="254" t="s">
        <v>2947</v>
      </c>
      <c r="D327" s="254" t="s">
        <v>2948</v>
      </c>
      <c r="E327" s="288">
        <v>4</v>
      </c>
      <c r="F327" s="289">
        <v>6</v>
      </c>
      <c r="G327" s="320">
        <f t="shared" si="18"/>
        <v>30</v>
      </c>
      <c r="H327" s="320">
        <f t="shared" si="19"/>
        <v>120</v>
      </c>
      <c r="I327" s="320">
        <f t="shared" si="20"/>
        <v>150</v>
      </c>
      <c r="J327" s="320">
        <f t="shared" si="21"/>
        <v>600</v>
      </c>
      <c r="K327" s="320">
        <f t="shared" si="22"/>
        <v>75</v>
      </c>
      <c r="L327" s="320">
        <f t="shared" si="23"/>
        <v>300</v>
      </c>
      <c r="M327" s="319"/>
    </row>
    <row r="328" spans="1:13" ht="22.5" customHeight="1">
      <c r="A328" s="254">
        <v>290</v>
      </c>
      <c r="B328" s="617" t="s">
        <v>2953</v>
      </c>
      <c r="C328" s="254" t="s">
        <v>2947</v>
      </c>
      <c r="D328" s="254" t="s">
        <v>2948</v>
      </c>
      <c r="E328" s="288">
        <v>4</v>
      </c>
      <c r="F328" s="289">
        <v>6</v>
      </c>
      <c r="G328" s="320">
        <f t="shared" si="18"/>
        <v>30</v>
      </c>
      <c r="H328" s="320">
        <f t="shared" si="19"/>
        <v>120</v>
      </c>
      <c r="I328" s="320">
        <f t="shared" si="20"/>
        <v>150</v>
      </c>
      <c r="J328" s="320">
        <f t="shared" si="21"/>
        <v>600</v>
      </c>
      <c r="K328" s="320">
        <f t="shared" si="22"/>
        <v>75</v>
      </c>
      <c r="L328" s="320">
        <f t="shared" si="23"/>
        <v>300</v>
      </c>
      <c r="M328" s="319"/>
    </row>
    <row r="329" spans="1:13" ht="22.5" customHeight="1">
      <c r="A329" s="313"/>
      <c r="B329" s="619">
        <f>COUNTA(B259:B328)</f>
        <v>70</v>
      </c>
      <c r="C329" s="611"/>
      <c r="D329" s="611"/>
      <c r="E329" s="312">
        <f>SUM(E259:E328)</f>
        <v>329.99999999999994</v>
      </c>
      <c r="F329" s="323"/>
      <c r="G329" s="315"/>
      <c r="H329" s="323">
        <f>SUM(H259:H328)</f>
        <v>9900</v>
      </c>
      <c r="I329" s="604"/>
      <c r="J329" s="604"/>
      <c r="K329" s="604"/>
      <c r="L329" s="604"/>
      <c r="M329" s="604"/>
    </row>
  </sheetData>
  <mergeCells count="26">
    <mergeCell ref="A11:M11"/>
    <mergeCell ref="A157:M157"/>
    <mergeCell ref="A257:M257"/>
    <mergeCell ref="F7:G7"/>
    <mergeCell ref="F8:G8"/>
    <mergeCell ref="A56:B56"/>
    <mergeCell ref="A59:M59"/>
    <mergeCell ref="A111:B111"/>
    <mergeCell ref="A115:M115"/>
    <mergeCell ref="A151:B151"/>
    <mergeCell ref="A6:C6"/>
    <mergeCell ref="F6:G6"/>
    <mergeCell ref="A7:C7"/>
    <mergeCell ref="I7:J8"/>
    <mergeCell ref="K7:L8"/>
    <mergeCell ref="I2:M3"/>
    <mergeCell ref="A3:C3"/>
    <mergeCell ref="A4:C4"/>
    <mergeCell ref="A5:C5"/>
    <mergeCell ref="F5:G5"/>
    <mergeCell ref="F3:G3"/>
    <mergeCell ref="F4:G4"/>
    <mergeCell ref="A1:D1"/>
    <mergeCell ref="F1:H1"/>
    <mergeCell ref="A2:C2"/>
    <mergeCell ref="F2:G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outlinePr summaryBelow="0" summaryRight="0"/>
  </sheetPr>
  <dimension ref="A4:G9"/>
  <sheetViews>
    <sheetView workbookViewId="0"/>
  </sheetViews>
  <sheetFormatPr defaultColWidth="12.6640625" defaultRowHeight="15.75" customHeight="1"/>
  <cols>
    <col min="1" max="1" width="24.6640625" customWidth="1"/>
    <col min="5" max="5" width="13.109375" customWidth="1"/>
    <col min="7" max="7" width="17.33203125" customWidth="1"/>
  </cols>
  <sheetData>
    <row r="4" spans="1:7" ht="13.2">
      <c r="A4" s="985" t="s">
        <v>49</v>
      </c>
      <c r="B4" s="931"/>
      <c r="C4" s="931"/>
      <c r="D4" s="931"/>
      <c r="E4" s="931"/>
      <c r="F4" s="931"/>
      <c r="G4" s="932"/>
    </row>
    <row r="5" spans="1:7" ht="39.75" customHeight="1">
      <c r="A5" s="621" t="s">
        <v>2</v>
      </c>
      <c r="B5" s="622" t="s">
        <v>2954</v>
      </c>
      <c r="C5" s="622" t="s">
        <v>99</v>
      </c>
      <c r="D5" s="622" t="s">
        <v>160</v>
      </c>
      <c r="E5" s="623" t="s">
        <v>27</v>
      </c>
      <c r="F5" s="624" t="s">
        <v>2955</v>
      </c>
      <c r="G5" s="625" t="s">
        <v>318</v>
      </c>
    </row>
    <row r="6" spans="1:7" ht="17.399999999999999">
      <c r="A6" s="626" t="s">
        <v>50</v>
      </c>
      <c r="B6" s="627">
        <f>'LACE - ALL'!E56</f>
        <v>213.1</v>
      </c>
      <c r="C6" s="628">
        <f t="shared" ref="C6:C8" si="0">D6+E6+F6</f>
        <v>43</v>
      </c>
      <c r="D6" s="629"/>
      <c r="E6" s="630">
        <v>0</v>
      </c>
      <c r="F6" s="626">
        <f>COUNTA('LACE - ALL'!B13:B55)</f>
        <v>43</v>
      </c>
      <c r="G6" s="631"/>
    </row>
    <row r="7" spans="1:7" ht="17.399999999999999">
      <c r="A7" s="632" t="s">
        <v>51</v>
      </c>
      <c r="B7" s="627">
        <f>'LACE - ALL'!E111</f>
        <v>238.39999999999992</v>
      </c>
      <c r="C7" s="626">
        <f t="shared" si="0"/>
        <v>50</v>
      </c>
      <c r="D7" s="629"/>
      <c r="E7" s="629"/>
      <c r="F7" s="626">
        <f>COUNTA('LACE - ALL'!B61:B110)</f>
        <v>50</v>
      </c>
      <c r="G7" s="631"/>
    </row>
    <row r="8" spans="1:7" ht="17.399999999999999">
      <c r="A8" s="632" t="s">
        <v>52</v>
      </c>
      <c r="B8" s="633">
        <f>'LACE - ALL'!E151</f>
        <v>156.80000000000001</v>
      </c>
      <c r="C8" s="626">
        <f t="shared" si="0"/>
        <v>34</v>
      </c>
      <c r="D8" s="629"/>
      <c r="E8" s="629"/>
      <c r="F8" s="626">
        <f>COUNTA('LACE - ALL'!B117:B150)</f>
        <v>34</v>
      </c>
      <c r="G8" s="631"/>
    </row>
    <row r="9" spans="1:7" ht="17.399999999999999">
      <c r="A9" s="634" t="s">
        <v>48</v>
      </c>
      <c r="B9" s="634"/>
      <c r="C9" s="634">
        <f>SUM(C4:C8)</f>
        <v>127</v>
      </c>
      <c r="D9" s="635">
        <f>SUM(D6:D8)</f>
        <v>0</v>
      </c>
      <c r="E9" s="636">
        <f>SUM(E6:F8)</f>
        <v>127</v>
      </c>
      <c r="F9" s="634">
        <f>SUM(F6:F8)</f>
        <v>127</v>
      </c>
      <c r="G9" s="637">
        <f>SUM(G6:G8)</f>
        <v>0</v>
      </c>
    </row>
  </sheetData>
  <mergeCells count="1">
    <mergeCell ref="A4:G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outlinePr summaryBelow="0" summaryRight="0"/>
  </sheetPr>
  <dimension ref="A1:M61"/>
  <sheetViews>
    <sheetView workbookViewId="0"/>
  </sheetViews>
  <sheetFormatPr defaultColWidth="12.6640625" defaultRowHeight="15.75" customHeight="1"/>
  <cols>
    <col min="1" max="1" width="6" customWidth="1"/>
    <col min="2" max="2" width="19.109375" customWidth="1"/>
    <col min="3" max="3" width="18.88671875" customWidth="1"/>
    <col min="4" max="4" width="9.77734375" customWidth="1"/>
    <col min="5" max="5" width="12.88671875" customWidth="1"/>
    <col min="7" max="7" width="17.33203125" customWidth="1"/>
    <col min="10" max="10" width="13.44140625" customWidth="1"/>
    <col min="12" max="12" width="13.21875" customWidth="1"/>
  </cols>
  <sheetData>
    <row r="1" spans="1:13" ht="18">
      <c r="A1" s="971" t="s">
        <v>146</v>
      </c>
      <c r="B1" s="931"/>
      <c r="C1" s="931"/>
      <c r="D1" s="932"/>
      <c r="E1" s="516"/>
      <c r="F1" s="971" t="s">
        <v>147</v>
      </c>
      <c r="G1" s="931"/>
      <c r="H1" s="932"/>
      <c r="I1" s="638"/>
      <c r="J1" s="638"/>
      <c r="K1" s="638"/>
      <c r="L1" s="638"/>
      <c r="M1" s="638"/>
    </row>
    <row r="2" spans="1:13" ht="18">
      <c r="A2" s="971" t="s">
        <v>148</v>
      </c>
      <c r="B2" s="931"/>
      <c r="C2" s="932"/>
      <c r="D2" s="530" t="s">
        <v>149</v>
      </c>
      <c r="E2" s="516"/>
      <c r="F2" s="972" t="s">
        <v>150</v>
      </c>
      <c r="G2" s="932"/>
      <c r="H2" s="519"/>
      <c r="I2" s="986" t="s">
        <v>2956</v>
      </c>
      <c r="J2" s="929"/>
      <c r="K2" s="929"/>
      <c r="L2" s="929"/>
      <c r="M2" s="929"/>
    </row>
    <row r="3" spans="1:13" ht="36">
      <c r="A3" s="976" t="s">
        <v>26</v>
      </c>
      <c r="B3" s="931"/>
      <c r="C3" s="932"/>
      <c r="D3" s="596" t="s">
        <v>152</v>
      </c>
      <c r="E3" s="516"/>
      <c r="F3" s="971" t="s">
        <v>153</v>
      </c>
      <c r="G3" s="932"/>
      <c r="H3" s="520" t="s">
        <v>2957</v>
      </c>
      <c r="I3" s="929"/>
      <c r="J3" s="929"/>
      <c r="K3" s="929"/>
      <c r="L3" s="929"/>
      <c r="M3" s="929"/>
    </row>
    <row r="4" spans="1:13" ht="18">
      <c r="A4" s="976"/>
      <c r="B4" s="931"/>
      <c r="C4" s="932"/>
      <c r="D4" s="639"/>
      <c r="E4" s="516"/>
      <c r="F4" s="976" t="s">
        <v>156</v>
      </c>
      <c r="G4" s="932"/>
      <c r="H4" s="519"/>
      <c r="I4" s="638"/>
      <c r="J4" s="638"/>
      <c r="K4" s="638"/>
      <c r="L4" s="638"/>
      <c r="M4" s="638"/>
    </row>
    <row r="5" spans="1:13" ht="18">
      <c r="A5" s="976" t="s">
        <v>27</v>
      </c>
      <c r="B5" s="931"/>
      <c r="C5" s="932"/>
      <c r="D5" s="639"/>
      <c r="E5" s="516"/>
      <c r="F5" s="976" t="s">
        <v>158</v>
      </c>
      <c r="G5" s="932"/>
      <c r="H5" s="516"/>
      <c r="I5" s="987" t="s">
        <v>159</v>
      </c>
      <c r="J5" s="964"/>
      <c r="K5" s="988">
        <f>G18+G30+G40</f>
        <v>3405.5</v>
      </c>
      <c r="L5" s="964"/>
      <c r="M5" s="516"/>
    </row>
    <row r="6" spans="1:13" ht="18">
      <c r="A6" s="976" t="s">
        <v>160</v>
      </c>
      <c r="B6" s="931"/>
      <c r="C6" s="932"/>
      <c r="D6" s="639"/>
      <c r="E6" s="523"/>
      <c r="F6" s="976" t="s">
        <v>161</v>
      </c>
      <c r="G6" s="932"/>
      <c r="H6" s="516"/>
      <c r="I6" s="967"/>
      <c r="J6" s="968"/>
      <c r="K6" s="967"/>
      <c r="L6" s="968"/>
      <c r="M6" s="516"/>
    </row>
    <row r="7" spans="1:13" ht="18">
      <c r="A7" s="972" t="s">
        <v>162</v>
      </c>
      <c r="B7" s="931"/>
      <c r="C7" s="932"/>
      <c r="D7" s="598">
        <f>D3-(D4+D5+D6)</f>
        <v>1058</v>
      </c>
      <c r="E7" s="523"/>
      <c r="F7" s="976" t="s">
        <v>163</v>
      </c>
      <c r="G7" s="932"/>
      <c r="H7" s="516"/>
      <c r="I7" s="516"/>
      <c r="J7" s="516"/>
      <c r="K7" s="516"/>
      <c r="L7" s="516"/>
      <c r="M7" s="516"/>
    </row>
    <row r="8" spans="1:13" ht="18">
      <c r="A8" s="516"/>
      <c r="B8" s="516"/>
      <c r="C8" s="516"/>
      <c r="D8" s="516"/>
      <c r="E8" s="523"/>
      <c r="F8" s="976" t="s">
        <v>164</v>
      </c>
      <c r="G8" s="932"/>
      <c r="H8" s="516"/>
      <c r="I8" s="516"/>
      <c r="J8" s="516"/>
      <c r="K8" s="516"/>
      <c r="L8" s="516"/>
      <c r="M8" s="516"/>
    </row>
    <row r="9" spans="1:13" ht="18">
      <c r="A9" s="516"/>
      <c r="B9" s="527"/>
      <c r="C9" s="527"/>
      <c r="D9" s="528"/>
      <c r="E9" s="528"/>
      <c r="F9" s="516"/>
      <c r="G9" s="529"/>
      <c r="H9" s="516"/>
      <c r="I9" s="516"/>
      <c r="J9" s="516"/>
      <c r="K9" s="516"/>
      <c r="L9" s="516"/>
      <c r="M9" s="516"/>
    </row>
    <row r="10" spans="1:13" ht="18">
      <c r="A10" s="516"/>
      <c r="B10" s="516"/>
      <c r="C10" s="516"/>
      <c r="D10" s="516"/>
      <c r="E10" s="516"/>
      <c r="F10" s="516"/>
      <c r="G10" s="516"/>
      <c r="H10" s="516"/>
      <c r="I10" s="516"/>
      <c r="J10" s="516"/>
      <c r="K10" s="516"/>
      <c r="L10" s="516"/>
      <c r="M10" s="516"/>
    </row>
    <row r="11" spans="1:13" ht="13.2">
      <c r="A11" s="972" t="s">
        <v>2958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2"/>
    </row>
    <row r="12" spans="1:13" ht="22.5" customHeight="1">
      <c r="A12" s="599" t="s">
        <v>165</v>
      </c>
      <c r="B12" s="599" t="s">
        <v>166</v>
      </c>
      <c r="C12" s="255" t="s">
        <v>167</v>
      </c>
      <c r="D12" s="599" t="s">
        <v>168</v>
      </c>
      <c r="E12" s="599" t="s">
        <v>2461</v>
      </c>
      <c r="F12" s="311" t="s">
        <v>2959</v>
      </c>
      <c r="G12" s="316" t="s">
        <v>2960</v>
      </c>
      <c r="H12" s="316" t="s">
        <v>2961</v>
      </c>
      <c r="I12" s="253" t="s">
        <v>2962</v>
      </c>
      <c r="J12" s="253" t="s">
        <v>2963</v>
      </c>
      <c r="K12" s="253" t="s">
        <v>2964</v>
      </c>
      <c r="L12" s="253" t="s">
        <v>2965</v>
      </c>
      <c r="M12" s="287" t="s">
        <v>177</v>
      </c>
    </row>
    <row r="13" spans="1:13" ht="22.5" customHeight="1">
      <c r="A13" s="254">
        <v>1</v>
      </c>
      <c r="B13" s="294" t="s">
        <v>2966</v>
      </c>
      <c r="C13" s="319" t="s">
        <v>2470</v>
      </c>
      <c r="D13" s="254" t="s">
        <v>2474</v>
      </c>
      <c r="E13" s="602">
        <v>4.7</v>
      </c>
      <c r="F13" s="289">
        <v>30</v>
      </c>
      <c r="G13" s="640">
        <f t="shared" ref="G13:G15" si="0">F13*5</f>
        <v>150</v>
      </c>
      <c r="H13" s="640">
        <f t="shared" ref="H13:H15" si="1">G13*E13</f>
        <v>705</v>
      </c>
      <c r="I13" s="640">
        <f t="shared" ref="I13:I15" si="2">G13*5</f>
        <v>750</v>
      </c>
      <c r="J13" s="640">
        <f t="shared" ref="J13:J15" si="3">I13*E13</f>
        <v>3525</v>
      </c>
      <c r="K13" s="640">
        <v>459</v>
      </c>
      <c r="L13" s="640">
        <f t="shared" ref="L13:L15" si="4">K13*E13</f>
        <v>2157.3000000000002</v>
      </c>
      <c r="M13" s="254" t="s">
        <v>1724</v>
      </c>
    </row>
    <row r="14" spans="1:13" ht="22.5" customHeight="1">
      <c r="A14" s="254">
        <v>2</v>
      </c>
      <c r="B14" s="294" t="s">
        <v>2967</v>
      </c>
      <c r="C14" s="319" t="s">
        <v>2470</v>
      </c>
      <c r="D14" s="254" t="s">
        <v>2968</v>
      </c>
      <c r="E14" s="602">
        <v>4.7</v>
      </c>
      <c r="F14" s="289">
        <v>30</v>
      </c>
      <c r="G14" s="640">
        <f t="shared" si="0"/>
        <v>150</v>
      </c>
      <c r="H14" s="640">
        <f t="shared" si="1"/>
        <v>705</v>
      </c>
      <c r="I14" s="640">
        <f t="shared" si="2"/>
        <v>750</v>
      </c>
      <c r="J14" s="640">
        <f t="shared" si="3"/>
        <v>3525</v>
      </c>
      <c r="K14" s="640">
        <v>459</v>
      </c>
      <c r="L14" s="640">
        <f t="shared" si="4"/>
        <v>2157.3000000000002</v>
      </c>
      <c r="M14" s="254" t="s">
        <v>1724</v>
      </c>
    </row>
    <row r="15" spans="1:13" ht="22.5" customHeight="1">
      <c r="A15" s="254">
        <v>3</v>
      </c>
      <c r="B15" s="291" t="s">
        <v>2969</v>
      </c>
      <c r="C15" s="254" t="s">
        <v>2470</v>
      </c>
      <c r="D15" s="641" t="s">
        <v>2594</v>
      </c>
      <c r="E15" s="602">
        <v>5</v>
      </c>
      <c r="F15" s="289">
        <v>30</v>
      </c>
      <c r="G15" s="640">
        <f t="shared" si="0"/>
        <v>150</v>
      </c>
      <c r="H15" s="640">
        <f t="shared" si="1"/>
        <v>750</v>
      </c>
      <c r="I15" s="640">
        <f t="shared" si="2"/>
        <v>750</v>
      </c>
      <c r="J15" s="640">
        <f t="shared" si="3"/>
        <v>3750</v>
      </c>
      <c r="K15" s="640">
        <f>I15/2</f>
        <v>375</v>
      </c>
      <c r="L15" s="640">
        <f t="shared" si="4"/>
        <v>1875</v>
      </c>
      <c r="M15" s="254" t="s">
        <v>1724</v>
      </c>
    </row>
    <row r="16" spans="1:13" ht="22.5" customHeight="1">
      <c r="A16" s="254">
        <v>4</v>
      </c>
      <c r="B16" s="291"/>
      <c r="C16" s="254"/>
      <c r="D16" s="254"/>
      <c r="E16" s="602"/>
      <c r="F16" s="289"/>
      <c r="G16" s="640"/>
      <c r="H16" s="640"/>
      <c r="I16" s="640"/>
      <c r="J16" s="640"/>
      <c r="K16" s="640"/>
      <c r="L16" s="640"/>
      <c r="M16" s="254" t="s">
        <v>1724</v>
      </c>
    </row>
    <row r="17" spans="1:13" ht="22.5" customHeight="1">
      <c r="A17" s="254">
        <v>5</v>
      </c>
      <c r="B17" s="291"/>
      <c r="C17" s="254"/>
      <c r="D17" s="254"/>
      <c r="E17" s="602"/>
      <c r="F17" s="289"/>
      <c r="G17" s="640"/>
      <c r="H17" s="640"/>
      <c r="I17" s="640"/>
      <c r="J17" s="640"/>
      <c r="K17" s="640"/>
      <c r="L17" s="640"/>
      <c r="M17" s="254"/>
    </row>
    <row r="18" spans="1:13" ht="22.5" customHeight="1">
      <c r="A18" s="936" t="s">
        <v>318</v>
      </c>
      <c r="B18" s="932"/>
      <c r="C18" s="311">
        <f t="array" ref="C18">COUNTA(C13:INDEX(C:C,ROW()-1))</f>
        <v>3</v>
      </c>
      <c r="D18" s="313"/>
      <c r="E18" s="642">
        <f>SUM(E13:E17)</f>
        <v>14.4</v>
      </c>
      <c r="F18" s="313"/>
      <c r="G18" s="989">
        <f>SUBTOTAL(9,H13:H17)</f>
        <v>2160</v>
      </c>
      <c r="H18" s="932"/>
      <c r="I18" s="643"/>
      <c r="J18" s="313"/>
      <c r="K18" s="313"/>
      <c r="L18" s="313"/>
      <c r="M18" s="313"/>
    </row>
    <row r="19" spans="1:13" ht="18">
      <c r="A19" s="516"/>
      <c r="B19" s="516"/>
      <c r="C19" s="516"/>
      <c r="D19" s="516"/>
      <c r="E19" s="516"/>
      <c r="F19" s="516"/>
      <c r="G19" s="516"/>
      <c r="H19" s="516"/>
      <c r="I19" s="516"/>
      <c r="J19" s="516"/>
      <c r="K19" s="516"/>
      <c r="L19" s="516"/>
      <c r="M19" s="516"/>
    </row>
    <row r="20" spans="1:13" ht="18">
      <c r="A20" s="516"/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</row>
    <row r="21" spans="1:13" ht="18">
      <c r="A21" s="516"/>
      <c r="B21" s="516"/>
      <c r="C21" s="516"/>
      <c r="D21" s="516"/>
      <c r="E21" s="516"/>
      <c r="F21" s="516"/>
      <c r="G21" s="516"/>
      <c r="H21" s="516"/>
      <c r="I21" s="516"/>
      <c r="J21" s="516"/>
      <c r="K21" s="516"/>
      <c r="L21" s="516"/>
      <c r="M21" s="516"/>
    </row>
    <row r="22" spans="1:13" ht="18">
      <c r="A22" s="516"/>
      <c r="B22" s="516"/>
      <c r="C22" s="516"/>
      <c r="D22" s="516"/>
      <c r="E22" s="516"/>
      <c r="F22" s="516"/>
      <c r="G22" s="516"/>
      <c r="H22" s="516"/>
      <c r="I22" s="516"/>
      <c r="J22" s="516"/>
      <c r="K22" s="516"/>
      <c r="L22" s="516"/>
      <c r="M22" s="516"/>
    </row>
    <row r="23" spans="1:13" ht="13.2">
      <c r="A23" s="972" t="s">
        <v>2970</v>
      </c>
      <c r="B23" s="931"/>
      <c r="C23" s="931"/>
      <c r="D23" s="931"/>
      <c r="E23" s="931"/>
      <c r="F23" s="931"/>
      <c r="G23" s="931"/>
      <c r="H23" s="931"/>
      <c r="I23" s="931"/>
      <c r="J23" s="931"/>
      <c r="K23" s="931"/>
      <c r="L23" s="931"/>
      <c r="M23" s="932"/>
    </row>
    <row r="24" spans="1:13" ht="22.5" customHeight="1">
      <c r="A24" s="644" t="s">
        <v>165</v>
      </c>
      <c r="B24" s="644" t="s">
        <v>166</v>
      </c>
      <c r="C24" s="572" t="s">
        <v>167</v>
      </c>
      <c r="D24" s="644" t="s">
        <v>168</v>
      </c>
      <c r="E24" s="572" t="s">
        <v>169</v>
      </c>
      <c r="F24" s="311" t="s">
        <v>2971</v>
      </c>
      <c r="G24" s="316" t="s">
        <v>2972</v>
      </c>
      <c r="H24" s="316" t="s">
        <v>2973</v>
      </c>
      <c r="I24" s="253" t="s">
        <v>2974</v>
      </c>
      <c r="J24" s="253" t="s">
        <v>2975</v>
      </c>
      <c r="K24" s="253" t="s">
        <v>2976</v>
      </c>
      <c r="L24" s="253" t="s">
        <v>2977</v>
      </c>
      <c r="M24" s="287" t="s">
        <v>177</v>
      </c>
    </row>
    <row r="25" spans="1:13" ht="22.5" customHeight="1">
      <c r="A25" s="645">
        <v>1</v>
      </c>
      <c r="B25" s="646" t="s">
        <v>2596</v>
      </c>
      <c r="C25" s="645" t="s">
        <v>2590</v>
      </c>
      <c r="D25" s="645" t="s">
        <v>2597</v>
      </c>
      <c r="E25" s="647">
        <v>4.7</v>
      </c>
      <c r="F25" s="648">
        <v>53</v>
      </c>
      <c r="G25" s="649">
        <f t="shared" ref="G25:G29" si="5">F25*5</f>
        <v>265</v>
      </c>
      <c r="H25" s="649">
        <f t="shared" ref="H25:H29" si="6">G25*E25</f>
        <v>1245.5</v>
      </c>
      <c r="I25" s="649">
        <f t="shared" ref="I25:I29" si="7">G25*5</f>
        <v>1325</v>
      </c>
      <c r="J25" s="649">
        <f t="shared" ref="J25:J29" si="8">I25*E25</f>
        <v>6227.5</v>
      </c>
      <c r="K25" s="649">
        <f t="shared" ref="K25:K29" si="9">I25/2</f>
        <v>662.5</v>
      </c>
      <c r="L25" s="649">
        <f t="shared" ref="L25:L29" si="10">K25*E25</f>
        <v>3113.75</v>
      </c>
      <c r="M25" s="645"/>
    </row>
    <row r="26" spans="1:13" ht="22.5" customHeight="1">
      <c r="A26" s="645">
        <v>2</v>
      </c>
      <c r="B26" s="646"/>
      <c r="C26" s="645"/>
      <c r="D26" s="645"/>
      <c r="E26" s="650"/>
      <c r="F26" s="648"/>
      <c r="G26" s="649">
        <f t="shared" si="5"/>
        <v>0</v>
      </c>
      <c r="H26" s="649">
        <f t="shared" si="6"/>
        <v>0</v>
      </c>
      <c r="I26" s="649">
        <f t="shared" si="7"/>
        <v>0</v>
      </c>
      <c r="J26" s="649">
        <f t="shared" si="8"/>
        <v>0</v>
      </c>
      <c r="K26" s="649">
        <f t="shared" si="9"/>
        <v>0</v>
      </c>
      <c r="L26" s="649">
        <f t="shared" si="10"/>
        <v>0</v>
      </c>
      <c r="M26" s="645"/>
    </row>
    <row r="27" spans="1:13" ht="22.5" customHeight="1">
      <c r="A27" s="645">
        <v>3</v>
      </c>
      <c r="B27" s="646"/>
      <c r="C27" s="645"/>
      <c r="D27" s="651"/>
      <c r="E27" s="650"/>
      <c r="F27" s="648"/>
      <c r="G27" s="649">
        <f t="shared" si="5"/>
        <v>0</v>
      </c>
      <c r="H27" s="649">
        <f t="shared" si="6"/>
        <v>0</v>
      </c>
      <c r="I27" s="649">
        <f t="shared" si="7"/>
        <v>0</v>
      </c>
      <c r="J27" s="649">
        <f t="shared" si="8"/>
        <v>0</v>
      </c>
      <c r="K27" s="649">
        <f t="shared" si="9"/>
        <v>0</v>
      </c>
      <c r="L27" s="649">
        <f t="shared" si="10"/>
        <v>0</v>
      </c>
      <c r="M27" s="645"/>
    </row>
    <row r="28" spans="1:13" ht="22.5" customHeight="1">
      <c r="A28" s="645">
        <v>4</v>
      </c>
      <c r="B28" s="646"/>
      <c r="C28" s="645"/>
      <c r="D28" s="645"/>
      <c r="E28" s="650"/>
      <c r="F28" s="648"/>
      <c r="G28" s="649">
        <f t="shared" si="5"/>
        <v>0</v>
      </c>
      <c r="H28" s="649">
        <f t="shared" si="6"/>
        <v>0</v>
      </c>
      <c r="I28" s="649">
        <f t="shared" si="7"/>
        <v>0</v>
      </c>
      <c r="J28" s="649">
        <f t="shared" si="8"/>
        <v>0</v>
      </c>
      <c r="K28" s="649">
        <f t="shared" si="9"/>
        <v>0</v>
      </c>
      <c r="L28" s="649">
        <f t="shared" si="10"/>
        <v>0</v>
      </c>
      <c r="M28" s="645"/>
    </row>
    <row r="29" spans="1:13" ht="22.5" customHeight="1">
      <c r="A29" s="645">
        <v>5</v>
      </c>
      <c r="B29" s="646"/>
      <c r="C29" s="645"/>
      <c r="D29" s="645"/>
      <c r="E29" s="650"/>
      <c r="F29" s="648"/>
      <c r="G29" s="649">
        <f t="shared" si="5"/>
        <v>0</v>
      </c>
      <c r="H29" s="649">
        <f t="shared" si="6"/>
        <v>0</v>
      </c>
      <c r="I29" s="649">
        <f t="shared" si="7"/>
        <v>0</v>
      </c>
      <c r="J29" s="649">
        <f t="shared" si="8"/>
        <v>0</v>
      </c>
      <c r="K29" s="649">
        <f t="shared" si="9"/>
        <v>0</v>
      </c>
      <c r="L29" s="649">
        <f t="shared" si="10"/>
        <v>0</v>
      </c>
      <c r="M29" s="645"/>
    </row>
    <row r="30" spans="1:13" ht="22.5" customHeight="1">
      <c r="A30" s="978" t="s">
        <v>318</v>
      </c>
      <c r="B30" s="931"/>
      <c r="C30" s="652">
        <f t="array" ref="C30">COUNTA(C25:INDEX(C:C,ROW()-1))</f>
        <v>1</v>
      </c>
      <c r="D30" s="653"/>
      <c r="E30" s="654">
        <f>SUM(E25:E29)</f>
        <v>4.7</v>
      </c>
      <c r="F30" s="653"/>
      <c r="G30" s="990">
        <f>SUBTOTAL(9,H25:H29)</f>
        <v>1245.5</v>
      </c>
      <c r="H30" s="932"/>
      <c r="I30" s="655"/>
      <c r="J30" s="653"/>
      <c r="K30" s="653"/>
      <c r="L30" s="653"/>
      <c r="M30" s="653"/>
    </row>
    <row r="31" spans="1:13" ht="18">
      <c r="A31" s="516"/>
      <c r="B31" s="516"/>
      <c r="C31" s="516"/>
      <c r="D31" s="516"/>
      <c r="E31" s="516"/>
      <c r="F31" s="516"/>
      <c r="G31" s="516"/>
      <c r="H31" s="516"/>
      <c r="I31" s="516"/>
      <c r="J31" s="516"/>
      <c r="K31" s="516"/>
      <c r="L31" s="516"/>
      <c r="M31" s="516"/>
    </row>
    <row r="32" spans="1:13" ht="18">
      <c r="A32" s="516"/>
      <c r="B32" s="516"/>
      <c r="C32" s="516"/>
      <c r="D32" s="516"/>
      <c r="E32" s="516"/>
      <c r="F32" s="516"/>
      <c r="G32" s="516"/>
      <c r="H32" s="516"/>
      <c r="I32" s="516"/>
      <c r="J32" s="516"/>
      <c r="K32" s="516"/>
      <c r="L32" s="516"/>
      <c r="M32" s="516"/>
    </row>
    <row r="33" spans="1:13" ht="13.2">
      <c r="A33" s="972" t="s">
        <v>2978</v>
      </c>
      <c r="B33" s="931"/>
      <c r="C33" s="931"/>
      <c r="D33" s="931"/>
      <c r="E33" s="931"/>
      <c r="F33" s="931"/>
      <c r="G33" s="931"/>
      <c r="H33" s="931"/>
      <c r="I33" s="931"/>
      <c r="J33" s="931"/>
      <c r="K33" s="931"/>
      <c r="L33" s="931"/>
      <c r="M33" s="932"/>
    </row>
    <row r="34" spans="1:13" ht="22.5" customHeight="1">
      <c r="A34" s="644" t="s">
        <v>165</v>
      </c>
      <c r="B34" s="644" t="s">
        <v>166</v>
      </c>
      <c r="C34" s="572" t="s">
        <v>167</v>
      </c>
      <c r="D34" s="644" t="s">
        <v>168</v>
      </c>
      <c r="E34" s="572" t="s">
        <v>169</v>
      </c>
      <c r="F34" s="311" t="s">
        <v>2979</v>
      </c>
      <c r="G34" s="316" t="s">
        <v>2980</v>
      </c>
      <c r="H34" s="316" t="s">
        <v>2981</v>
      </c>
      <c r="I34" s="253" t="s">
        <v>2982</v>
      </c>
      <c r="J34" s="253" t="s">
        <v>2983</v>
      </c>
      <c r="K34" s="253" t="s">
        <v>2984</v>
      </c>
      <c r="L34" s="253" t="s">
        <v>2985</v>
      </c>
      <c r="M34" s="287" t="s">
        <v>177</v>
      </c>
    </row>
    <row r="35" spans="1:13" ht="22.5" customHeight="1">
      <c r="A35" s="645">
        <v>1</v>
      </c>
      <c r="B35" s="646"/>
      <c r="C35" s="645"/>
      <c r="D35" s="645"/>
      <c r="E35" s="650"/>
      <c r="F35" s="648"/>
      <c r="G35" s="649">
        <f t="shared" ref="G35:G39" si="11">F35*5</f>
        <v>0</v>
      </c>
      <c r="H35" s="649">
        <f t="shared" ref="H35:H39" si="12">G35*E35</f>
        <v>0</v>
      </c>
      <c r="I35" s="649">
        <f t="shared" ref="I35:I39" si="13">G35*5</f>
        <v>0</v>
      </c>
      <c r="J35" s="649">
        <f t="shared" ref="J35:J39" si="14">I35*E35</f>
        <v>0</v>
      </c>
      <c r="K35" s="649">
        <f t="shared" ref="K35:K39" si="15">I35/2</f>
        <v>0</v>
      </c>
      <c r="L35" s="649">
        <f t="shared" ref="L35:L39" si="16">K35*E35</f>
        <v>0</v>
      </c>
      <c r="M35" s="645"/>
    </row>
    <row r="36" spans="1:13" ht="22.5" customHeight="1">
      <c r="A36" s="645">
        <v>2</v>
      </c>
      <c r="B36" s="646"/>
      <c r="C36" s="645"/>
      <c r="D36" s="645"/>
      <c r="E36" s="650"/>
      <c r="F36" s="648"/>
      <c r="G36" s="649">
        <f t="shared" si="11"/>
        <v>0</v>
      </c>
      <c r="H36" s="649">
        <f t="shared" si="12"/>
        <v>0</v>
      </c>
      <c r="I36" s="649">
        <f t="shared" si="13"/>
        <v>0</v>
      </c>
      <c r="J36" s="649">
        <f t="shared" si="14"/>
        <v>0</v>
      </c>
      <c r="K36" s="649">
        <f t="shared" si="15"/>
        <v>0</v>
      </c>
      <c r="L36" s="649">
        <f t="shared" si="16"/>
        <v>0</v>
      </c>
      <c r="M36" s="645"/>
    </row>
    <row r="37" spans="1:13" ht="22.5" customHeight="1">
      <c r="A37" s="645">
        <v>3</v>
      </c>
      <c r="B37" s="646"/>
      <c r="C37" s="645"/>
      <c r="D37" s="651"/>
      <c r="E37" s="650"/>
      <c r="F37" s="648"/>
      <c r="G37" s="649">
        <f t="shared" si="11"/>
        <v>0</v>
      </c>
      <c r="H37" s="649">
        <f t="shared" si="12"/>
        <v>0</v>
      </c>
      <c r="I37" s="649">
        <f t="shared" si="13"/>
        <v>0</v>
      </c>
      <c r="J37" s="649">
        <f t="shared" si="14"/>
        <v>0</v>
      </c>
      <c r="K37" s="649">
        <f t="shared" si="15"/>
        <v>0</v>
      </c>
      <c r="L37" s="649">
        <f t="shared" si="16"/>
        <v>0</v>
      </c>
      <c r="M37" s="645"/>
    </row>
    <row r="38" spans="1:13" ht="22.5" customHeight="1">
      <c r="A38" s="645">
        <v>4</v>
      </c>
      <c r="B38" s="646"/>
      <c r="C38" s="645"/>
      <c r="D38" s="645"/>
      <c r="E38" s="650"/>
      <c r="F38" s="648"/>
      <c r="G38" s="649">
        <f t="shared" si="11"/>
        <v>0</v>
      </c>
      <c r="H38" s="649">
        <f t="shared" si="12"/>
        <v>0</v>
      </c>
      <c r="I38" s="649">
        <f t="shared" si="13"/>
        <v>0</v>
      </c>
      <c r="J38" s="649">
        <f t="shared" si="14"/>
        <v>0</v>
      </c>
      <c r="K38" s="649">
        <f t="shared" si="15"/>
        <v>0</v>
      </c>
      <c r="L38" s="649">
        <f t="shared" si="16"/>
        <v>0</v>
      </c>
      <c r="M38" s="645"/>
    </row>
    <row r="39" spans="1:13" ht="22.5" customHeight="1">
      <c r="A39" s="645">
        <v>5</v>
      </c>
      <c r="B39" s="646"/>
      <c r="C39" s="645"/>
      <c r="D39" s="645"/>
      <c r="E39" s="650"/>
      <c r="F39" s="648"/>
      <c r="G39" s="649">
        <f t="shared" si="11"/>
        <v>0</v>
      </c>
      <c r="H39" s="649">
        <f t="shared" si="12"/>
        <v>0</v>
      </c>
      <c r="I39" s="649">
        <f t="shared" si="13"/>
        <v>0</v>
      </c>
      <c r="J39" s="649">
        <f t="shared" si="14"/>
        <v>0</v>
      </c>
      <c r="K39" s="649">
        <f t="shared" si="15"/>
        <v>0</v>
      </c>
      <c r="L39" s="649">
        <f t="shared" si="16"/>
        <v>0</v>
      </c>
      <c r="M39" s="645"/>
    </row>
    <row r="40" spans="1:13" ht="22.5" customHeight="1">
      <c r="A40" s="978" t="s">
        <v>318</v>
      </c>
      <c r="B40" s="931"/>
      <c r="C40" s="652">
        <f t="array" ref="C40">COUNTA(C35:INDEX(C:C,ROW()-1))</f>
        <v>0</v>
      </c>
      <c r="D40" s="653"/>
      <c r="E40" s="653">
        <f>SUM(E34:E39)</f>
        <v>0</v>
      </c>
      <c r="F40" s="653"/>
      <c r="G40" s="990">
        <f>SUBTOTAL(9,H35:H39)</f>
        <v>0</v>
      </c>
      <c r="H40" s="932"/>
      <c r="I40" s="655"/>
      <c r="J40" s="653"/>
      <c r="K40" s="653"/>
      <c r="L40" s="653"/>
      <c r="M40" s="653"/>
    </row>
    <row r="41" spans="1:13" ht="18">
      <c r="A41" s="656"/>
      <c r="B41" s="656"/>
      <c r="C41" s="656"/>
      <c r="D41" s="656"/>
      <c r="E41" s="656"/>
      <c r="F41" s="656"/>
      <c r="G41" s="656"/>
      <c r="H41" s="656"/>
      <c r="I41" s="656"/>
      <c r="J41" s="656"/>
      <c r="K41" s="656"/>
      <c r="L41" s="656"/>
      <c r="M41" s="656"/>
    </row>
    <row r="42" spans="1:13" ht="18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</row>
    <row r="43" spans="1:13" ht="13.2">
      <c r="A43" s="972" t="s">
        <v>2986</v>
      </c>
      <c r="B43" s="931"/>
      <c r="C43" s="931"/>
      <c r="D43" s="931"/>
      <c r="E43" s="931"/>
      <c r="F43" s="931"/>
      <c r="G43" s="931"/>
      <c r="H43" s="931"/>
      <c r="I43" s="931"/>
      <c r="J43" s="931"/>
      <c r="K43" s="931"/>
      <c r="L43" s="931"/>
      <c r="M43" s="932"/>
    </row>
    <row r="44" spans="1:13" ht="22.5" customHeight="1">
      <c r="A44" s="644" t="s">
        <v>165</v>
      </c>
      <c r="B44" s="644" t="s">
        <v>166</v>
      </c>
      <c r="C44" s="572" t="s">
        <v>167</v>
      </c>
      <c r="D44" s="644" t="s">
        <v>168</v>
      </c>
      <c r="E44" s="572" t="s">
        <v>169</v>
      </c>
      <c r="F44" s="311" t="s">
        <v>2987</v>
      </c>
      <c r="G44" s="316" t="s">
        <v>2988</v>
      </c>
      <c r="H44" s="316" t="s">
        <v>2989</v>
      </c>
      <c r="I44" s="253" t="s">
        <v>2990</v>
      </c>
      <c r="J44" s="253" t="s">
        <v>2991</v>
      </c>
      <c r="K44" s="253" t="s">
        <v>2992</v>
      </c>
      <c r="L44" s="253" t="s">
        <v>2993</v>
      </c>
      <c r="M44" s="287" t="s">
        <v>177</v>
      </c>
    </row>
    <row r="45" spans="1:13" ht="22.5" customHeight="1">
      <c r="A45" s="645">
        <v>1</v>
      </c>
      <c r="B45" s="657"/>
      <c r="C45" s="658"/>
      <c r="D45" s="659"/>
      <c r="E45" s="660"/>
      <c r="F45" s="661"/>
      <c r="G45" s="649">
        <f t="shared" ref="G45:G49" si="17">F45*5</f>
        <v>0</v>
      </c>
      <c r="H45" s="649">
        <f t="shared" ref="H45:H49" si="18">G45*E45</f>
        <v>0</v>
      </c>
      <c r="I45" s="649">
        <f t="shared" ref="I45:I49" si="19">G45*5</f>
        <v>0</v>
      </c>
      <c r="J45" s="649">
        <f t="shared" ref="J45:J49" si="20">I45*E45</f>
        <v>0</v>
      </c>
      <c r="K45" s="649">
        <f t="shared" ref="K45:K49" si="21">I45/2</f>
        <v>0</v>
      </c>
      <c r="L45" s="649">
        <f t="shared" ref="L45:L49" si="22">K45*E45</f>
        <v>0</v>
      </c>
      <c r="M45" s="659"/>
    </row>
    <row r="46" spans="1:13" ht="22.5" customHeight="1">
      <c r="A46" s="645">
        <v>2</v>
      </c>
      <c r="B46" s="657"/>
      <c r="C46" s="662"/>
      <c r="D46" s="659"/>
      <c r="E46" s="663"/>
      <c r="F46" s="661"/>
      <c r="G46" s="649">
        <f t="shared" si="17"/>
        <v>0</v>
      </c>
      <c r="H46" s="649">
        <f t="shared" si="18"/>
        <v>0</v>
      </c>
      <c r="I46" s="649">
        <f t="shared" si="19"/>
        <v>0</v>
      </c>
      <c r="J46" s="649">
        <f t="shared" si="20"/>
        <v>0</v>
      </c>
      <c r="K46" s="649">
        <f t="shared" si="21"/>
        <v>0</v>
      </c>
      <c r="L46" s="649">
        <f t="shared" si="22"/>
        <v>0</v>
      </c>
      <c r="M46" s="659"/>
    </row>
    <row r="47" spans="1:13" ht="22.5" customHeight="1">
      <c r="A47" s="645">
        <v>3</v>
      </c>
      <c r="B47" s="657"/>
      <c r="C47" s="658"/>
      <c r="D47" s="664"/>
      <c r="E47" s="660"/>
      <c r="F47" s="661"/>
      <c r="G47" s="649">
        <f t="shared" si="17"/>
        <v>0</v>
      </c>
      <c r="H47" s="649">
        <f t="shared" si="18"/>
        <v>0</v>
      </c>
      <c r="I47" s="649">
        <f t="shared" si="19"/>
        <v>0</v>
      </c>
      <c r="J47" s="649">
        <f t="shared" si="20"/>
        <v>0</v>
      </c>
      <c r="K47" s="649">
        <f t="shared" si="21"/>
        <v>0</v>
      </c>
      <c r="L47" s="649">
        <f t="shared" si="22"/>
        <v>0</v>
      </c>
      <c r="M47" s="659"/>
    </row>
    <row r="48" spans="1:13" ht="22.5" customHeight="1">
      <c r="A48" s="645">
        <v>4</v>
      </c>
      <c r="B48" s="657"/>
      <c r="C48" s="662"/>
      <c r="D48" s="659"/>
      <c r="E48" s="663"/>
      <c r="F48" s="661"/>
      <c r="G48" s="649">
        <f t="shared" si="17"/>
        <v>0</v>
      </c>
      <c r="H48" s="649">
        <f t="shared" si="18"/>
        <v>0</v>
      </c>
      <c r="I48" s="649">
        <f t="shared" si="19"/>
        <v>0</v>
      </c>
      <c r="J48" s="649">
        <f t="shared" si="20"/>
        <v>0</v>
      </c>
      <c r="K48" s="649">
        <f t="shared" si="21"/>
        <v>0</v>
      </c>
      <c r="L48" s="649">
        <f t="shared" si="22"/>
        <v>0</v>
      </c>
      <c r="M48" s="659"/>
    </row>
    <row r="49" spans="1:13" ht="22.5" customHeight="1">
      <c r="A49" s="645">
        <v>5</v>
      </c>
      <c r="B49" s="657"/>
      <c r="C49" s="658"/>
      <c r="D49" s="659"/>
      <c r="E49" s="660"/>
      <c r="F49" s="661"/>
      <c r="G49" s="649">
        <f t="shared" si="17"/>
        <v>0</v>
      </c>
      <c r="H49" s="649">
        <f t="shared" si="18"/>
        <v>0</v>
      </c>
      <c r="I49" s="649">
        <f t="shared" si="19"/>
        <v>0</v>
      </c>
      <c r="J49" s="649">
        <f t="shared" si="20"/>
        <v>0</v>
      </c>
      <c r="K49" s="649">
        <f t="shared" si="21"/>
        <v>0</v>
      </c>
      <c r="L49" s="649">
        <f t="shared" si="22"/>
        <v>0</v>
      </c>
      <c r="M49" s="659"/>
    </row>
    <row r="50" spans="1:13" ht="22.5" customHeight="1">
      <c r="A50" s="978" t="s">
        <v>318</v>
      </c>
      <c r="B50" s="931"/>
      <c r="C50" s="665">
        <f t="array" ref="C50">COUNTA(C45:INDEX(C:C,ROW()-1))</f>
        <v>0</v>
      </c>
      <c r="D50" s="666"/>
      <c r="E50" s="667">
        <f>SUM(E44:E49)</f>
        <v>0</v>
      </c>
      <c r="F50" s="666"/>
      <c r="G50" s="990">
        <f>SUBTOTAL(9,H45:H49)</f>
        <v>0</v>
      </c>
      <c r="H50" s="932"/>
      <c r="I50" s="668"/>
      <c r="J50" s="666"/>
      <c r="K50" s="666"/>
      <c r="L50" s="666"/>
      <c r="M50" s="666"/>
    </row>
    <row r="51" spans="1:13" ht="18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</row>
    <row r="52" spans="1:13" ht="18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</row>
    <row r="53" spans="1:13" ht="18">
      <c r="A53" s="656"/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</row>
    <row r="54" spans="1:13" ht="13.2">
      <c r="A54" s="972" t="s">
        <v>2994</v>
      </c>
      <c r="B54" s="931"/>
      <c r="C54" s="931"/>
      <c r="D54" s="931"/>
      <c r="E54" s="931"/>
      <c r="F54" s="931"/>
      <c r="G54" s="931"/>
      <c r="H54" s="931"/>
      <c r="I54" s="931"/>
      <c r="J54" s="931"/>
      <c r="K54" s="931"/>
      <c r="L54" s="931"/>
      <c r="M54" s="932"/>
    </row>
    <row r="55" spans="1:13" ht="22.5" customHeight="1">
      <c r="A55" s="644" t="s">
        <v>165</v>
      </c>
      <c r="B55" s="644" t="s">
        <v>166</v>
      </c>
      <c r="C55" s="572" t="s">
        <v>167</v>
      </c>
      <c r="D55" s="644" t="s">
        <v>168</v>
      </c>
      <c r="E55" s="572" t="s">
        <v>169</v>
      </c>
      <c r="F55" s="311" t="s">
        <v>2995</v>
      </c>
      <c r="G55" s="316" t="s">
        <v>2996</v>
      </c>
      <c r="H55" s="316" t="s">
        <v>2997</v>
      </c>
      <c r="I55" s="253" t="s">
        <v>2998</v>
      </c>
      <c r="J55" s="253" t="s">
        <v>2999</v>
      </c>
      <c r="K55" s="253" t="s">
        <v>3000</v>
      </c>
      <c r="L55" s="253" t="s">
        <v>3001</v>
      </c>
      <c r="M55" s="287" t="s">
        <v>177</v>
      </c>
    </row>
    <row r="56" spans="1:13" ht="22.5" customHeight="1">
      <c r="A56" s="645">
        <v>1</v>
      </c>
      <c r="B56" s="657"/>
      <c r="C56" s="658"/>
      <c r="D56" s="659"/>
      <c r="E56" s="660"/>
      <c r="F56" s="661"/>
      <c r="G56" s="649">
        <f t="shared" ref="G56:G60" si="23">F56*5</f>
        <v>0</v>
      </c>
      <c r="H56" s="649">
        <f t="shared" ref="H56:H60" si="24">G56*E56</f>
        <v>0</v>
      </c>
      <c r="I56" s="649">
        <f t="shared" ref="I56:I60" si="25">G56*5</f>
        <v>0</v>
      </c>
      <c r="J56" s="649">
        <f t="shared" ref="J56:J60" si="26">I56*E56</f>
        <v>0</v>
      </c>
      <c r="K56" s="649">
        <f t="shared" ref="K56:K60" si="27">I56/2</f>
        <v>0</v>
      </c>
      <c r="L56" s="649">
        <f t="shared" ref="L56:L60" si="28">K56*E56</f>
        <v>0</v>
      </c>
      <c r="M56" s="659"/>
    </row>
    <row r="57" spans="1:13" ht="22.5" customHeight="1">
      <c r="A57" s="645">
        <v>2</v>
      </c>
      <c r="B57" s="657"/>
      <c r="C57" s="662"/>
      <c r="D57" s="659"/>
      <c r="E57" s="663"/>
      <c r="F57" s="661"/>
      <c r="G57" s="649">
        <f t="shared" si="23"/>
        <v>0</v>
      </c>
      <c r="H57" s="649">
        <f t="shared" si="24"/>
        <v>0</v>
      </c>
      <c r="I57" s="649">
        <f t="shared" si="25"/>
        <v>0</v>
      </c>
      <c r="J57" s="649">
        <f t="shared" si="26"/>
        <v>0</v>
      </c>
      <c r="K57" s="649">
        <f t="shared" si="27"/>
        <v>0</v>
      </c>
      <c r="L57" s="649">
        <f t="shared" si="28"/>
        <v>0</v>
      </c>
      <c r="M57" s="659"/>
    </row>
    <row r="58" spans="1:13" ht="22.5" customHeight="1">
      <c r="A58" s="645">
        <v>3</v>
      </c>
      <c r="B58" s="657"/>
      <c r="C58" s="658"/>
      <c r="D58" s="664"/>
      <c r="E58" s="660"/>
      <c r="F58" s="661"/>
      <c r="G58" s="649">
        <f t="shared" si="23"/>
        <v>0</v>
      </c>
      <c r="H58" s="649">
        <f t="shared" si="24"/>
        <v>0</v>
      </c>
      <c r="I58" s="649">
        <f t="shared" si="25"/>
        <v>0</v>
      </c>
      <c r="J58" s="649">
        <f t="shared" si="26"/>
        <v>0</v>
      </c>
      <c r="K58" s="649">
        <f t="shared" si="27"/>
        <v>0</v>
      </c>
      <c r="L58" s="649">
        <f t="shared" si="28"/>
        <v>0</v>
      </c>
      <c r="M58" s="659"/>
    </row>
    <row r="59" spans="1:13" ht="22.5" customHeight="1">
      <c r="A59" s="645">
        <v>4</v>
      </c>
      <c r="B59" s="657"/>
      <c r="C59" s="662"/>
      <c r="D59" s="659"/>
      <c r="E59" s="663"/>
      <c r="F59" s="661"/>
      <c r="G59" s="649">
        <f t="shared" si="23"/>
        <v>0</v>
      </c>
      <c r="H59" s="649">
        <f t="shared" si="24"/>
        <v>0</v>
      </c>
      <c r="I59" s="649">
        <f t="shared" si="25"/>
        <v>0</v>
      </c>
      <c r="J59" s="649">
        <f t="shared" si="26"/>
        <v>0</v>
      </c>
      <c r="K59" s="649">
        <f t="shared" si="27"/>
        <v>0</v>
      </c>
      <c r="L59" s="649">
        <f t="shared" si="28"/>
        <v>0</v>
      </c>
      <c r="M59" s="659"/>
    </row>
    <row r="60" spans="1:13" ht="22.5" customHeight="1">
      <c r="A60" s="645">
        <v>5</v>
      </c>
      <c r="B60" s="657"/>
      <c r="C60" s="658"/>
      <c r="D60" s="659"/>
      <c r="E60" s="660"/>
      <c r="F60" s="661"/>
      <c r="G60" s="649">
        <f t="shared" si="23"/>
        <v>0</v>
      </c>
      <c r="H60" s="649">
        <f t="shared" si="24"/>
        <v>0</v>
      </c>
      <c r="I60" s="649">
        <f t="shared" si="25"/>
        <v>0</v>
      </c>
      <c r="J60" s="649">
        <f t="shared" si="26"/>
        <v>0</v>
      </c>
      <c r="K60" s="649">
        <f t="shared" si="27"/>
        <v>0</v>
      </c>
      <c r="L60" s="649">
        <f t="shared" si="28"/>
        <v>0</v>
      </c>
      <c r="M60" s="659"/>
    </row>
    <row r="61" spans="1:13" ht="22.5" customHeight="1">
      <c r="A61" s="978" t="s">
        <v>318</v>
      </c>
      <c r="B61" s="931"/>
      <c r="C61" s="665">
        <f t="array" ref="C61">COUNTA(C56:INDEX(C:C,ROW()-1))</f>
        <v>0</v>
      </c>
      <c r="D61" s="666"/>
      <c r="E61" s="669">
        <f>SUM(E55:E60)</f>
        <v>0</v>
      </c>
      <c r="F61" s="666"/>
      <c r="G61" s="990">
        <f>SUBTOTAL(9,H56:H60)</f>
        <v>0</v>
      </c>
      <c r="H61" s="932"/>
      <c r="I61" s="668"/>
      <c r="J61" s="666"/>
      <c r="K61" s="666"/>
      <c r="L61" s="666"/>
      <c r="M61" s="666"/>
    </row>
  </sheetData>
  <mergeCells count="33">
    <mergeCell ref="A33:M33"/>
    <mergeCell ref="A61:B61"/>
    <mergeCell ref="G61:H61"/>
    <mergeCell ref="A30:B30"/>
    <mergeCell ref="A40:B40"/>
    <mergeCell ref="G40:H40"/>
    <mergeCell ref="A43:M43"/>
    <mergeCell ref="A50:B50"/>
    <mergeCell ref="G50:H50"/>
    <mergeCell ref="A54:M54"/>
    <mergeCell ref="A11:M11"/>
    <mergeCell ref="A18:B18"/>
    <mergeCell ref="G18:H18"/>
    <mergeCell ref="A23:M23"/>
    <mergeCell ref="G30:H30"/>
    <mergeCell ref="I2:M3"/>
    <mergeCell ref="A3:C3"/>
    <mergeCell ref="A4:C4"/>
    <mergeCell ref="A5:C5"/>
    <mergeCell ref="F5:G5"/>
    <mergeCell ref="I5:J6"/>
    <mergeCell ref="K5:L6"/>
    <mergeCell ref="A6:C6"/>
    <mergeCell ref="F6:G6"/>
    <mergeCell ref="F3:G3"/>
    <mergeCell ref="F4:G4"/>
    <mergeCell ref="F8:G8"/>
    <mergeCell ref="A1:D1"/>
    <mergeCell ref="F1:H1"/>
    <mergeCell ref="A2:C2"/>
    <mergeCell ref="F2:G2"/>
    <mergeCell ref="F7:G7"/>
    <mergeCell ref="A7:C7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outlinePr summaryBelow="0" summaryRight="0"/>
  </sheetPr>
  <dimension ref="A1:M109"/>
  <sheetViews>
    <sheetView workbookViewId="0"/>
  </sheetViews>
  <sheetFormatPr defaultColWidth="12.6640625" defaultRowHeight="15.75" customHeight="1"/>
  <cols>
    <col min="1" max="1" width="6" customWidth="1"/>
    <col min="2" max="2" width="17.33203125" customWidth="1"/>
    <col min="3" max="3" width="18.21875" customWidth="1"/>
    <col min="4" max="4" width="19.88671875" customWidth="1"/>
    <col min="5" max="5" width="10.21875" customWidth="1"/>
    <col min="6" max="6" width="22.6640625" customWidth="1"/>
    <col min="7" max="7" width="17.33203125" customWidth="1"/>
    <col min="8" max="8" width="13.33203125" customWidth="1"/>
    <col min="9" max="9" width="13.44140625" customWidth="1"/>
    <col min="11" max="11" width="13.109375" customWidth="1"/>
    <col min="12" max="12" width="15.33203125" customWidth="1"/>
  </cols>
  <sheetData>
    <row r="1" spans="1:13" ht="16.8">
      <c r="A1" s="971" t="s">
        <v>146</v>
      </c>
      <c r="B1" s="931"/>
      <c r="C1" s="931"/>
      <c r="D1" s="932"/>
      <c r="E1" s="252"/>
      <c r="F1" s="930" t="s">
        <v>147</v>
      </c>
      <c r="G1" s="931"/>
      <c r="H1" s="932"/>
      <c r="I1" s="252"/>
      <c r="J1" s="252"/>
      <c r="K1" s="252"/>
      <c r="L1" s="252"/>
      <c r="M1" s="252"/>
    </row>
    <row r="2" spans="1:13" ht="18">
      <c r="A2" s="971" t="s">
        <v>148</v>
      </c>
      <c r="B2" s="931"/>
      <c r="C2" s="932"/>
      <c r="D2" s="530" t="s">
        <v>149</v>
      </c>
      <c r="E2" s="252"/>
      <c r="F2" s="972" t="s">
        <v>150</v>
      </c>
      <c r="G2" s="932"/>
      <c r="H2" s="254"/>
      <c r="I2" s="938" t="s">
        <v>151</v>
      </c>
      <c r="J2" s="929"/>
      <c r="K2" s="929"/>
      <c r="L2" s="929"/>
      <c r="M2" s="929"/>
    </row>
    <row r="3" spans="1:13" ht="18">
      <c r="A3" s="976" t="s">
        <v>26</v>
      </c>
      <c r="B3" s="931"/>
      <c r="C3" s="932"/>
      <c r="D3" s="596" t="s">
        <v>152</v>
      </c>
      <c r="E3" s="252"/>
      <c r="F3" s="971" t="s">
        <v>153</v>
      </c>
      <c r="G3" s="932"/>
      <c r="H3" s="257" t="s">
        <v>3002</v>
      </c>
      <c r="I3" s="929"/>
      <c r="J3" s="929"/>
      <c r="K3" s="929"/>
      <c r="L3" s="929"/>
      <c r="M3" s="929"/>
    </row>
    <row r="4" spans="1:13" ht="39.75" customHeight="1">
      <c r="A4" s="976" t="s">
        <v>155</v>
      </c>
      <c r="B4" s="931"/>
      <c r="C4" s="932"/>
      <c r="D4" s="258"/>
      <c r="E4" s="252"/>
      <c r="F4" s="976" t="s">
        <v>156</v>
      </c>
      <c r="G4" s="932"/>
      <c r="H4" s="254"/>
      <c r="I4" s="252"/>
      <c r="J4" s="252"/>
      <c r="K4" s="252"/>
      <c r="L4" s="252"/>
      <c r="M4" s="252"/>
    </row>
    <row r="5" spans="1:13" ht="16.8">
      <c r="A5" s="976" t="s">
        <v>157</v>
      </c>
      <c r="B5" s="931"/>
      <c r="C5" s="932"/>
      <c r="D5" s="258"/>
      <c r="E5" s="252"/>
      <c r="F5" s="976" t="s">
        <v>158</v>
      </c>
      <c r="G5" s="932"/>
      <c r="H5" s="252"/>
      <c r="I5" s="981" t="s">
        <v>159</v>
      </c>
      <c r="J5" s="964"/>
      <c r="K5" s="992">
        <f>J32+J56+J91+J100+J109</f>
        <v>50125.590000000004</v>
      </c>
      <c r="L5" s="964"/>
      <c r="M5" s="252"/>
    </row>
    <row r="6" spans="1:13" ht="16.8">
      <c r="A6" s="976" t="s">
        <v>160</v>
      </c>
      <c r="B6" s="931"/>
      <c r="C6" s="932"/>
      <c r="D6" s="260" t="e">
        <f>#REF!+#REF!+#REF!+#REF!+#REF!+#REF!+#REF!+#REF!+#REF!+#REF!+#REF!+#REF!+#REF!+#REF!+#REF!+#REF!+#REF!</f>
        <v>#REF!</v>
      </c>
      <c r="E6" s="259"/>
      <c r="F6" s="976" t="s">
        <v>161</v>
      </c>
      <c r="G6" s="932"/>
      <c r="H6" s="252"/>
      <c r="I6" s="967"/>
      <c r="J6" s="968"/>
      <c r="K6" s="967"/>
      <c r="L6" s="968"/>
      <c r="M6" s="252"/>
    </row>
    <row r="7" spans="1:13" ht="18">
      <c r="A7" s="972" t="s">
        <v>162</v>
      </c>
      <c r="B7" s="931"/>
      <c r="C7" s="932"/>
      <c r="D7" s="598" t="e">
        <f>D3-(D4+D5+D6)</f>
        <v>#REF!</v>
      </c>
      <c r="E7" s="259">
        <f>COUNTIF('SILK - PENDING'!D14:D17,"*cdc*")</f>
        <v>2</v>
      </c>
      <c r="F7" s="976" t="s">
        <v>163</v>
      </c>
      <c r="G7" s="932"/>
      <c r="H7" s="252"/>
      <c r="I7" s="994" t="s">
        <v>1555</v>
      </c>
      <c r="J7" s="964"/>
      <c r="K7" s="995">
        <f>L32+L56+L91+L100+L109</f>
        <v>71813.797999999995</v>
      </c>
      <c r="L7" s="964"/>
      <c r="M7" s="252"/>
    </row>
    <row r="8" spans="1:13" ht="16.8">
      <c r="A8" s="252"/>
      <c r="B8" s="252"/>
      <c r="C8" s="252"/>
      <c r="D8" s="252"/>
      <c r="E8" s="259"/>
      <c r="F8" s="976" t="s">
        <v>164</v>
      </c>
      <c r="G8" s="932"/>
      <c r="H8" s="252"/>
      <c r="I8" s="967"/>
      <c r="J8" s="968"/>
      <c r="K8" s="967"/>
      <c r="L8" s="968"/>
      <c r="M8" s="252"/>
    </row>
    <row r="9" spans="1:13" ht="16.8">
      <c r="A9" s="252"/>
      <c r="B9" s="261"/>
      <c r="C9" s="261"/>
      <c r="D9" s="262"/>
      <c r="E9" s="262"/>
      <c r="F9" s="252"/>
      <c r="G9" s="263"/>
      <c r="H9" s="252"/>
      <c r="I9" s="252"/>
      <c r="J9" s="252"/>
      <c r="K9" s="252"/>
      <c r="L9" s="252"/>
      <c r="M9" s="252"/>
    </row>
    <row r="10" spans="1:13" ht="16.2">
      <c r="A10" s="597"/>
      <c r="B10" s="597"/>
      <c r="C10" s="597"/>
      <c r="D10" s="597"/>
      <c r="E10" s="597"/>
      <c r="F10" s="597"/>
      <c r="G10" s="597"/>
      <c r="H10" s="597"/>
      <c r="I10" s="597"/>
      <c r="J10" s="597"/>
      <c r="K10" s="597"/>
      <c r="L10" s="597"/>
      <c r="M10" s="597"/>
    </row>
    <row r="11" spans="1:13" ht="16.2">
      <c r="A11" s="597"/>
      <c r="B11" s="597"/>
      <c r="C11" s="597"/>
      <c r="D11" s="597"/>
      <c r="E11" s="597"/>
      <c r="F11" s="597"/>
      <c r="G11" s="597"/>
      <c r="H11" s="597"/>
      <c r="I11" s="597"/>
      <c r="J11" s="597"/>
      <c r="K11" s="597"/>
      <c r="L11" s="597"/>
      <c r="M11" s="597"/>
    </row>
    <row r="12" spans="1:13" ht="16.2">
      <c r="A12" s="597"/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</row>
    <row r="13" spans="1:13" ht="13.2">
      <c r="A13" s="993" t="s">
        <v>3003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41"/>
    </row>
    <row r="14" spans="1:13" ht="13.2">
      <c r="A14" s="942"/>
      <c r="B14" s="954"/>
      <c r="C14" s="954"/>
      <c r="D14" s="954"/>
      <c r="E14" s="954"/>
      <c r="F14" s="954"/>
      <c r="G14" s="954"/>
      <c r="H14" s="954"/>
      <c r="I14" s="954"/>
      <c r="J14" s="954"/>
      <c r="K14" s="954"/>
      <c r="L14" s="954"/>
      <c r="M14" s="943"/>
    </row>
    <row r="15" spans="1:13" ht="22.5" customHeight="1">
      <c r="A15" s="253" t="s">
        <v>165</v>
      </c>
      <c r="B15" s="282" t="s">
        <v>166</v>
      </c>
      <c r="C15" s="255" t="s">
        <v>1556</v>
      </c>
      <c r="D15" s="282" t="s">
        <v>168</v>
      </c>
      <c r="E15" s="255" t="s">
        <v>169</v>
      </c>
      <c r="F15" s="282" t="s">
        <v>1557</v>
      </c>
      <c r="G15" s="282" t="s">
        <v>1558</v>
      </c>
      <c r="H15" s="282" t="s">
        <v>1559</v>
      </c>
      <c r="I15" s="282" t="s">
        <v>3004</v>
      </c>
      <c r="J15" s="670" t="s">
        <v>1561</v>
      </c>
      <c r="K15" s="284" t="s">
        <v>1562</v>
      </c>
      <c r="L15" s="671" t="s">
        <v>1563</v>
      </c>
      <c r="M15" s="287" t="s">
        <v>177</v>
      </c>
    </row>
    <row r="16" spans="1:13" ht="22.5" customHeight="1">
      <c r="A16" s="645">
        <v>1</v>
      </c>
      <c r="B16" s="645" t="s">
        <v>3005</v>
      </c>
      <c r="C16" s="645" t="s">
        <v>3006</v>
      </c>
      <c r="D16" s="645" t="s">
        <v>2476</v>
      </c>
      <c r="E16" s="647">
        <v>5.2</v>
      </c>
      <c r="F16" s="672">
        <v>917.99999999999989</v>
      </c>
      <c r="G16" s="672">
        <v>4773.5999999999995</v>
      </c>
      <c r="H16" s="672">
        <v>2386.7999999999997</v>
      </c>
      <c r="I16" s="673">
        <v>0.2</v>
      </c>
      <c r="J16" s="672">
        <v>1670.7600000000002</v>
      </c>
      <c r="K16" s="672">
        <v>795.6</v>
      </c>
      <c r="L16" s="672">
        <v>875.1600000000002</v>
      </c>
      <c r="M16" s="674" t="s">
        <v>1565</v>
      </c>
    </row>
    <row r="17" spans="1:13" ht="22.5" customHeight="1">
      <c r="A17" s="645">
        <v>2</v>
      </c>
      <c r="B17" s="645" t="s">
        <v>3007</v>
      </c>
      <c r="C17" s="645" t="s">
        <v>3006</v>
      </c>
      <c r="D17" s="645" t="s">
        <v>2685</v>
      </c>
      <c r="E17" s="647">
        <v>5</v>
      </c>
      <c r="F17" s="672">
        <v>917.99999999999989</v>
      </c>
      <c r="G17" s="672">
        <v>4589.9999999999991</v>
      </c>
      <c r="H17" s="672">
        <v>2294.9999999999995</v>
      </c>
      <c r="I17" s="673">
        <v>0.2</v>
      </c>
      <c r="J17" s="672">
        <v>1606.5</v>
      </c>
      <c r="K17" s="672">
        <v>765</v>
      </c>
      <c r="L17" s="672">
        <v>841.5</v>
      </c>
      <c r="M17" s="674" t="s">
        <v>1565</v>
      </c>
    </row>
    <row r="18" spans="1:13" ht="22.5" customHeight="1">
      <c r="A18" s="645">
        <v>3</v>
      </c>
      <c r="B18" s="645" t="s">
        <v>3008</v>
      </c>
      <c r="C18" s="645" t="s">
        <v>3006</v>
      </c>
      <c r="D18" s="645" t="s">
        <v>2497</v>
      </c>
      <c r="E18" s="647">
        <v>5.5</v>
      </c>
      <c r="F18" s="672">
        <v>917.99999999999989</v>
      </c>
      <c r="G18" s="672">
        <v>5048.9999999999991</v>
      </c>
      <c r="H18" s="672">
        <v>2524.4999999999995</v>
      </c>
      <c r="I18" s="673">
        <v>0.2</v>
      </c>
      <c r="J18" s="672">
        <v>1767.15</v>
      </c>
      <c r="K18" s="672">
        <v>841.5</v>
      </c>
      <c r="L18" s="672">
        <v>925.65000000000009</v>
      </c>
      <c r="M18" s="674" t="s">
        <v>1565</v>
      </c>
    </row>
    <row r="19" spans="1:13" ht="22.5" customHeight="1">
      <c r="A19" s="645">
        <v>4</v>
      </c>
      <c r="B19" s="645" t="s">
        <v>3009</v>
      </c>
      <c r="C19" s="645" t="s">
        <v>3010</v>
      </c>
      <c r="D19" s="645" t="s">
        <v>2494</v>
      </c>
      <c r="E19" s="647">
        <v>4.7</v>
      </c>
      <c r="F19" s="672">
        <v>917.99999999999989</v>
      </c>
      <c r="G19" s="672">
        <v>4314.5999999999995</v>
      </c>
      <c r="H19" s="672">
        <v>2157.2999999999997</v>
      </c>
      <c r="I19" s="673">
        <v>0.2</v>
      </c>
      <c r="J19" s="672">
        <v>1510.1100000000001</v>
      </c>
      <c r="K19" s="672">
        <v>719.1</v>
      </c>
      <c r="L19" s="672">
        <v>791.0100000000001</v>
      </c>
      <c r="M19" s="674" t="s">
        <v>1565</v>
      </c>
    </row>
    <row r="20" spans="1:13" ht="22.5" customHeight="1">
      <c r="A20" s="645">
        <v>5</v>
      </c>
      <c r="B20" s="645" t="s">
        <v>3011</v>
      </c>
      <c r="C20" s="645" t="s">
        <v>3010</v>
      </c>
      <c r="D20" s="645" t="s">
        <v>2712</v>
      </c>
      <c r="E20" s="647">
        <v>4.8</v>
      </c>
      <c r="F20" s="672">
        <v>917.99999999999989</v>
      </c>
      <c r="G20" s="672">
        <v>4406.3999999999996</v>
      </c>
      <c r="H20" s="672">
        <v>2203.1999999999998</v>
      </c>
      <c r="I20" s="673">
        <v>0.2</v>
      </c>
      <c r="J20" s="672">
        <v>1542.24</v>
      </c>
      <c r="K20" s="672">
        <v>734.4</v>
      </c>
      <c r="L20" s="672">
        <v>807.84</v>
      </c>
      <c r="M20" s="674" t="s">
        <v>1565</v>
      </c>
    </row>
    <row r="21" spans="1:13" ht="22.5" customHeight="1">
      <c r="A21" s="645">
        <v>6</v>
      </c>
      <c r="B21" s="645" t="s">
        <v>3012</v>
      </c>
      <c r="C21" s="645" t="s">
        <v>3013</v>
      </c>
      <c r="D21" s="645" t="s">
        <v>3014</v>
      </c>
      <c r="E21" s="647">
        <v>4.7</v>
      </c>
      <c r="F21" s="991" t="s">
        <v>1803</v>
      </c>
      <c r="G21" s="931"/>
      <c r="H21" s="931"/>
      <c r="I21" s="931"/>
      <c r="J21" s="672">
        <v>0</v>
      </c>
      <c r="K21" s="672">
        <v>705</v>
      </c>
      <c r="L21" s="672">
        <f t="shared" ref="L21:L22" si="0">J21-K21</f>
        <v>-705</v>
      </c>
      <c r="M21" s="674" t="s">
        <v>1565</v>
      </c>
    </row>
    <row r="22" spans="1:13" ht="22.5" customHeight="1">
      <c r="A22" s="645">
        <v>7</v>
      </c>
      <c r="B22" s="645" t="s">
        <v>3015</v>
      </c>
      <c r="C22" s="645" t="s">
        <v>3016</v>
      </c>
      <c r="D22" s="645">
        <v>763</v>
      </c>
      <c r="E22" s="647">
        <v>5.2</v>
      </c>
      <c r="F22" s="675">
        <v>231</v>
      </c>
      <c r="G22" s="676">
        <f t="shared" ref="G22:G23" si="1">F22*E22</f>
        <v>1201.2</v>
      </c>
      <c r="H22" s="672">
        <v>1200</v>
      </c>
      <c r="I22" s="673">
        <v>0.2</v>
      </c>
      <c r="J22" s="672">
        <v>960</v>
      </c>
      <c r="K22" s="672">
        <f>150*E22</f>
        <v>780</v>
      </c>
      <c r="L22" s="672">
        <f t="shared" si="0"/>
        <v>180</v>
      </c>
      <c r="M22" s="674" t="s">
        <v>1779</v>
      </c>
    </row>
    <row r="23" spans="1:13" ht="22.5" customHeight="1">
      <c r="A23" s="645">
        <v>8</v>
      </c>
      <c r="B23" s="274" t="s">
        <v>3017</v>
      </c>
      <c r="C23" s="677" t="s">
        <v>2470</v>
      </c>
      <c r="D23" s="678" t="s">
        <v>2458</v>
      </c>
      <c r="E23" s="679">
        <v>5</v>
      </c>
      <c r="F23" s="680">
        <v>420</v>
      </c>
      <c r="G23" s="680">
        <f t="shared" si="1"/>
        <v>2100</v>
      </c>
      <c r="H23" s="680">
        <v>2100</v>
      </c>
      <c r="I23" s="673">
        <v>0.2</v>
      </c>
      <c r="J23" s="672">
        <v>1680</v>
      </c>
      <c r="K23" s="672">
        <v>750</v>
      </c>
      <c r="L23" s="672">
        <v>1350</v>
      </c>
      <c r="M23" s="674" t="s">
        <v>1653</v>
      </c>
    </row>
    <row r="24" spans="1:13" ht="22.5" customHeight="1">
      <c r="A24" s="645">
        <v>9</v>
      </c>
      <c r="B24" s="645" t="s">
        <v>3018</v>
      </c>
      <c r="C24" s="645" t="s">
        <v>2470</v>
      </c>
      <c r="D24" s="649" t="s">
        <v>2458</v>
      </c>
      <c r="E24" s="647">
        <v>4.5999999999999996</v>
      </c>
      <c r="F24" s="672">
        <v>420</v>
      </c>
      <c r="G24" s="672">
        <v>1931.9999999999998</v>
      </c>
      <c r="H24" s="672">
        <v>1931.9999999999998</v>
      </c>
      <c r="I24" s="673">
        <v>0.2</v>
      </c>
      <c r="J24" s="672">
        <v>1545.6</v>
      </c>
      <c r="K24" s="672">
        <v>690</v>
      </c>
      <c r="L24" s="672">
        <v>1241.9999999999998</v>
      </c>
      <c r="M24" s="674" t="s">
        <v>1653</v>
      </c>
    </row>
    <row r="25" spans="1:13" ht="22.5" customHeight="1">
      <c r="A25" s="645">
        <v>10</v>
      </c>
      <c r="B25" s="274" t="s">
        <v>3019</v>
      </c>
      <c r="C25" s="677" t="s">
        <v>2470</v>
      </c>
      <c r="D25" s="678" t="s">
        <v>2458</v>
      </c>
      <c r="E25" s="679">
        <v>5.2</v>
      </c>
      <c r="F25" s="680">
        <v>420</v>
      </c>
      <c r="G25" s="680">
        <v>2184</v>
      </c>
      <c r="H25" s="680">
        <v>2184</v>
      </c>
      <c r="I25" s="673">
        <v>0.2</v>
      </c>
      <c r="J25" s="672">
        <v>1747.2</v>
      </c>
      <c r="K25" s="672">
        <v>780</v>
      </c>
      <c r="L25" s="672">
        <v>1404</v>
      </c>
      <c r="M25" s="674" t="s">
        <v>1653</v>
      </c>
    </row>
    <row r="26" spans="1:13" ht="22.5" customHeight="1">
      <c r="A26" s="645">
        <v>11</v>
      </c>
      <c r="B26" s="645" t="s">
        <v>3020</v>
      </c>
      <c r="C26" s="650" t="s">
        <v>2513</v>
      </c>
      <c r="D26" s="645" t="s">
        <v>2458</v>
      </c>
      <c r="E26" s="647">
        <v>5</v>
      </c>
      <c r="F26" s="672">
        <v>420</v>
      </c>
      <c r="G26" s="672">
        <v>2100</v>
      </c>
      <c r="H26" s="672">
        <v>2100</v>
      </c>
      <c r="I26" s="673">
        <v>0.2</v>
      </c>
      <c r="J26" s="672">
        <v>1680</v>
      </c>
      <c r="K26" s="672">
        <v>750</v>
      </c>
      <c r="L26" s="672">
        <v>1350</v>
      </c>
      <c r="M26" s="674" t="s">
        <v>1653</v>
      </c>
    </row>
    <row r="27" spans="1:13" ht="22.5" customHeight="1">
      <c r="A27" s="645">
        <v>12</v>
      </c>
      <c r="B27" s="649" t="s">
        <v>3021</v>
      </c>
      <c r="C27" s="645" t="s">
        <v>2470</v>
      </c>
      <c r="D27" s="645" t="s">
        <v>2458</v>
      </c>
      <c r="E27" s="647">
        <v>4.5999999999999996</v>
      </c>
      <c r="F27" s="672">
        <v>563</v>
      </c>
      <c r="G27" s="672">
        <v>2589.7999999999997</v>
      </c>
      <c r="H27" s="672">
        <v>2500</v>
      </c>
      <c r="I27" s="673">
        <v>0.2</v>
      </c>
      <c r="J27" s="672">
        <v>2000</v>
      </c>
      <c r="K27" s="672">
        <v>690</v>
      </c>
      <c r="L27" s="672">
        <v>1310</v>
      </c>
      <c r="M27" s="674" t="s">
        <v>1653</v>
      </c>
    </row>
    <row r="28" spans="1:13" ht="22.5" customHeight="1">
      <c r="A28" s="645">
        <v>13</v>
      </c>
      <c r="B28" s="649" t="s">
        <v>3022</v>
      </c>
      <c r="C28" s="649" t="s">
        <v>2470</v>
      </c>
      <c r="D28" s="649" t="s">
        <v>2458</v>
      </c>
      <c r="E28" s="647">
        <v>4.7</v>
      </c>
      <c r="F28" s="672">
        <v>563</v>
      </c>
      <c r="G28" s="672">
        <v>2646.1</v>
      </c>
      <c r="H28" s="672">
        <v>2646.1</v>
      </c>
      <c r="I28" s="673">
        <v>0.2</v>
      </c>
      <c r="J28" s="672">
        <v>2116.88</v>
      </c>
      <c r="K28" s="672">
        <v>705</v>
      </c>
      <c r="L28" s="672">
        <v>1411.88</v>
      </c>
      <c r="M28" s="674" t="s">
        <v>1653</v>
      </c>
    </row>
    <row r="29" spans="1:13" ht="22.5" customHeight="1">
      <c r="A29" s="645">
        <v>14</v>
      </c>
      <c r="B29" s="650" t="s">
        <v>3023</v>
      </c>
      <c r="C29" s="650" t="s">
        <v>2496</v>
      </c>
      <c r="D29" s="650" t="s">
        <v>2458</v>
      </c>
      <c r="E29" s="647">
        <v>4.8</v>
      </c>
      <c r="F29" s="672">
        <v>563</v>
      </c>
      <c r="G29" s="672">
        <v>2702.4</v>
      </c>
      <c r="H29" s="672">
        <v>2702.4</v>
      </c>
      <c r="I29" s="673">
        <v>0.2</v>
      </c>
      <c r="J29" s="672">
        <v>2161.92</v>
      </c>
      <c r="K29" s="672">
        <v>888</v>
      </c>
      <c r="L29" s="672">
        <v>1273.92</v>
      </c>
      <c r="M29" s="674" t="s">
        <v>1653</v>
      </c>
    </row>
    <row r="30" spans="1:13" ht="22.5" customHeight="1">
      <c r="A30" s="645">
        <v>15</v>
      </c>
      <c r="B30" s="650" t="s">
        <v>3024</v>
      </c>
      <c r="C30" s="650" t="s">
        <v>2513</v>
      </c>
      <c r="D30" s="650" t="s">
        <v>2458</v>
      </c>
      <c r="E30" s="647">
        <v>4.3</v>
      </c>
      <c r="F30" s="672">
        <v>563</v>
      </c>
      <c r="G30" s="672">
        <v>2420.9</v>
      </c>
      <c r="H30" s="672">
        <v>2420.9</v>
      </c>
      <c r="I30" s="673">
        <v>0.2</v>
      </c>
      <c r="J30" s="672">
        <v>1936.7200000000003</v>
      </c>
      <c r="K30" s="672">
        <v>645</v>
      </c>
      <c r="L30" s="672">
        <v>1291.7200000000003</v>
      </c>
      <c r="M30" s="570" t="s">
        <v>1653</v>
      </c>
    </row>
    <row r="31" spans="1:13" ht="22.5" customHeight="1">
      <c r="A31" s="645">
        <v>16</v>
      </c>
      <c r="B31" s="649" t="s">
        <v>3025</v>
      </c>
      <c r="C31" s="649" t="s">
        <v>2513</v>
      </c>
      <c r="D31" s="649" t="s">
        <v>3026</v>
      </c>
      <c r="E31" s="647">
        <v>5</v>
      </c>
      <c r="F31" s="681">
        <v>918</v>
      </c>
      <c r="G31" s="649">
        <v>4590</v>
      </c>
      <c r="H31" s="672">
        <v>2295</v>
      </c>
      <c r="I31" s="673">
        <v>0.2</v>
      </c>
      <c r="J31" s="672">
        <v>1836</v>
      </c>
      <c r="K31" s="649">
        <v>750</v>
      </c>
      <c r="L31" s="672">
        <v>1086</v>
      </c>
      <c r="M31" s="570" t="s">
        <v>1724</v>
      </c>
    </row>
    <row r="32" spans="1:13" ht="22.5" customHeight="1">
      <c r="A32" s="682"/>
      <c r="B32" s="683" t="s">
        <v>26</v>
      </c>
      <c r="C32" s="684">
        <f t="array" ref="C32">COUNTA(C16:INDEX(C:C,ROW()-1))</f>
        <v>16</v>
      </c>
      <c r="D32" s="684"/>
      <c r="E32" s="685">
        <f>SUM(E16:E31)</f>
        <v>78.3</v>
      </c>
      <c r="F32" s="684"/>
      <c r="G32" s="684"/>
      <c r="H32" s="684"/>
      <c r="I32" s="684"/>
      <c r="J32" s="996">
        <f>SUM(K16:K30)</f>
        <v>11238.6</v>
      </c>
      <c r="K32" s="932"/>
      <c r="L32" s="997">
        <f>SUM(L16:L30)</f>
        <v>14349.68</v>
      </c>
      <c r="M32" s="932"/>
    </row>
    <row r="33" spans="1:13" ht="16.2">
      <c r="A33" s="597"/>
      <c r="B33" s="597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</row>
    <row r="34" spans="1:13" ht="16.2">
      <c r="A34" s="597"/>
      <c r="B34" s="597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</row>
    <row r="35" spans="1:13" ht="16.2">
      <c r="A35" s="597"/>
      <c r="B35" s="597"/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</row>
    <row r="36" spans="1:13" ht="13.2">
      <c r="A36" s="993" t="s">
        <v>3027</v>
      </c>
      <c r="B36" s="953"/>
      <c r="C36" s="953"/>
      <c r="D36" s="953"/>
      <c r="E36" s="953"/>
      <c r="F36" s="953"/>
      <c r="G36" s="953"/>
      <c r="H36" s="953"/>
      <c r="I36" s="953"/>
      <c r="J36" s="953"/>
      <c r="K36" s="953"/>
      <c r="L36" s="953"/>
      <c r="M36" s="941"/>
    </row>
    <row r="37" spans="1:13" ht="13.2">
      <c r="A37" s="942"/>
      <c r="B37" s="954"/>
      <c r="C37" s="954"/>
      <c r="D37" s="954"/>
      <c r="E37" s="954"/>
      <c r="F37" s="954"/>
      <c r="G37" s="954"/>
      <c r="H37" s="954"/>
      <c r="I37" s="954"/>
      <c r="J37" s="954"/>
      <c r="K37" s="954"/>
      <c r="L37" s="954"/>
      <c r="M37" s="943"/>
    </row>
    <row r="38" spans="1:13" ht="22.5" customHeight="1">
      <c r="A38" s="253" t="s">
        <v>165</v>
      </c>
      <c r="B38" s="282" t="s">
        <v>166</v>
      </c>
      <c r="C38" s="255" t="s">
        <v>1556</v>
      </c>
      <c r="D38" s="282" t="s">
        <v>168</v>
      </c>
      <c r="E38" s="255" t="s">
        <v>169</v>
      </c>
      <c r="F38" s="282" t="s">
        <v>1557</v>
      </c>
      <c r="G38" s="282" t="s">
        <v>1558</v>
      </c>
      <c r="H38" s="282" t="s">
        <v>1559</v>
      </c>
      <c r="I38" s="282" t="s">
        <v>3004</v>
      </c>
      <c r="J38" s="670" t="s">
        <v>1561</v>
      </c>
      <c r="K38" s="686" t="s">
        <v>1562</v>
      </c>
      <c r="L38" s="671" t="s">
        <v>1563</v>
      </c>
      <c r="M38" s="287" t="s">
        <v>177</v>
      </c>
    </row>
    <row r="39" spans="1:13" ht="22.5" customHeight="1">
      <c r="A39" s="645">
        <v>17</v>
      </c>
      <c r="B39" s="687" t="s">
        <v>3028</v>
      </c>
      <c r="C39" s="688" t="s">
        <v>3029</v>
      </c>
      <c r="D39" s="688" t="s">
        <v>3030</v>
      </c>
      <c r="E39" s="688">
        <v>4.8</v>
      </c>
      <c r="F39" s="689">
        <v>1621.8</v>
      </c>
      <c r="G39" s="689">
        <v>7784.6399999999994</v>
      </c>
      <c r="H39" s="689">
        <f t="shared" ref="H39:H42" si="2">G39/2</f>
        <v>3892.3199999999997</v>
      </c>
      <c r="I39" s="690">
        <v>0.2</v>
      </c>
      <c r="J39" s="691">
        <v>2724.6239999999998</v>
      </c>
      <c r="K39" s="691">
        <v>1297.4399999999998</v>
      </c>
      <c r="L39" s="676">
        <v>1427.184</v>
      </c>
      <c r="M39" s="692" t="s">
        <v>1565</v>
      </c>
    </row>
    <row r="40" spans="1:13" ht="22.5" customHeight="1">
      <c r="A40" s="645">
        <v>18</v>
      </c>
      <c r="B40" s="693" t="s">
        <v>3031</v>
      </c>
      <c r="C40" s="694" t="s">
        <v>3032</v>
      </c>
      <c r="D40" s="694" t="s">
        <v>3033</v>
      </c>
      <c r="E40" s="694">
        <v>5</v>
      </c>
      <c r="F40" s="695">
        <v>1621.8</v>
      </c>
      <c r="G40" s="695">
        <v>8109</v>
      </c>
      <c r="H40" s="695">
        <f t="shared" si="2"/>
        <v>4054.5</v>
      </c>
      <c r="I40" s="690">
        <v>0.2</v>
      </c>
      <c r="J40" s="696">
        <v>2838.15</v>
      </c>
      <c r="K40" s="696">
        <v>1351.4999999999998</v>
      </c>
      <c r="L40" s="697">
        <v>1486.6500000000003</v>
      </c>
      <c r="M40" s="698" t="s">
        <v>3034</v>
      </c>
    </row>
    <row r="41" spans="1:13" ht="22.5" customHeight="1">
      <c r="A41" s="645">
        <v>19</v>
      </c>
      <c r="B41" s="693" t="s">
        <v>3035</v>
      </c>
      <c r="C41" s="694" t="s">
        <v>3032</v>
      </c>
      <c r="D41" s="694" t="s">
        <v>3036</v>
      </c>
      <c r="E41" s="694">
        <v>4.9000000000000004</v>
      </c>
      <c r="F41" s="695">
        <v>1621.8</v>
      </c>
      <c r="G41" s="695">
        <v>7946.8200000000006</v>
      </c>
      <c r="H41" s="695">
        <f t="shared" si="2"/>
        <v>3973.4100000000003</v>
      </c>
      <c r="I41" s="690">
        <v>0.2</v>
      </c>
      <c r="J41" s="696">
        <v>2781.3870000000002</v>
      </c>
      <c r="K41" s="696">
        <v>1324.4699999999998</v>
      </c>
      <c r="L41" s="697">
        <v>1456.9170000000004</v>
      </c>
      <c r="M41" s="698" t="s">
        <v>1565</v>
      </c>
    </row>
    <row r="42" spans="1:13" ht="22.5" customHeight="1">
      <c r="A42" s="645">
        <v>20</v>
      </c>
      <c r="B42" s="693" t="s">
        <v>3037</v>
      </c>
      <c r="C42" s="694" t="s">
        <v>3038</v>
      </c>
      <c r="D42" s="694" t="s">
        <v>2685</v>
      </c>
      <c r="E42" s="694">
        <v>5</v>
      </c>
      <c r="F42" s="695">
        <v>1621.8</v>
      </c>
      <c r="G42" s="695">
        <v>8109</v>
      </c>
      <c r="H42" s="695">
        <f t="shared" si="2"/>
        <v>4054.5</v>
      </c>
      <c r="I42" s="690">
        <v>0.2</v>
      </c>
      <c r="J42" s="696">
        <v>2838.15</v>
      </c>
      <c r="K42" s="696">
        <v>1351.4999999999998</v>
      </c>
      <c r="L42" s="697">
        <v>1486.6500000000003</v>
      </c>
      <c r="M42" s="698" t="s">
        <v>1565</v>
      </c>
    </row>
    <row r="43" spans="1:13" ht="22.5" customHeight="1">
      <c r="A43" s="645">
        <v>21</v>
      </c>
      <c r="B43" s="274" t="s">
        <v>3039</v>
      </c>
      <c r="C43" s="678" t="s">
        <v>3040</v>
      </c>
      <c r="D43" s="291" t="s">
        <v>2458</v>
      </c>
      <c r="E43" s="678">
        <v>5.2</v>
      </c>
      <c r="F43" s="680">
        <v>1621.8</v>
      </c>
      <c r="G43" s="680">
        <f t="shared" ref="G43:G46" si="3">F43*E43</f>
        <v>8433.36</v>
      </c>
      <c r="H43" s="689">
        <v>4216.68</v>
      </c>
      <c r="I43" s="690">
        <v>0.2</v>
      </c>
      <c r="J43" s="691">
        <v>2951.6759999999999</v>
      </c>
      <c r="K43" s="676">
        <v>1378</v>
      </c>
      <c r="L43" s="676">
        <v>1573.6759999999999</v>
      </c>
      <c r="M43" s="698" t="s">
        <v>1565</v>
      </c>
    </row>
    <row r="44" spans="1:13" ht="22.5" customHeight="1">
      <c r="A44" s="645">
        <v>22</v>
      </c>
      <c r="B44" s="699" t="s">
        <v>3041</v>
      </c>
      <c r="C44" s="309" t="s">
        <v>3042</v>
      </c>
      <c r="D44" s="700" t="s">
        <v>2458</v>
      </c>
      <c r="E44" s="309">
        <v>5</v>
      </c>
      <c r="F44" s="327">
        <v>1621.8</v>
      </c>
      <c r="G44" s="327">
        <f t="shared" si="3"/>
        <v>8109</v>
      </c>
      <c r="H44" s="695">
        <v>4054.5</v>
      </c>
      <c r="I44" s="690">
        <v>0.2</v>
      </c>
      <c r="J44" s="696">
        <v>2838.15</v>
      </c>
      <c r="K44" s="697">
        <v>1325</v>
      </c>
      <c r="L44" s="697">
        <v>1513.15</v>
      </c>
      <c r="M44" s="698" t="s">
        <v>1565</v>
      </c>
    </row>
    <row r="45" spans="1:13" ht="22.5" customHeight="1">
      <c r="A45" s="645">
        <v>23</v>
      </c>
      <c r="B45" s="699" t="s">
        <v>3043</v>
      </c>
      <c r="C45" s="309" t="s">
        <v>3044</v>
      </c>
      <c r="D45" s="700" t="s">
        <v>2458</v>
      </c>
      <c r="E45" s="309">
        <v>4.7</v>
      </c>
      <c r="F45" s="327">
        <v>1621.8</v>
      </c>
      <c r="G45" s="327">
        <f t="shared" si="3"/>
        <v>7622.46</v>
      </c>
      <c r="H45" s="695">
        <v>3811.23</v>
      </c>
      <c r="I45" s="690">
        <v>0.2</v>
      </c>
      <c r="J45" s="696">
        <v>2667.8609999999999</v>
      </c>
      <c r="K45" s="697">
        <v>1219</v>
      </c>
      <c r="L45" s="697">
        <v>1448.8609999999999</v>
      </c>
      <c r="M45" s="698" t="s">
        <v>1565</v>
      </c>
    </row>
    <row r="46" spans="1:13" ht="22.5" customHeight="1">
      <c r="A46" s="645">
        <v>24</v>
      </c>
      <c r="B46" s="699" t="s">
        <v>3045</v>
      </c>
      <c r="C46" s="309" t="s">
        <v>3046</v>
      </c>
      <c r="D46" s="700" t="s">
        <v>2458</v>
      </c>
      <c r="E46" s="309">
        <v>4.3</v>
      </c>
      <c r="F46" s="327">
        <v>1621.8</v>
      </c>
      <c r="G46" s="327">
        <f t="shared" si="3"/>
        <v>6973.74</v>
      </c>
      <c r="H46" s="695">
        <v>3486.87</v>
      </c>
      <c r="I46" s="690">
        <v>0.2</v>
      </c>
      <c r="J46" s="696">
        <v>2440.8089999999997</v>
      </c>
      <c r="K46" s="697">
        <v>1139.5</v>
      </c>
      <c r="L46" s="697">
        <v>1301.3089999999997</v>
      </c>
      <c r="M46" s="698" t="s">
        <v>1565</v>
      </c>
    </row>
    <row r="47" spans="1:13" ht="22.5" customHeight="1">
      <c r="A47" s="645">
        <v>25</v>
      </c>
      <c r="B47" s="645" t="s">
        <v>3047</v>
      </c>
      <c r="C47" s="645" t="s">
        <v>2547</v>
      </c>
      <c r="D47" s="645" t="s">
        <v>2547</v>
      </c>
      <c r="E47" s="645">
        <v>4.4000000000000004</v>
      </c>
      <c r="F47" s="672">
        <v>1590</v>
      </c>
      <c r="G47" s="672">
        <v>6996.0000000000009</v>
      </c>
      <c r="H47" s="672">
        <v>3498.0000000000005</v>
      </c>
      <c r="I47" s="690">
        <v>0.2</v>
      </c>
      <c r="J47" s="672">
        <v>2448.6000000000004</v>
      </c>
      <c r="K47" s="672">
        <v>1166</v>
      </c>
      <c r="L47" s="672">
        <v>1282.6000000000004</v>
      </c>
      <c r="M47" s="698" t="s">
        <v>1565</v>
      </c>
    </row>
    <row r="48" spans="1:13" ht="22.5" customHeight="1">
      <c r="A48" s="645">
        <v>26</v>
      </c>
      <c r="B48" s="645" t="s">
        <v>3048</v>
      </c>
      <c r="C48" s="645" t="s">
        <v>2547</v>
      </c>
      <c r="D48" s="645" t="s">
        <v>2547</v>
      </c>
      <c r="E48" s="645">
        <v>4.5</v>
      </c>
      <c r="F48" s="672">
        <v>1590</v>
      </c>
      <c r="G48" s="672">
        <v>7155</v>
      </c>
      <c r="H48" s="672">
        <v>3577.5</v>
      </c>
      <c r="I48" s="690">
        <v>0.2</v>
      </c>
      <c r="J48" s="672">
        <v>2504.25</v>
      </c>
      <c r="K48" s="672">
        <v>1192.5</v>
      </c>
      <c r="L48" s="672">
        <v>1311.75</v>
      </c>
      <c r="M48" s="698" t="s">
        <v>1565</v>
      </c>
    </row>
    <row r="49" spans="1:13" ht="22.5" customHeight="1">
      <c r="A49" s="645">
        <v>27</v>
      </c>
      <c r="B49" s="645" t="s">
        <v>3049</v>
      </c>
      <c r="C49" s="645" t="s">
        <v>2590</v>
      </c>
      <c r="D49" s="645" t="s">
        <v>2547</v>
      </c>
      <c r="E49" s="650">
        <v>4.5999999999999996</v>
      </c>
      <c r="F49" s="672">
        <v>637</v>
      </c>
      <c r="G49" s="672">
        <v>2930.2</v>
      </c>
      <c r="H49" s="672">
        <v>2800</v>
      </c>
      <c r="I49" s="673">
        <v>0.2</v>
      </c>
      <c r="J49" s="672">
        <v>2240</v>
      </c>
      <c r="K49" s="672">
        <v>1219</v>
      </c>
      <c r="L49" s="672">
        <v>1021</v>
      </c>
      <c r="M49" s="674" t="s">
        <v>1653</v>
      </c>
    </row>
    <row r="50" spans="1:13" ht="22.5" customHeight="1">
      <c r="A50" s="645">
        <v>28</v>
      </c>
      <c r="B50" s="649" t="s">
        <v>3050</v>
      </c>
      <c r="C50" s="650" t="s">
        <v>2570</v>
      </c>
      <c r="D50" s="645" t="s">
        <v>2547</v>
      </c>
      <c r="E50" s="650">
        <v>5.7</v>
      </c>
      <c r="F50" s="672">
        <v>1621.8</v>
      </c>
      <c r="G50" s="672">
        <v>9244.26</v>
      </c>
      <c r="H50" s="672">
        <v>4622.13</v>
      </c>
      <c r="I50" s="673">
        <v>0.2</v>
      </c>
      <c r="J50" s="672">
        <v>3697.7040000000002</v>
      </c>
      <c r="K50" s="672">
        <v>1510.5</v>
      </c>
      <c r="L50" s="672">
        <v>2187.2040000000002</v>
      </c>
      <c r="M50" s="674" t="s">
        <v>1565</v>
      </c>
    </row>
    <row r="51" spans="1:13" ht="22.5" customHeight="1">
      <c r="A51" s="645">
        <v>29</v>
      </c>
      <c r="B51" s="649" t="s">
        <v>3051</v>
      </c>
      <c r="C51" s="649" t="s">
        <v>2554</v>
      </c>
      <c r="D51" s="649" t="s">
        <v>3052</v>
      </c>
      <c r="E51" s="650">
        <v>4.7</v>
      </c>
      <c r="F51" s="681">
        <v>1621</v>
      </c>
      <c r="G51" s="649">
        <v>7618.7000000000007</v>
      </c>
      <c r="H51" s="672">
        <v>3809.3500000000004</v>
      </c>
      <c r="I51" s="673">
        <v>0.2</v>
      </c>
      <c r="J51" s="672">
        <v>3047.4800000000005</v>
      </c>
      <c r="K51" s="649">
        <v>1245.5</v>
      </c>
      <c r="L51" s="672">
        <v>1801.9800000000005</v>
      </c>
      <c r="M51" s="674" t="s">
        <v>1724</v>
      </c>
    </row>
    <row r="52" spans="1:13" ht="22.5" customHeight="1">
      <c r="A52" s="645">
        <v>30</v>
      </c>
      <c r="B52" s="649" t="s">
        <v>3053</v>
      </c>
      <c r="C52" s="649" t="s">
        <v>2554</v>
      </c>
      <c r="D52" s="649" t="s">
        <v>2597</v>
      </c>
      <c r="E52" s="650">
        <v>4.5999999999999996</v>
      </c>
      <c r="F52" s="681">
        <v>1621</v>
      </c>
      <c r="G52" s="649">
        <v>7456.5999999999995</v>
      </c>
      <c r="H52" s="672">
        <v>3728.2999999999997</v>
      </c>
      <c r="I52" s="673">
        <v>0.2</v>
      </c>
      <c r="J52" s="672">
        <v>2982.64</v>
      </c>
      <c r="K52" s="649">
        <v>1219</v>
      </c>
      <c r="L52" s="672">
        <v>1763.6399999999999</v>
      </c>
      <c r="M52" s="674" t="s">
        <v>1724</v>
      </c>
    </row>
    <row r="53" spans="1:13" ht="22.5" customHeight="1">
      <c r="A53" s="645">
        <v>31</v>
      </c>
      <c r="B53" s="649" t="s">
        <v>3054</v>
      </c>
      <c r="C53" s="649" t="s">
        <v>2561</v>
      </c>
      <c r="D53" s="649" t="s">
        <v>2552</v>
      </c>
      <c r="E53" s="650">
        <v>5.2</v>
      </c>
      <c r="F53" s="681">
        <v>1621</v>
      </c>
      <c r="G53" s="649">
        <v>8429.2000000000007</v>
      </c>
      <c r="H53" s="672">
        <v>4214.6000000000004</v>
      </c>
      <c r="I53" s="673">
        <v>0.2</v>
      </c>
      <c r="J53" s="672">
        <v>3371.6800000000003</v>
      </c>
      <c r="K53" s="649">
        <v>1378</v>
      </c>
      <c r="L53" s="672">
        <v>1993.6800000000003</v>
      </c>
      <c r="M53" s="674" t="s">
        <v>1724</v>
      </c>
    </row>
    <row r="54" spans="1:13" ht="22.5" customHeight="1">
      <c r="A54" s="645">
        <v>32</v>
      </c>
      <c r="B54" s="649" t="s">
        <v>3055</v>
      </c>
      <c r="C54" s="649" t="s">
        <v>2590</v>
      </c>
      <c r="D54" s="649" t="s">
        <v>2633</v>
      </c>
      <c r="E54" s="650">
        <v>4.8</v>
      </c>
      <c r="F54" s="681">
        <v>1621</v>
      </c>
      <c r="G54" s="649">
        <v>7780.7999999999993</v>
      </c>
      <c r="H54" s="672">
        <v>3890.3999999999996</v>
      </c>
      <c r="I54" s="673">
        <v>0.2</v>
      </c>
      <c r="J54" s="672">
        <v>3112.3199999999997</v>
      </c>
      <c r="K54" s="649">
        <v>1272</v>
      </c>
      <c r="L54" s="672">
        <v>1840.3199999999997</v>
      </c>
      <c r="M54" s="674" t="s">
        <v>1724</v>
      </c>
    </row>
    <row r="55" spans="1:13" ht="22.5" customHeight="1">
      <c r="A55" s="645">
        <v>33</v>
      </c>
      <c r="B55" s="649" t="s">
        <v>3056</v>
      </c>
      <c r="C55" s="649" t="s">
        <v>2590</v>
      </c>
      <c r="D55" s="649" t="s">
        <v>2597</v>
      </c>
      <c r="E55" s="650">
        <v>4.8</v>
      </c>
      <c r="F55" s="681">
        <v>1621</v>
      </c>
      <c r="G55" s="649">
        <v>7780.7999999999993</v>
      </c>
      <c r="H55" s="672">
        <v>3890.3999999999996</v>
      </c>
      <c r="I55" s="673">
        <v>0.2</v>
      </c>
      <c r="J55" s="672">
        <v>3112.3199999999997</v>
      </c>
      <c r="K55" s="649">
        <v>1272</v>
      </c>
      <c r="L55" s="672">
        <v>1840.3199999999997</v>
      </c>
      <c r="M55" s="674" t="s">
        <v>1724</v>
      </c>
    </row>
    <row r="56" spans="1:13" ht="22.5" customHeight="1">
      <c r="A56" s="682"/>
      <c r="B56" s="683" t="s">
        <v>26</v>
      </c>
      <c r="C56" s="684">
        <f t="array" ref="C56">COUNTA(C39:INDEX(C:C,ROW()-1))</f>
        <v>17</v>
      </c>
      <c r="D56" s="682"/>
      <c r="E56" s="682">
        <f>SUM(E38:E55)</f>
        <v>82.2</v>
      </c>
      <c r="F56" s="682"/>
      <c r="G56" s="682"/>
      <c r="H56" s="682"/>
      <c r="I56" s="682"/>
      <c r="J56" s="996">
        <f>SUM(K39:K55)</f>
        <v>21860.91</v>
      </c>
      <c r="K56" s="932"/>
      <c r="L56" s="997">
        <f>SUM(L39:L55)</f>
        <v>26736.891</v>
      </c>
      <c r="M56" s="932"/>
    </row>
    <row r="57" spans="1:13" ht="16.2">
      <c r="A57" s="597"/>
      <c r="B57" s="597"/>
      <c r="C57" s="597"/>
      <c r="D57" s="597"/>
      <c r="E57" s="597"/>
      <c r="F57" s="597"/>
      <c r="G57" s="597"/>
      <c r="H57" s="597"/>
      <c r="I57" s="597"/>
      <c r="J57" s="597"/>
      <c r="K57" s="597"/>
      <c r="L57" s="597"/>
      <c r="M57" s="597"/>
    </row>
    <row r="58" spans="1:13" ht="16.2">
      <c r="A58" s="597"/>
      <c r="B58" s="597"/>
      <c r="C58" s="597"/>
      <c r="D58" s="597"/>
      <c r="E58" s="597"/>
      <c r="F58" s="597"/>
      <c r="G58" s="597"/>
      <c r="H58" s="597"/>
      <c r="I58" s="597"/>
      <c r="J58" s="597"/>
      <c r="K58" s="597"/>
      <c r="L58" s="597"/>
      <c r="M58" s="597"/>
    </row>
    <row r="59" spans="1:13" ht="16.2">
      <c r="A59" s="597"/>
      <c r="B59" s="597"/>
      <c r="C59" s="597"/>
      <c r="D59" s="597"/>
      <c r="E59" s="597"/>
      <c r="F59" s="597"/>
      <c r="G59" s="597"/>
      <c r="H59" s="597"/>
      <c r="I59" s="597"/>
      <c r="J59" s="597"/>
      <c r="K59" s="597"/>
      <c r="L59" s="597"/>
      <c r="M59" s="597"/>
    </row>
    <row r="60" spans="1:13" ht="16.2">
      <c r="A60" s="597"/>
      <c r="B60" s="597"/>
      <c r="C60" s="597"/>
      <c r="D60" s="597"/>
      <c r="E60" s="597"/>
      <c r="F60" s="597"/>
      <c r="G60" s="597"/>
      <c r="H60" s="597"/>
      <c r="I60" s="597"/>
      <c r="J60" s="597"/>
      <c r="K60" s="597"/>
      <c r="L60" s="597"/>
      <c r="M60" s="597"/>
    </row>
    <row r="61" spans="1:13" ht="16.2">
      <c r="A61" s="597"/>
      <c r="B61" s="597"/>
      <c r="C61" s="597"/>
      <c r="D61" s="597"/>
      <c r="E61" s="597"/>
      <c r="F61" s="597"/>
      <c r="G61" s="597"/>
      <c r="H61" s="597"/>
      <c r="I61" s="597"/>
      <c r="J61" s="597"/>
      <c r="K61" s="597"/>
      <c r="L61" s="597"/>
      <c r="M61" s="597"/>
    </row>
    <row r="62" spans="1:13" ht="16.2">
      <c r="A62" s="597"/>
      <c r="B62" s="597"/>
      <c r="C62" s="597"/>
      <c r="D62" s="597"/>
      <c r="E62" s="597"/>
      <c r="F62" s="597"/>
      <c r="G62" s="597"/>
      <c r="H62" s="597"/>
      <c r="I62" s="597"/>
      <c r="J62" s="597"/>
      <c r="K62" s="597"/>
      <c r="L62" s="597"/>
      <c r="M62" s="597"/>
    </row>
    <row r="63" spans="1:13" ht="16.2">
      <c r="A63" s="597"/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7"/>
    </row>
    <row r="64" spans="1:13" ht="16.2">
      <c r="A64" s="597"/>
      <c r="B64" s="597"/>
      <c r="C64" s="597"/>
      <c r="D64" s="597"/>
      <c r="E64" s="597"/>
      <c r="F64" s="597"/>
      <c r="G64" s="597"/>
      <c r="H64" s="597"/>
      <c r="I64" s="597"/>
      <c r="J64" s="597"/>
      <c r="K64" s="597"/>
      <c r="L64" s="597"/>
      <c r="M64" s="597"/>
    </row>
    <row r="65" spans="1:13" ht="16.2">
      <c r="A65" s="597"/>
      <c r="B65" s="597"/>
      <c r="C65" s="597"/>
      <c r="D65" s="597"/>
      <c r="E65" s="597"/>
      <c r="F65" s="597"/>
      <c r="G65" s="597"/>
      <c r="H65" s="597"/>
      <c r="I65" s="597"/>
      <c r="J65" s="597"/>
      <c r="K65" s="597"/>
      <c r="L65" s="597"/>
      <c r="M65" s="597"/>
    </row>
    <row r="66" spans="1:13" ht="16.2">
      <c r="A66" s="597"/>
      <c r="B66" s="597"/>
      <c r="C66" s="597"/>
      <c r="D66" s="597"/>
      <c r="E66" s="597"/>
      <c r="F66" s="597"/>
      <c r="G66" s="597"/>
      <c r="H66" s="597"/>
      <c r="I66" s="597"/>
      <c r="J66" s="597"/>
      <c r="K66" s="597"/>
      <c r="L66" s="597"/>
      <c r="M66" s="597"/>
    </row>
    <row r="67" spans="1:13" ht="16.2">
      <c r="A67" s="597"/>
      <c r="B67" s="597"/>
      <c r="C67" s="597"/>
      <c r="D67" s="597"/>
      <c r="E67" s="597"/>
      <c r="F67" s="597"/>
      <c r="G67" s="597"/>
      <c r="H67" s="597"/>
      <c r="I67" s="597"/>
      <c r="J67" s="597"/>
      <c r="K67" s="597"/>
      <c r="L67" s="597"/>
      <c r="M67" s="597"/>
    </row>
    <row r="68" spans="1:13" ht="16.2">
      <c r="A68" s="597"/>
      <c r="B68" s="597"/>
      <c r="C68" s="597"/>
      <c r="D68" s="597"/>
      <c r="E68" s="597"/>
      <c r="F68" s="597"/>
      <c r="G68" s="597"/>
      <c r="H68" s="597"/>
      <c r="I68" s="597"/>
      <c r="J68" s="597"/>
      <c r="K68" s="597"/>
      <c r="L68" s="597"/>
      <c r="M68" s="597"/>
    </row>
    <row r="69" spans="1:13" ht="16.2">
      <c r="A69" s="597"/>
      <c r="B69" s="597"/>
      <c r="C69" s="597"/>
      <c r="D69" s="597"/>
      <c r="E69" s="597"/>
      <c r="F69" s="597"/>
      <c r="G69" s="597"/>
      <c r="H69" s="597"/>
      <c r="I69" s="597"/>
      <c r="J69" s="597"/>
      <c r="K69" s="597"/>
      <c r="L69" s="597"/>
      <c r="M69" s="597"/>
    </row>
    <row r="70" spans="1:13" ht="13.2">
      <c r="A70" s="993" t="s">
        <v>3057</v>
      </c>
      <c r="B70" s="953"/>
      <c r="C70" s="953"/>
      <c r="D70" s="953"/>
      <c r="E70" s="953"/>
      <c r="F70" s="953"/>
      <c r="G70" s="953"/>
      <c r="H70" s="953"/>
      <c r="I70" s="953"/>
      <c r="J70" s="953"/>
      <c r="K70" s="953"/>
      <c r="L70" s="953"/>
      <c r="M70" s="941"/>
    </row>
    <row r="71" spans="1:13" ht="13.2">
      <c r="A71" s="942"/>
      <c r="B71" s="954"/>
      <c r="C71" s="954"/>
      <c r="D71" s="954"/>
      <c r="E71" s="954"/>
      <c r="F71" s="954"/>
      <c r="G71" s="954"/>
      <c r="H71" s="954"/>
      <c r="I71" s="954"/>
      <c r="J71" s="954"/>
      <c r="K71" s="954"/>
      <c r="L71" s="954"/>
      <c r="M71" s="943"/>
    </row>
    <row r="72" spans="1:13" ht="22.5" customHeight="1">
      <c r="A72" s="253" t="s">
        <v>165</v>
      </c>
      <c r="B72" s="282" t="s">
        <v>166</v>
      </c>
      <c r="C72" s="255" t="s">
        <v>1556</v>
      </c>
      <c r="D72" s="282" t="s">
        <v>168</v>
      </c>
      <c r="E72" s="255" t="s">
        <v>169</v>
      </c>
      <c r="F72" s="282" t="s">
        <v>1557</v>
      </c>
      <c r="G72" s="282" t="s">
        <v>1558</v>
      </c>
      <c r="H72" s="282" t="s">
        <v>1559</v>
      </c>
      <c r="I72" s="282" t="s">
        <v>3004</v>
      </c>
      <c r="J72" s="670" t="s">
        <v>1561</v>
      </c>
      <c r="K72" s="686" t="s">
        <v>1562</v>
      </c>
      <c r="L72" s="671" t="s">
        <v>1563</v>
      </c>
      <c r="M72" s="287" t="s">
        <v>177</v>
      </c>
    </row>
    <row r="73" spans="1:13" ht="22.5" customHeight="1">
      <c r="A73" s="645">
        <v>34</v>
      </c>
      <c r="B73" s="645" t="s">
        <v>3058</v>
      </c>
      <c r="C73" s="645" t="s">
        <v>3059</v>
      </c>
      <c r="D73" s="645" t="s">
        <v>3060</v>
      </c>
      <c r="E73" s="647">
        <v>4.8</v>
      </c>
      <c r="F73" s="681">
        <v>917.99999999999989</v>
      </c>
      <c r="G73" s="681">
        <v>4406.3999999999996</v>
      </c>
      <c r="H73" s="681">
        <v>2203.1999999999998</v>
      </c>
      <c r="I73" s="673">
        <v>0.3</v>
      </c>
      <c r="J73" s="672">
        <v>1542.24</v>
      </c>
      <c r="K73" s="672">
        <v>660.95999999999992</v>
      </c>
      <c r="L73" s="672">
        <v>881.28000000000009</v>
      </c>
      <c r="M73" s="674" t="s">
        <v>1565</v>
      </c>
    </row>
    <row r="74" spans="1:13" ht="22.5" customHeight="1">
      <c r="A74" s="645">
        <v>35</v>
      </c>
      <c r="B74" s="645" t="s">
        <v>3061</v>
      </c>
      <c r="C74" s="645" t="s">
        <v>3062</v>
      </c>
      <c r="D74" s="645" t="s">
        <v>3063</v>
      </c>
      <c r="E74" s="647">
        <v>5.6</v>
      </c>
      <c r="F74" s="681">
        <v>917.99999999999989</v>
      </c>
      <c r="G74" s="681">
        <v>5140.7999999999993</v>
      </c>
      <c r="H74" s="681">
        <v>2570.3999999999996</v>
      </c>
      <c r="I74" s="673">
        <v>0.3</v>
      </c>
      <c r="J74" s="672">
        <v>1799.28</v>
      </c>
      <c r="K74" s="672">
        <v>771.11999999999989</v>
      </c>
      <c r="L74" s="672">
        <v>1028.1600000000001</v>
      </c>
      <c r="M74" s="674" t="s">
        <v>1565</v>
      </c>
    </row>
    <row r="75" spans="1:13" ht="22.5" customHeight="1">
      <c r="A75" s="645">
        <v>36</v>
      </c>
      <c r="B75" s="687" t="s">
        <v>3064</v>
      </c>
      <c r="C75" s="688">
        <v>50810369</v>
      </c>
      <c r="D75" s="688" t="s">
        <v>3065</v>
      </c>
      <c r="E75" s="701">
        <v>5.6</v>
      </c>
      <c r="F75" s="702">
        <v>1621.8</v>
      </c>
      <c r="G75" s="702">
        <v>9082.08</v>
      </c>
      <c r="H75" s="702">
        <f t="shared" ref="H75:H79" si="4">G75/2</f>
        <v>4541.04</v>
      </c>
      <c r="I75" s="690">
        <v>0.3</v>
      </c>
      <c r="J75" s="691">
        <v>3178.7279999999996</v>
      </c>
      <c r="K75" s="691">
        <v>999.59999999999991</v>
      </c>
      <c r="L75" s="676">
        <v>2179.1279999999997</v>
      </c>
      <c r="M75" s="674" t="s">
        <v>1565</v>
      </c>
    </row>
    <row r="76" spans="1:13" ht="22.5" customHeight="1">
      <c r="A76" s="645">
        <v>37</v>
      </c>
      <c r="B76" s="693" t="s">
        <v>3066</v>
      </c>
      <c r="C76" s="694">
        <v>52410090</v>
      </c>
      <c r="D76" s="694" t="s">
        <v>2702</v>
      </c>
      <c r="E76" s="703">
        <v>5.7</v>
      </c>
      <c r="F76" s="704">
        <v>1621.8</v>
      </c>
      <c r="G76" s="704">
        <v>9244.26</v>
      </c>
      <c r="H76" s="704">
        <f t="shared" si="4"/>
        <v>4622.13</v>
      </c>
      <c r="I76" s="705">
        <v>0.3</v>
      </c>
      <c r="J76" s="696">
        <v>3235.491</v>
      </c>
      <c r="K76" s="696">
        <v>1017.45</v>
      </c>
      <c r="L76" s="697">
        <v>2218.0410000000002</v>
      </c>
      <c r="M76" s="674" t="s">
        <v>1565</v>
      </c>
    </row>
    <row r="77" spans="1:13" ht="22.5" customHeight="1">
      <c r="A77" s="645">
        <v>38</v>
      </c>
      <c r="B77" s="693" t="s">
        <v>3067</v>
      </c>
      <c r="C77" s="694" t="s">
        <v>3068</v>
      </c>
      <c r="D77" s="694" t="s">
        <v>3069</v>
      </c>
      <c r="E77" s="703">
        <v>5</v>
      </c>
      <c r="F77" s="704">
        <v>1621.8</v>
      </c>
      <c r="G77" s="704">
        <v>8109</v>
      </c>
      <c r="H77" s="704">
        <f t="shared" si="4"/>
        <v>4054.5</v>
      </c>
      <c r="I77" s="705">
        <v>0.3</v>
      </c>
      <c r="J77" s="696">
        <v>2838.15</v>
      </c>
      <c r="K77" s="696">
        <v>892.5</v>
      </c>
      <c r="L77" s="697">
        <v>1945.65</v>
      </c>
      <c r="M77" s="674" t="s">
        <v>1565</v>
      </c>
    </row>
    <row r="78" spans="1:13" ht="22.5" customHeight="1">
      <c r="A78" s="645">
        <v>39</v>
      </c>
      <c r="B78" s="693" t="s">
        <v>3070</v>
      </c>
      <c r="C78" s="694" t="s">
        <v>3068</v>
      </c>
      <c r="D78" s="694" t="s">
        <v>2633</v>
      </c>
      <c r="E78" s="703">
        <v>4.3</v>
      </c>
      <c r="F78" s="704">
        <v>1621.8</v>
      </c>
      <c r="G78" s="704">
        <v>6973.74</v>
      </c>
      <c r="H78" s="704">
        <f t="shared" si="4"/>
        <v>3486.87</v>
      </c>
      <c r="I78" s="705">
        <v>0.3</v>
      </c>
      <c r="J78" s="696">
        <v>2440.8089999999997</v>
      </c>
      <c r="K78" s="696">
        <v>767.55</v>
      </c>
      <c r="L78" s="697">
        <v>1673.2589999999998</v>
      </c>
      <c r="M78" s="674" t="s">
        <v>1565</v>
      </c>
    </row>
    <row r="79" spans="1:13" ht="22.5" customHeight="1">
      <c r="A79" s="645">
        <v>40</v>
      </c>
      <c r="B79" s="693" t="s">
        <v>3071</v>
      </c>
      <c r="C79" s="694" t="s">
        <v>3068</v>
      </c>
      <c r="D79" s="694" t="s">
        <v>3072</v>
      </c>
      <c r="E79" s="703">
        <v>5.4</v>
      </c>
      <c r="F79" s="704">
        <v>1621.8</v>
      </c>
      <c r="G79" s="704">
        <v>8757.7200000000012</v>
      </c>
      <c r="H79" s="704">
        <f t="shared" si="4"/>
        <v>4378.8600000000006</v>
      </c>
      <c r="I79" s="705">
        <v>0.3</v>
      </c>
      <c r="J79" s="696">
        <v>3065.2020000000002</v>
      </c>
      <c r="K79" s="696">
        <v>963.90000000000009</v>
      </c>
      <c r="L79" s="697">
        <v>2101.3020000000001</v>
      </c>
      <c r="M79" s="674" t="s">
        <v>1565</v>
      </c>
    </row>
    <row r="80" spans="1:13" ht="22.5" customHeight="1">
      <c r="A80" s="645">
        <v>41</v>
      </c>
      <c r="B80" s="274" t="s">
        <v>3073</v>
      </c>
      <c r="C80" s="677" t="s">
        <v>3074</v>
      </c>
      <c r="D80" s="677" t="s">
        <v>2547</v>
      </c>
      <c r="E80" s="679">
        <v>4.9000000000000004</v>
      </c>
      <c r="F80" s="706">
        <v>1621.8</v>
      </c>
      <c r="G80" s="707">
        <f>F80*E80</f>
        <v>7946.8200000000006</v>
      </c>
      <c r="H80" s="702">
        <v>3973.4100000000003</v>
      </c>
      <c r="I80" s="690">
        <v>0.3</v>
      </c>
      <c r="J80" s="691">
        <v>2781.3870000000002</v>
      </c>
      <c r="K80" s="691">
        <v>857.50000000000011</v>
      </c>
      <c r="L80" s="676">
        <v>1923.8870000000002</v>
      </c>
      <c r="M80" s="692" t="s">
        <v>1565</v>
      </c>
    </row>
    <row r="81" spans="1:13" ht="22.5" customHeight="1">
      <c r="A81" s="645">
        <v>42</v>
      </c>
      <c r="B81" s="645" t="s">
        <v>3075</v>
      </c>
      <c r="C81" s="645" t="s">
        <v>2547</v>
      </c>
      <c r="D81" s="645" t="s">
        <v>3076</v>
      </c>
      <c r="E81" s="647">
        <v>5.5</v>
      </c>
      <c r="F81" s="681">
        <v>1621</v>
      </c>
      <c r="G81" s="649">
        <v>8915.5</v>
      </c>
      <c r="H81" s="681">
        <v>4457.75</v>
      </c>
      <c r="I81" s="673">
        <v>0.2</v>
      </c>
      <c r="J81" s="672">
        <v>3566.2000000000003</v>
      </c>
      <c r="K81" s="672">
        <v>962.5</v>
      </c>
      <c r="L81" s="672">
        <v>2603.7000000000003</v>
      </c>
      <c r="M81" s="692" t="s">
        <v>1565</v>
      </c>
    </row>
    <row r="82" spans="1:13" ht="22.5" customHeight="1">
      <c r="A82" s="645">
        <v>43</v>
      </c>
      <c r="B82" s="645" t="s">
        <v>3077</v>
      </c>
      <c r="C82" s="645" t="s">
        <v>2547</v>
      </c>
      <c r="D82" s="645" t="s">
        <v>3076</v>
      </c>
      <c r="E82" s="647">
        <v>4.3</v>
      </c>
      <c r="F82" s="681">
        <v>1621</v>
      </c>
      <c r="G82" s="649">
        <v>6970.2999999999993</v>
      </c>
      <c r="H82" s="681">
        <v>3485.1499999999996</v>
      </c>
      <c r="I82" s="673">
        <v>0.2</v>
      </c>
      <c r="J82" s="672">
        <v>2788.12</v>
      </c>
      <c r="K82" s="672">
        <v>752.5</v>
      </c>
      <c r="L82" s="672">
        <v>2035.62</v>
      </c>
      <c r="M82" s="692" t="s">
        <v>1565</v>
      </c>
    </row>
    <row r="83" spans="1:13" ht="22.5" customHeight="1">
      <c r="A83" s="645">
        <v>44</v>
      </c>
      <c r="B83" s="645" t="s">
        <v>3078</v>
      </c>
      <c r="C83" s="645" t="s">
        <v>2547</v>
      </c>
      <c r="D83" s="645" t="s">
        <v>3079</v>
      </c>
      <c r="E83" s="647">
        <v>5.5</v>
      </c>
      <c r="F83" s="681">
        <v>1621</v>
      </c>
      <c r="G83" s="649">
        <v>8915.5</v>
      </c>
      <c r="H83" s="681">
        <v>4457.75</v>
      </c>
      <c r="I83" s="673">
        <v>0.2</v>
      </c>
      <c r="J83" s="672">
        <v>3566.2000000000003</v>
      </c>
      <c r="K83" s="672">
        <v>962.5</v>
      </c>
      <c r="L83" s="672">
        <v>2603.7000000000003</v>
      </c>
      <c r="M83" s="692" t="s">
        <v>1565</v>
      </c>
    </row>
    <row r="84" spans="1:13" ht="22.5" customHeight="1">
      <c r="A84" s="645">
        <v>45</v>
      </c>
      <c r="B84" s="274" t="s">
        <v>3080</v>
      </c>
      <c r="C84" s="677">
        <v>102</v>
      </c>
      <c r="D84" s="678" t="s">
        <v>2458</v>
      </c>
      <c r="E84" s="679">
        <v>5.7</v>
      </c>
      <c r="F84" s="708">
        <v>480</v>
      </c>
      <c r="G84" s="706">
        <v>2736</v>
      </c>
      <c r="H84" s="706">
        <v>2736</v>
      </c>
      <c r="I84" s="673">
        <v>0.2</v>
      </c>
      <c r="J84" s="672">
        <v>2188.8000000000002</v>
      </c>
      <c r="K84" s="672">
        <v>997.5</v>
      </c>
      <c r="L84" s="672">
        <v>1738.5</v>
      </c>
      <c r="M84" s="674" t="s">
        <v>1653</v>
      </c>
    </row>
    <row r="85" spans="1:13" ht="22.5" customHeight="1">
      <c r="A85" s="645">
        <v>46</v>
      </c>
      <c r="B85" s="699" t="s">
        <v>3081</v>
      </c>
      <c r="C85" s="709" t="s">
        <v>3020</v>
      </c>
      <c r="D85" s="309" t="s">
        <v>2458</v>
      </c>
      <c r="E85" s="710">
        <v>4.8</v>
      </c>
      <c r="F85" s="711">
        <v>375</v>
      </c>
      <c r="G85" s="712">
        <v>1800</v>
      </c>
      <c r="H85" s="712">
        <v>1800</v>
      </c>
      <c r="I85" s="673">
        <v>0.2</v>
      </c>
      <c r="J85" s="672">
        <v>1440</v>
      </c>
      <c r="K85" s="672">
        <v>648</v>
      </c>
      <c r="L85" s="672">
        <v>1152</v>
      </c>
      <c r="M85" s="674" t="s">
        <v>1653</v>
      </c>
    </row>
    <row r="86" spans="1:13" ht="22.5" customHeight="1">
      <c r="A86" s="645">
        <v>47</v>
      </c>
      <c r="B86" s="274" t="s">
        <v>3082</v>
      </c>
      <c r="C86" s="677">
        <v>102</v>
      </c>
      <c r="D86" s="678" t="s">
        <v>2458</v>
      </c>
      <c r="E86" s="679">
        <v>4.5</v>
      </c>
      <c r="F86" s="708">
        <v>480</v>
      </c>
      <c r="G86" s="706">
        <v>2160</v>
      </c>
      <c r="H86" s="706">
        <v>2160</v>
      </c>
      <c r="I86" s="673">
        <v>0.2</v>
      </c>
      <c r="J86" s="672">
        <v>1728</v>
      </c>
      <c r="K86" s="672">
        <v>787.5</v>
      </c>
      <c r="L86" s="672">
        <v>1372.5</v>
      </c>
      <c r="M86" s="674" t="s">
        <v>1653</v>
      </c>
    </row>
    <row r="87" spans="1:13" ht="22.5" customHeight="1">
      <c r="A87" s="645">
        <v>48</v>
      </c>
      <c r="B87" s="699" t="s">
        <v>3083</v>
      </c>
      <c r="C87" s="709" t="s">
        <v>3084</v>
      </c>
      <c r="D87" s="309" t="s">
        <v>2458</v>
      </c>
      <c r="E87" s="710">
        <v>5.5</v>
      </c>
      <c r="F87" s="711">
        <v>375</v>
      </c>
      <c r="G87" s="712">
        <v>2062.5</v>
      </c>
      <c r="H87" s="712">
        <v>2062.5</v>
      </c>
      <c r="I87" s="673">
        <v>0.2</v>
      </c>
      <c r="J87" s="672">
        <v>1650</v>
      </c>
      <c r="K87" s="672">
        <v>742.5</v>
      </c>
      <c r="L87" s="672">
        <v>1320</v>
      </c>
      <c r="M87" s="674" t="s">
        <v>1653</v>
      </c>
    </row>
    <row r="88" spans="1:13" ht="22.5" customHeight="1">
      <c r="A88" s="645">
        <v>49</v>
      </c>
      <c r="B88" s="645" t="s">
        <v>3085</v>
      </c>
      <c r="C88" s="650" t="s">
        <v>3086</v>
      </c>
      <c r="D88" s="645" t="s">
        <v>2458</v>
      </c>
      <c r="E88" s="647">
        <v>5.6</v>
      </c>
      <c r="F88" s="681">
        <v>563</v>
      </c>
      <c r="G88" s="713">
        <v>3152.7999999999997</v>
      </c>
      <c r="H88" s="713">
        <v>3000</v>
      </c>
      <c r="I88" s="673">
        <v>0.2</v>
      </c>
      <c r="J88" s="672">
        <v>2400</v>
      </c>
      <c r="K88" s="672">
        <v>756</v>
      </c>
      <c r="L88" s="672">
        <v>1644</v>
      </c>
      <c r="M88" s="674" t="s">
        <v>1653</v>
      </c>
    </row>
    <row r="89" spans="1:13" ht="22.5" customHeight="1">
      <c r="A89" s="645">
        <v>50</v>
      </c>
      <c r="B89" s="649" t="s">
        <v>3087</v>
      </c>
      <c r="C89" s="645" t="s">
        <v>3088</v>
      </c>
      <c r="D89" s="645" t="s">
        <v>2547</v>
      </c>
      <c r="E89" s="647">
        <v>4.4000000000000004</v>
      </c>
      <c r="F89" s="681">
        <v>637</v>
      </c>
      <c r="G89" s="713">
        <v>2802.8</v>
      </c>
      <c r="H89" s="713">
        <v>2700</v>
      </c>
      <c r="I89" s="673">
        <v>0.2</v>
      </c>
      <c r="J89" s="672">
        <v>2160</v>
      </c>
      <c r="K89" s="672">
        <v>770.00000000000011</v>
      </c>
      <c r="L89" s="672">
        <v>1390</v>
      </c>
      <c r="M89" s="674" t="s">
        <v>1653</v>
      </c>
    </row>
    <row r="90" spans="1:13" ht="22.5" customHeight="1">
      <c r="A90" s="645">
        <v>51</v>
      </c>
      <c r="B90" s="677" t="s">
        <v>3089</v>
      </c>
      <c r="C90" s="677" t="s">
        <v>3089</v>
      </c>
      <c r="D90" s="678" t="s">
        <v>3090</v>
      </c>
      <c r="E90" s="679">
        <v>5.9</v>
      </c>
      <c r="F90" s="706">
        <v>270</v>
      </c>
      <c r="G90" s="294">
        <f>E90*F90</f>
        <v>1593</v>
      </c>
      <c r="H90" s="294">
        <v>1593</v>
      </c>
      <c r="I90" s="673">
        <v>0</v>
      </c>
      <c r="J90" s="680">
        <v>1593</v>
      </c>
      <c r="K90" s="672">
        <v>796.5</v>
      </c>
      <c r="L90" s="672">
        <f>J90-K90</f>
        <v>796.5</v>
      </c>
      <c r="M90" s="674" t="s">
        <v>2241</v>
      </c>
    </row>
    <row r="91" spans="1:13" ht="22.5" customHeight="1">
      <c r="A91" s="682"/>
      <c r="B91" s="683" t="s">
        <v>26</v>
      </c>
      <c r="C91" s="684">
        <f t="array" ref="C91">COUNTA(C73:INDEX(C:C,ROW()-1))</f>
        <v>18</v>
      </c>
      <c r="D91" s="684"/>
      <c r="E91" s="685">
        <f>SUM(E71:E90)</f>
        <v>93</v>
      </c>
      <c r="F91" s="684"/>
      <c r="G91" s="682"/>
      <c r="H91" s="682"/>
      <c r="I91" s="682"/>
      <c r="J91" s="996">
        <f>SUM(K73:K90)</f>
        <v>15106.08</v>
      </c>
      <c r="K91" s="932"/>
      <c r="L91" s="997">
        <f>SUM(L73:L90)</f>
        <v>30607.226999999999</v>
      </c>
      <c r="M91" s="932"/>
    </row>
    <row r="92" spans="1:13" ht="16.2">
      <c r="A92" s="597"/>
      <c r="B92" s="597"/>
      <c r="C92" s="597"/>
      <c r="D92" s="597"/>
      <c r="E92" s="597"/>
      <c r="F92" s="597"/>
      <c r="G92" s="597"/>
      <c r="H92" s="597"/>
      <c r="I92" s="597"/>
      <c r="J92" s="597"/>
      <c r="K92" s="597"/>
      <c r="L92" s="597"/>
      <c r="M92" s="597"/>
    </row>
    <row r="93" spans="1:13" ht="19.5" customHeight="1">
      <c r="A93" s="597"/>
      <c r="B93" s="597"/>
      <c r="C93" s="597"/>
      <c r="D93" s="597"/>
      <c r="E93" s="597"/>
      <c r="F93" s="597"/>
      <c r="G93" s="597"/>
      <c r="H93" s="597"/>
      <c r="I93" s="597"/>
      <c r="J93" s="597"/>
      <c r="K93" s="597"/>
      <c r="L93" s="597"/>
      <c r="M93" s="597"/>
    </row>
    <row r="94" spans="1:13" ht="13.2">
      <c r="A94" s="998" t="s">
        <v>3091</v>
      </c>
      <c r="B94" s="931"/>
      <c r="C94" s="931"/>
      <c r="D94" s="931"/>
      <c r="E94" s="931"/>
      <c r="F94" s="931"/>
      <c r="G94" s="931"/>
      <c r="H94" s="931"/>
      <c r="I94" s="931"/>
      <c r="J94" s="931"/>
      <c r="K94" s="931"/>
      <c r="L94" s="931"/>
      <c r="M94" s="932"/>
    </row>
    <row r="95" spans="1:13" ht="67.2">
      <c r="A95" s="253" t="s">
        <v>165</v>
      </c>
      <c r="B95" s="282" t="s">
        <v>166</v>
      </c>
      <c r="C95" s="282" t="s">
        <v>1556</v>
      </c>
      <c r="D95" s="282" t="s">
        <v>168</v>
      </c>
      <c r="E95" s="282" t="s">
        <v>169</v>
      </c>
      <c r="F95" s="282" t="s">
        <v>1557</v>
      </c>
      <c r="G95" s="282" t="s">
        <v>1558</v>
      </c>
      <c r="H95" s="282" t="s">
        <v>1559</v>
      </c>
      <c r="I95" s="282" t="s">
        <v>3092</v>
      </c>
      <c r="J95" s="670" t="s">
        <v>1561</v>
      </c>
      <c r="K95" s="284" t="s">
        <v>1562</v>
      </c>
      <c r="L95" s="671" t="s">
        <v>1563</v>
      </c>
      <c r="M95" s="287" t="s">
        <v>177</v>
      </c>
    </row>
    <row r="96" spans="1:13" ht="16.8">
      <c r="A96" s="645">
        <v>1</v>
      </c>
      <c r="B96" s="645" t="s">
        <v>3093</v>
      </c>
      <c r="C96" s="645" t="s">
        <v>2719</v>
      </c>
      <c r="D96" s="645" t="s">
        <v>2702</v>
      </c>
      <c r="E96" s="714">
        <v>6.4</v>
      </c>
      <c r="F96" s="991" t="s">
        <v>3094</v>
      </c>
      <c r="G96" s="931"/>
      <c r="H96" s="931"/>
      <c r="I96" s="932"/>
      <c r="J96" s="672">
        <v>0</v>
      </c>
      <c r="K96" s="672">
        <v>960</v>
      </c>
      <c r="L96" s="672">
        <f>J96-K96</f>
        <v>-960</v>
      </c>
      <c r="M96" s="674" t="s">
        <v>3095</v>
      </c>
    </row>
    <row r="97" spans="1:13" ht="16.8">
      <c r="A97" s="645">
        <v>2</v>
      </c>
      <c r="B97" s="650" t="s">
        <v>3096</v>
      </c>
      <c r="C97" s="650" t="s">
        <v>2705</v>
      </c>
      <c r="D97" s="650" t="s">
        <v>2663</v>
      </c>
      <c r="E97" s="714">
        <v>6.4</v>
      </c>
      <c r="F97" s="715">
        <v>375</v>
      </c>
      <c r="G97" s="681">
        <v>2400</v>
      </c>
      <c r="H97" s="681">
        <v>2040</v>
      </c>
      <c r="I97" s="673">
        <v>0</v>
      </c>
      <c r="J97" s="672">
        <v>2040</v>
      </c>
      <c r="K97" s="681">
        <v>960</v>
      </c>
      <c r="L97" s="672">
        <v>1080</v>
      </c>
      <c r="M97" s="674" t="s">
        <v>1724</v>
      </c>
    </row>
    <row r="98" spans="1:13" ht="16.2">
      <c r="A98" s="716"/>
      <c r="B98" s="716"/>
      <c r="C98" s="716"/>
      <c r="D98" s="716"/>
      <c r="E98" s="717"/>
      <c r="F98" s="716"/>
      <c r="G98" s="716"/>
      <c r="H98" s="716"/>
      <c r="I98" s="716"/>
      <c r="J98" s="716"/>
      <c r="K98" s="716"/>
      <c r="L98" s="716"/>
      <c r="M98" s="716"/>
    </row>
    <row r="99" spans="1:13" ht="16.2">
      <c r="A99" s="716"/>
      <c r="B99" s="716"/>
      <c r="C99" s="716"/>
      <c r="D99" s="716"/>
      <c r="E99" s="717"/>
      <c r="F99" s="716"/>
      <c r="G99" s="716"/>
      <c r="H99" s="716"/>
      <c r="I99" s="716"/>
      <c r="J99" s="716"/>
      <c r="K99" s="716"/>
      <c r="L99" s="716"/>
      <c r="M99" s="716"/>
    </row>
    <row r="100" spans="1:13" ht="19.8">
      <c r="A100" s="682"/>
      <c r="B100" s="683" t="s">
        <v>26</v>
      </c>
      <c r="C100" s="684">
        <f>COUNTA(C96:C99)</f>
        <v>2</v>
      </c>
      <c r="D100" s="684"/>
      <c r="E100" s="685">
        <f>SUM(E96:E99)</f>
        <v>12.8</v>
      </c>
      <c r="F100" s="684"/>
      <c r="G100" s="682"/>
      <c r="H100" s="682"/>
      <c r="I100" s="682"/>
      <c r="J100" s="996">
        <f>SUM(K96:K99)</f>
        <v>1920</v>
      </c>
      <c r="K100" s="932"/>
      <c r="L100" s="997">
        <f>SUM(L96:L99)</f>
        <v>120</v>
      </c>
      <c r="M100" s="932"/>
    </row>
    <row r="101" spans="1:13" ht="16.2">
      <c r="A101" s="597"/>
      <c r="B101" s="597"/>
      <c r="C101" s="597"/>
      <c r="D101" s="597"/>
      <c r="E101" s="597"/>
      <c r="F101" s="597"/>
      <c r="G101" s="597"/>
      <c r="H101" s="597"/>
      <c r="I101" s="597"/>
      <c r="J101" s="597"/>
      <c r="K101" s="597"/>
      <c r="L101" s="597"/>
      <c r="M101" s="597"/>
    </row>
    <row r="102" spans="1:13" ht="16.2">
      <c r="A102" s="597"/>
      <c r="B102" s="597"/>
      <c r="C102" s="597"/>
      <c r="D102" s="597"/>
      <c r="E102" s="597"/>
      <c r="F102" s="597"/>
      <c r="G102" s="597"/>
      <c r="H102" s="597"/>
      <c r="I102" s="597"/>
      <c r="J102" s="597"/>
      <c r="K102" s="597"/>
      <c r="L102" s="597"/>
      <c r="M102" s="597"/>
    </row>
    <row r="103" spans="1:13" ht="13.2">
      <c r="A103" s="998" t="s">
        <v>3097</v>
      </c>
      <c r="B103" s="931"/>
      <c r="C103" s="931"/>
      <c r="D103" s="931"/>
      <c r="E103" s="931"/>
      <c r="F103" s="931"/>
      <c r="G103" s="931"/>
      <c r="H103" s="931"/>
      <c r="I103" s="931"/>
      <c r="J103" s="931"/>
      <c r="K103" s="931"/>
      <c r="L103" s="931"/>
      <c r="M103" s="932"/>
    </row>
    <row r="104" spans="1:13" ht="67.2">
      <c r="A104" s="253" t="s">
        <v>165</v>
      </c>
      <c r="B104" s="282" t="s">
        <v>166</v>
      </c>
      <c r="C104" s="282" t="s">
        <v>1556</v>
      </c>
      <c r="D104" s="282" t="s">
        <v>168</v>
      </c>
      <c r="E104" s="282" t="s">
        <v>169</v>
      </c>
      <c r="F104" s="282" t="s">
        <v>1557</v>
      </c>
      <c r="G104" s="282" t="s">
        <v>1558</v>
      </c>
      <c r="H104" s="282" t="s">
        <v>1559</v>
      </c>
      <c r="I104" s="282" t="s">
        <v>3092</v>
      </c>
      <c r="J104" s="670" t="s">
        <v>1561</v>
      </c>
      <c r="K104" s="284" t="s">
        <v>1562</v>
      </c>
      <c r="L104" s="671" t="s">
        <v>1563</v>
      </c>
      <c r="M104" s="287" t="s">
        <v>177</v>
      </c>
    </row>
    <row r="105" spans="1:13" ht="16.8">
      <c r="A105" s="645">
        <v>1</v>
      </c>
      <c r="B105" s="645"/>
      <c r="C105" s="645"/>
      <c r="D105" s="645"/>
      <c r="E105" s="714"/>
      <c r="F105" s="991"/>
      <c r="G105" s="931"/>
      <c r="H105" s="931"/>
      <c r="I105" s="932"/>
      <c r="J105" s="672"/>
      <c r="K105" s="672"/>
      <c r="L105" s="672"/>
      <c r="M105" s="674"/>
    </row>
    <row r="106" spans="1:13" ht="16.8">
      <c r="A106" s="645">
        <v>2</v>
      </c>
      <c r="B106" s="650"/>
      <c r="C106" s="650"/>
      <c r="D106" s="650"/>
      <c r="E106" s="714"/>
      <c r="F106" s="715"/>
      <c r="G106" s="681"/>
      <c r="H106" s="681"/>
      <c r="I106" s="673"/>
      <c r="J106" s="672"/>
      <c r="K106" s="681"/>
      <c r="L106" s="672"/>
      <c r="M106" s="674"/>
    </row>
    <row r="107" spans="1:13" ht="16.2">
      <c r="A107" s="716"/>
      <c r="B107" s="716"/>
      <c r="C107" s="716"/>
      <c r="D107" s="716"/>
      <c r="E107" s="717"/>
      <c r="F107" s="716"/>
      <c r="G107" s="716"/>
      <c r="H107" s="716"/>
      <c r="I107" s="716"/>
      <c r="J107" s="716"/>
      <c r="K107" s="716"/>
      <c r="L107" s="716"/>
      <c r="M107" s="716"/>
    </row>
    <row r="108" spans="1:13" ht="16.2">
      <c r="A108" s="716"/>
      <c r="B108" s="716"/>
      <c r="C108" s="716"/>
      <c r="D108" s="716"/>
      <c r="E108" s="717"/>
      <c r="F108" s="716"/>
      <c r="G108" s="716"/>
      <c r="H108" s="716"/>
      <c r="I108" s="716"/>
      <c r="J108" s="716"/>
      <c r="K108" s="716"/>
      <c r="L108" s="716"/>
      <c r="M108" s="716"/>
    </row>
    <row r="109" spans="1:13" ht="19.8">
      <c r="A109" s="682"/>
      <c r="B109" s="683" t="s">
        <v>26</v>
      </c>
      <c r="C109" s="684">
        <f>COUNTA(C105:C108)</f>
        <v>0</v>
      </c>
      <c r="D109" s="684"/>
      <c r="E109" s="685">
        <f>SUM(E105:E108)</f>
        <v>0</v>
      </c>
      <c r="F109" s="684"/>
      <c r="G109" s="682"/>
      <c r="H109" s="682"/>
      <c r="I109" s="682"/>
      <c r="J109" s="996">
        <f>SUM(K105:K108)</f>
        <v>0</v>
      </c>
      <c r="K109" s="932"/>
      <c r="L109" s="997">
        <f>SUM(L105:L108)</f>
        <v>0</v>
      </c>
      <c r="M109" s="932"/>
    </row>
  </sheetData>
  <mergeCells count="38">
    <mergeCell ref="A103:M103"/>
    <mergeCell ref="F105:I105"/>
    <mergeCell ref="J109:K109"/>
    <mergeCell ref="L109:M109"/>
    <mergeCell ref="L56:M56"/>
    <mergeCell ref="A70:M71"/>
    <mergeCell ref="J91:K91"/>
    <mergeCell ref="L91:M91"/>
    <mergeCell ref="A94:M94"/>
    <mergeCell ref="F96:I96"/>
    <mergeCell ref="J100:K100"/>
    <mergeCell ref="J32:K32"/>
    <mergeCell ref="L32:M32"/>
    <mergeCell ref="A36:M37"/>
    <mergeCell ref="J56:K56"/>
    <mergeCell ref="L100:M100"/>
    <mergeCell ref="A7:C7"/>
    <mergeCell ref="F7:G7"/>
    <mergeCell ref="A13:M14"/>
    <mergeCell ref="I5:J6"/>
    <mergeCell ref="I7:J8"/>
    <mergeCell ref="K7:L8"/>
    <mergeCell ref="F3:G3"/>
    <mergeCell ref="F4:G4"/>
    <mergeCell ref="F8:G8"/>
    <mergeCell ref="F21:I21"/>
    <mergeCell ref="A1:D1"/>
    <mergeCell ref="F1:H1"/>
    <mergeCell ref="A2:C2"/>
    <mergeCell ref="F2:G2"/>
    <mergeCell ref="I2:M3"/>
    <mergeCell ref="A3:C3"/>
    <mergeCell ref="A4:C4"/>
    <mergeCell ref="A5:C5"/>
    <mergeCell ref="F5:G5"/>
    <mergeCell ref="K5:L6"/>
    <mergeCell ref="A6:C6"/>
    <mergeCell ref="F6:G6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  <outlinePr summaryBelow="0" summaryRight="0"/>
  </sheetPr>
  <dimension ref="A1:N11"/>
  <sheetViews>
    <sheetView workbookViewId="0"/>
  </sheetViews>
  <sheetFormatPr defaultColWidth="12.6640625" defaultRowHeight="15.75" customHeight="1"/>
  <cols>
    <col min="1" max="1" width="15.6640625" customWidth="1"/>
    <col min="3" max="3" width="10.88671875" customWidth="1"/>
    <col min="7" max="7" width="13.109375" customWidth="1"/>
    <col min="8" max="8" width="14" customWidth="1"/>
    <col min="9" max="9" width="14.77734375" customWidth="1"/>
    <col min="14" max="14" width="13.6640625" customWidth="1"/>
  </cols>
  <sheetData>
    <row r="1" spans="1:14">
      <c r="A1" s="718" t="s">
        <v>2</v>
      </c>
      <c r="B1" s="719" t="s">
        <v>99</v>
      </c>
      <c r="C1" s="719" t="s">
        <v>102</v>
      </c>
      <c r="D1" s="719" t="s">
        <v>100</v>
      </c>
      <c r="E1" s="719" t="s">
        <v>103</v>
      </c>
      <c r="F1" s="719" t="s">
        <v>101</v>
      </c>
      <c r="G1" s="720" t="s">
        <v>105</v>
      </c>
      <c r="H1" s="721" t="s">
        <v>2455</v>
      </c>
      <c r="I1" s="720" t="s">
        <v>106</v>
      </c>
      <c r="J1" s="721" t="s">
        <v>3098</v>
      </c>
      <c r="K1" s="719" t="s">
        <v>107</v>
      </c>
      <c r="L1" s="721" t="s">
        <v>2456</v>
      </c>
      <c r="M1" s="719" t="s">
        <v>104</v>
      </c>
      <c r="N1" s="722" t="s">
        <v>2457</v>
      </c>
    </row>
    <row r="2" spans="1:14" ht="15.75" customHeight="1">
      <c r="A2" s="723" t="s">
        <v>2458</v>
      </c>
      <c r="B2" s="724"/>
      <c r="C2" s="724"/>
      <c r="D2" s="724"/>
      <c r="E2" s="724"/>
      <c r="F2" s="724"/>
      <c r="G2" s="725"/>
      <c r="H2" s="726"/>
      <c r="I2" s="725"/>
      <c r="J2" s="726"/>
      <c r="K2" s="724"/>
      <c r="L2" s="726"/>
      <c r="M2" s="724"/>
      <c r="N2" s="727"/>
    </row>
    <row r="3" spans="1:14" ht="15.75" customHeight="1">
      <c r="A3" s="728" t="s">
        <v>56</v>
      </c>
      <c r="B3" s="729">
        <f t="shared" ref="B3:B6" si="0">D3+E3+C3</f>
        <v>207</v>
      </c>
      <c r="C3" s="729">
        <f>'CEMB - ALL'!D214</f>
        <v>201</v>
      </c>
      <c r="D3" s="730">
        <f>'CEMB - SOLD'!C22</f>
        <v>6</v>
      </c>
      <c r="E3" s="729">
        <f>'CEMB - PENDING'!C18</f>
        <v>0</v>
      </c>
      <c r="F3" s="729">
        <f t="shared" ref="F3:F6" si="1">C3+E3</f>
        <v>201</v>
      </c>
      <c r="G3" s="731">
        <f>'CEMB - ALL'!E214</f>
        <v>862.30000000000018</v>
      </c>
      <c r="H3" s="732">
        <f>'CEMB - ALL'!I214</f>
        <v>30233</v>
      </c>
      <c r="I3" s="731">
        <f>'CEMB - SOLD'!E22</f>
        <v>23.45</v>
      </c>
      <c r="J3" s="732">
        <f>'CEMB - SOLD'!K22</f>
        <v>301</v>
      </c>
      <c r="K3" s="731">
        <f>'CEMB - PENDING'!E18</f>
        <v>0</v>
      </c>
      <c r="L3" s="732">
        <f>'CEMB - PENDING'!H18</f>
        <v>0</v>
      </c>
      <c r="M3" s="731">
        <f t="shared" ref="M3:M6" si="2">G3+I3+K3</f>
        <v>885.75000000000023</v>
      </c>
      <c r="N3" s="733">
        <f t="shared" ref="N3:N6" si="3">J3+L3+H3</f>
        <v>30534</v>
      </c>
    </row>
    <row r="4" spans="1:14" ht="15.75" customHeight="1">
      <c r="A4" s="734" t="s">
        <v>57</v>
      </c>
      <c r="B4" s="219">
        <f t="shared" si="0"/>
        <v>81</v>
      </c>
      <c r="C4" s="219">
        <f>'CEMB - ALL'!D286</f>
        <v>67</v>
      </c>
      <c r="D4" s="219">
        <f>'CEMB - SOLD'!C43</f>
        <v>14</v>
      </c>
      <c r="E4" s="219">
        <f>'CEMB - PENDING'!C31</f>
        <v>0</v>
      </c>
      <c r="F4" s="729">
        <f t="shared" si="1"/>
        <v>67</v>
      </c>
      <c r="G4" s="220">
        <f>'CEMB - ALL'!E397</f>
        <v>244.60000000000002</v>
      </c>
      <c r="H4" s="223">
        <f>'CEMB - ALL'!I286</f>
        <v>20460</v>
      </c>
      <c r="I4" s="220">
        <f>Table123[[#Totals],[QTY]]</f>
        <v>73.5</v>
      </c>
      <c r="J4" s="223">
        <f>Table126[[#Totals],[COST PER PC]]</f>
        <v>4440</v>
      </c>
      <c r="K4" s="220">
        <f>'CEMB - PENDING'!E31</f>
        <v>0</v>
      </c>
      <c r="L4" s="735">
        <f>'CEMB - PENDING'!H31</f>
        <v>0</v>
      </c>
      <c r="M4" s="220">
        <f t="shared" si="2"/>
        <v>318.10000000000002</v>
      </c>
      <c r="N4" s="736">
        <f t="shared" si="3"/>
        <v>24900</v>
      </c>
    </row>
    <row r="5" spans="1:14" ht="15.75" customHeight="1">
      <c r="A5" s="728" t="s">
        <v>58</v>
      </c>
      <c r="B5" s="729">
        <f t="shared" si="0"/>
        <v>62</v>
      </c>
      <c r="C5" s="729">
        <f>'CEMB - ALL'!D346</f>
        <v>55</v>
      </c>
      <c r="D5" s="729">
        <f>'CEMB - SOLD'!C56</f>
        <v>7</v>
      </c>
      <c r="E5" s="729">
        <f>'CEMB - PENDING'!C43</f>
        <v>0</v>
      </c>
      <c r="F5" s="729">
        <f t="shared" si="1"/>
        <v>55</v>
      </c>
      <c r="G5" s="731">
        <f>'CEMB - ALL'!E346</f>
        <v>268.3</v>
      </c>
      <c r="H5" s="732">
        <f>'CEMB - ALL'!I346</f>
        <v>28296</v>
      </c>
      <c r="I5" s="731">
        <f>Table124[[#Totals],[QTY]]</f>
        <v>41</v>
      </c>
      <c r="J5" s="732">
        <f>'CEMB - SOLD'!H56</f>
        <v>2512</v>
      </c>
      <c r="K5" s="731">
        <f>Table133[[#Totals],[QTY]]</f>
        <v>0</v>
      </c>
      <c r="L5" s="732">
        <f>Table137[[#Totals],[COST PIECE RM]]</f>
        <v>0</v>
      </c>
      <c r="M5" s="731">
        <f t="shared" si="2"/>
        <v>309.3</v>
      </c>
      <c r="N5" s="733">
        <f t="shared" si="3"/>
        <v>30808</v>
      </c>
    </row>
    <row r="6" spans="1:14" ht="15.75" customHeight="1">
      <c r="A6" s="734" t="s">
        <v>59</v>
      </c>
      <c r="B6" s="729">
        <f t="shared" si="0"/>
        <v>51</v>
      </c>
      <c r="C6" s="219">
        <f>'CEMB - ALL'!D397</f>
        <v>46</v>
      </c>
      <c r="D6" s="219">
        <f>'CEMB - SOLD'!C68</f>
        <v>5</v>
      </c>
      <c r="E6" s="219">
        <f>'CEMB - PENDING'!C55</f>
        <v>0</v>
      </c>
      <c r="F6" s="729">
        <f t="shared" si="1"/>
        <v>46</v>
      </c>
      <c r="G6" s="220">
        <f>'CEMB - ALL'!E397</f>
        <v>244.60000000000002</v>
      </c>
      <c r="H6" s="223">
        <f>'CEMB - ALL'!I397</f>
        <v>44028</v>
      </c>
      <c r="I6" s="220">
        <f>Table140[[#Totals],[QTY]]</f>
        <v>23.9</v>
      </c>
      <c r="J6" s="223">
        <f>Table141[[#Totals],[COST PER PC]]</f>
        <v>4302</v>
      </c>
      <c r="K6" s="220">
        <f>Table135[[#Totals],[QTY]]</f>
        <v>0</v>
      </c>
      <c r="L6" s="223">
        <f>Table138[[#Totals],[COST PIECE RM]]</f>
        <v>0</v>
      </c>
      <c r="M6" s="731">
        <f t="shared" si="2"/>
        <v>268.5</v>
      </c>
      <c r="N6" s="733">
        <f t="shared" si="3"/>
        <v>48330</v>
      </c>
    </row>
    <row r="7" spans="1:14" ht="15.75" customHeight="1">
      <c r="A7" s="737"/>
      <c r="B7" s="195"/>
      <c r="C7" s="195"/>
      <c r="D7" s="195"/>
      <c r="E7" s="195"/>
      <c r="F7" s="195"/>
      <c r="G7" s="197"/>
      <c r="H7" s="201"/>
      <c r="I7" s="197"/>
      <c r="J7" s="201"/>
      <c r="K7" s="197"/>
      <c r="L7" s="201"/>
      <c r="M7" s="197"/>
      <c r="N7" s="738"/>
    </row>
    <row r="8" spans="1:14" ht="15.75" customHeight="1">
      <c r="A8" s="737"/>
      <c r="B8" s="195"/>
      <c r="C8" s="195"/>
      <c r="D8" s="195"/>
      <c r="E8" s="195"/>
      <c r="F8" s="195"/>
      <c r="G8" s="197"/>
      <c r="H8" s="201"/>
      <c r="I8" s="197"/>
      <c r="J8" s="201"/>
      <c r="K8" s="197"/>
      <c r="L8" s="201"/>
      <c r="M8" s="197"/>
      <c r="N8" s="738"/>
    </row>
    <row r="9" spans="1:14" ht="15.75" customHeight="1">
      <c r="A9" s="737" t="s">
        <v>53</v>
      </c>
      <c r="B9" s="195">
        <f t="shared" ref="B9:N9" si="4">SUM(B3:B6)</f>
        <v>401</v>
      </c>
      <c r="C9" s="195">
        <f t="shared" si="4"/>
        <v>369</v>
      </c>
      <c r="D9" s="195">
        <f t="shared" si="4"/>
        <v>32</v>
      </c>
      <c r="E9" s="195">
        <f t="shared" si="4"/>
        <v>0</v>
      </c>
      <c r="F9" s="195">
        <f t="shared" si="4"/>
        <v>369</v>
      </c>
      <c r="G9" s="197">
        <f t="shared" si="4"/>
        <v>1619.8000000000002</v>
      </c>
      <c r="H9" s="201">
        <f t="shared" si="4"/>
        <v>123017</v>
      </c>
      <c r="I9" s="197">
        <f t="shared" si="4"/>
        <v>161.85</v>
      </c>
      <c r="J9" s="201">
        <f t="shared" si="4"/>
        <v>11555</v>
      </c>
      <c r="K9" s="197">
        <f t="shared" si="4"/>
        <v>0</v>
      </c>
      <c r="L9" s="201">
        <f t="shared" si="4"/>
        <v>0</v>
      </c>
      <c r="M9" s="197">
        <f t="shared" si="4"/>
        <v>1781.6500000000003</v>
      </c>
      <c r="N9" s="738">
        <f t="shared" si="4"/>
        <v>134572</v>
      </c>
    </row>
    <row r="10" spans="1:14" ht="15.75" customHeight="1">
      <c r="A10" s="739"/>
      <c r="B10" s="219"/>
      <c r="C10" s="219"/>
      <c r="D10" s="219"/>
      <c r="E10" s="219"/>
      <c r="F10" s="219"/>
      <c r="G10" s="220"/>
      <c r="H10" s="223"/>
      <c r="I10" s="220"/>
      <c r="J10" s="223"/>
      <c r="K10" s="219"/>
      <c r="L10" s="223"/>
      <c r="M10" s="219"/>
      <c r="N10" s="736"/>
    </row>
    <row r="11" spans="1:14" ht="15.75" customHeight="1">
      <c r="A11" s="740"/>
      <c r="B11" s="740"/>
      <c r="C11" s="740"/>
      <c r="D11" s="740"/>
      <c r="E11" s="740"/>
      <c r="F11" s="740"/>
      <c r="G11" s="740"/>
      <c r="H11" s="740"/>
      <c r="I11" s="740"/>
      <c r="J11" s="740"/>
      <c r="K11" s="740"/>
      <c r="L11" s="740"/>
      <c r="M11" s="740"/>
      <c r="N11" s="74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00FF"/>
    <outlinePr summaryBelow="0" summaryRight="0"/>
  </sheetPr>
  <dimension ref="A1:N398"/>
  <sheetViews>
    <sheetView workbookViewId="0"/>
  </sheetViews>
  <sheetFormatPr defaultColWidth="12.6640625" defaultRowHeight="15.75" customHeight="1"/>
  <cols>
    <col min="1" max="1" width="4.44140625" customWidth="1"/>
    <col min="2" max="2" width="12.109375" customWidth="1"/>
    <col min="3" max="3" width="16.109375" customWidth="1"/>
    <col min="4" max="4" width="23.77734375" customWidth="1"/>
    <col min="5" max="5" width="12.44140625" customWidth="1"/>
    <col min="6" max="6" width="12" customWidth="1"/>
    <col min="7" max="7" width="11.88671875" customWidth="1"/>
    <col min="8" max="8" width="13.88671875" customWidth="1"/>
    <col min="9" max="9" width="13.6640625" customWidth="1"/>
    <col min="14" max="14" width="15.6640625" customWidth="1"/>
  </cols>
  <sheetData>
    <row r="1" spans="1:14" ht="13.8">
      <c r="A1" s="956" t="s">
        <v>146</v>
      </c>
      <c r="B1" s="931"/>
      <c r="C1" s="931"/>
      <c r="D1" s="932"/>
      <c r="E1" s="331"/>
      <c r="F1" s="959" t="s">
        <v>147</v>
      </c>
      <c r="G1" s="931"/>
      <c r="H1" s="932"/>
      <c r="I1" s="331"/>
      <c r="J1" s="331"/>
      <c r="K1" s="331"/>
      <c r="L1" s="331"/>
      <c r="M1" s="331"/>
      <c r="N1" s="346"/>
    </row>
    <row r="2" spans="1:14" ht="15.6">
      <c r="A2" s="956" t="s">
        <v>148</v>
      </c>
      <c r="B2" s="931"/>
      <c r="C2" s="932"/>
      <c r="D2" s="332" t="s">
        <v>149</v>
      </c>
      <c r="E2" s="331"/>
      <c r="F2" s="960" t="s">
        <v>150</v>
      </c>
      <c r="G2" s="932"/>
      <c r="H2" s="333"/>
      <c r="I2" s="961" t="s">
        <v>151</v>
      </c>
      <c r="J2" s="929"/>
      <c r="K2" s="929"/>
      <c r="L2" s="929"/>
      <c r="M2" s="929"/>
      <c r="N2" s="346"/>
    </row>
    <row r="3" spans="1:14" ht="15.6">
      <c r="A3" s="957" t="s">
        <v>26</v>
      </c>
      <c r="B3" s="931"/>
      <c r="C3" s="932"/>
      <c r="D3" s="335" t="s">
        <v>152</v>
      </c>
      <c r="E3" s="331"/>
      <c r="F3" s="956" t="s">
        <v>153</v>
      </c>
      <c r="G3" s="932"/>
      <c r="H3" s="336" t="s">
        <v>3099</v>
      </c>
      <c r="I3" s="929"/>
      <c r="J3" s="929"/>
      <c r="K3" s="929"/>
      <c r="L3" s="929"/>
      <c r="M3" s="929"/>
      <c r="N3" s="346"/>
    </row>
    <row r="4" spans="1:14" ht="39.75" customHeight="1">
      <c r="A4" s="957"/>
      <c r="B4" s="931"/>
      <c r="C4" s="932"/>
      <c r="D4" s="337"/>
      <c r="E4" s="331"/>
      <c r="F4" s="957" t="s">
        <v>156</v>
      </c>
      <c r="G4" s="932"/>
      <c r="H4" s="333"/>
      <c r="I4" s="331"/>
      <c r="J4" s="331"/>
      <c r="K4" s="331"/>
      <c r="L4" s="331"/>
      <c r="M4" s="331"/>
      <c r="N4" s="346"/>
    </row>
    <row r="5" spans="1:14" ht="15.6">
      <c r="A5" s="957"/>
      <c r="B5" s="931"/>
      <c r="C5" s="932"/>
      <c r="D5" s="337"/>
      <c r="E5" s="331"/>
      <c r="F5" s="957" t="s">
        <v>158</v>
      </c>
      <c r="G5" s="932"/>
      <c r="H5" s="331"/>
      <c r="I5" s="346"/>
      <c r="J5" s="346"/>
      <c r="K5" s="346"/>
      <c r="L5" s="346"/>
      <c r="M5" s="331"/>
      <c r="N5" s="346"/>
    </row>
    <row r="6" spans="1:14" ht="13.8">
      <c r="A6" s="957" t="s">
        <v>160</v>
      </c>
      <c r="B6" s="931"/>
      <c r="C6" s="932"/>
      <c r="D6" s="337">
        <f>COUNTA('SILK - SOLD'!A14:A76,'SILK - SOLD'!A86:A106,'SILK - SOLD'!A112:A170,'SILK - SOLD'!A177:A262)</f>
        <v>229</v>
      </c>
      <c r="E6" s="340"/>
      <c r="F6" s="957" t="s">
        <v>161</v>
      </c>
      <c r="G6" s="932"/>
      <c r="H6" s="331"/>
      <c r="I6" s="346"/>
      <c r="J6" s="346"/>
      <c r="K6" s="346"/>
      <c r="L6" s="346"/>
      <c r="M6" s="331"/>
      <c r="N6" s="346"/>
    </row>
    <row r="7" spans="1:14" ht="15.6">
      <c r="A7" s="960" t="s">
        <v>162</v>
      </c>
      <c r="B7" s="931"/>
      <c r="C7" s="932"/>
      <c r="D7" s="341">
        <f>D3-(D4+D5+D6)</f>
        <v>829</v>
      </c>
      <c r="E7" s="340"/>
      <c r="F7" s="957" t="s">
        <v>163</v>
      </c>
      <c r="G7" s="932"/>
      <c r="H7" s="331"/>
      <c r="I7" s="963" t="s">
        <v>159</v>
      </c>
      <c r="J7" s="964"/>
      <c r="K7" s="999">
        <f>I214+I286+I346+I397</f>
        <v>123017</v>
      </c>
      <c r="L7" s="964"/>
      <c r="M7" s="331"/>
      <c r="N7" s="346"/>
    </row>
    <row r="8" spans="1:14" ht="13.8">
      <c r="A8" s="331"/>
      <c r="B8" s="331"/>
      <c r="C8" s="331"/>
      <c r="D8" s="331"/>
      <c r="E8" s="340"/>
      <c r="F8" s="957" t="s">
        <v>164</v>
      </c>
      <c r="G8" s="932"/>
      <c r="H8" s="331"/>
      <c r="I8" s="967"/>
      <c r="J8" s="968"/>
      <c r="K8" s="967"/>
      <c r="L8" s="968"/>
      <c r="M8" s="331"/>
      <c r="N8" s="346"/>
    </row>
    <row r="9" spans="1:14" ht="13.8">
      <c r="A9" s="331"/>
      <c r="B9" s="343"/>
      <c r="C9" s="343"/>
      <c r="D9" s="344"/>
      <c r="E9" s="344"/>
      <c r="F9" s="331"/>
      <c r="G9" s="345"/>
      <c r="H9" s="331"/>
      <c r="I9" s="331"/>
      <c r="J9" s="331"/>
      <c r="K9" s="331"/>
      <c r="L9" s="331"/>
      <c r="M9" s="331"/>
      <c r="N9" s="346"/>
    </row>
    <row r="10" spans="1:14" ht="13.2">
      <c r="A10" s="346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</row>
    <row r="11" spans="1:14" ht="44.4">
      <c r="A11" s="1000" t="s">
        <v>56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1"/>
      <c r="N11" s="932"/>
    </row>
    <row r="12" spans="1:14" ht="22.5" customHeight="1">
      <c r="A12" s="473" t="s">
        <v>165</v>
      </c>
      <c r="B12" s="490" t="s">
        <v>166</v>
      </c>
      <c r="C12" s="490" t="s">
        <v>167</v>
      </c>
      <c r="D12" s="741" t="s">
        <v>168</v>
      </c>
      <c r="E12" s="490" t="s">
        <v>169</v>
      </c>
      <c r="F12" s="742" t="s">
        <v>3100</v>
      </c>
      <c r="G12" s="743" t="s">
        <v>3101</v>
      </c>
      <c r="H12" s="744" t="s">
        <v>3102</v>
      </c>
      <c r="I12" s="744" t="s">
        <v>3103</v>
      </c>
      <c r="J12" s="745" t="s">
        <v>3104</v>
      </c>
      <c r="K12" s="745" t="s">
        <v>3105</v>
      </c>
      <c r="L12" s="431" t="s">
        <v>175</v>
      </c>
      <c r="M12" s="431" t="s">
        <v>3106</v>
      </c>
      <c r="N12" s="333" t="s">
        <v>3107</v>
      </c>
    </row>
    <row r="13" spans="1:14" ht="22.5" customHeight="1">
      <c r="A13" s="466">
        <v>1</v>
      </c>
      <c r="B13" s="466" t="s">
        <v>3108</v>
      </c>
      <c r="C13" s="466" t="s">
        <v>3109</v>
      </c>
      <c r="D13" s="466" t="s">
        <v>2735</v>
      </c>
      <c r="E13" s="746">
        <v>5</v>
      </c>
      <c r="F13" s="747">
        <v>7</v>
      </c>
      <c r="G13" s="747">
        <f t="shared" ref="G13:G212" si="0">F13*E13</f>
        <v>35</v>
      </c>
      <c r="H13" s="469">
        <f t="shared" ref="H13:J13" si="1">F13*5</f>
        <v>35</v>
      </c>
      <c r="I13" s="469">
        <f t="shared" si="1"/>
        <v>175</v>
      </c>
      <c r="J13" s="469">
        <f t="shared" si="1"/>
        <v>175</v>
      </c>
      <c r="K13" s="469">
        <f t="shared" ref="K13:K213" si="2">J13*E13</f>
        <v>875</v>
      </c>
      <c r="L13" s="469">
        <f t="shared" ref="L13:L213" si="3">H13+20</f>
        <v>55</v>
      </c>
      <c r="M13" s="469">
        <f t="shared" ref="M13:M213" si="4">L13*E13</f>
        <v>275</v>
      </c>
      <c r="N13" s="466" t="s">
        <v>3110</v>
      </c>
    </row>
    <row r="14" spans="1:14" ht="22.5" customHeight="1">
      <c r="A14" s="466">
        <v>2</v>
      </c>
      <c r="B14" s="466" t="s">
        <v>3108</v>
      </c>
      <c r="C14" s="466" t="s">
        <v>3111</v>
      </c>
      <c r="D14" s="466" t="s">
        <v>2735</v>
      </c>
      <c r="E14" s="746">
        <v>5</v>
      </c>
      <c r="F14" s="747">
        <v>7</v>
      </c>
      <c r="G14" s="747">
        <f t="shared" si="0"/>
        <v>35</v>
      </c>
      <c r="H14" s="469">
        <f t="shared" ref="H14:J14" si="5">F14*5</f>
        <v>35</v>
      </c>
      <c r="I14" s="469">
        <f t="shared" si="5"/>
        <v>175</v>
      </c>
      <c r="J14" s="469">
        <f t="shared" si="5"/>
        <v>175</v>
      </c>
      <c r="K14" s="469">
        <f t="shared" si="2"/>
        <v>875</v>
      </c>
      <c r="L14" s="469">
        <f t="shared" si="3"/>
        <v>55</v>
      </c>
      <c r="M14" s="469">
        <f t="shared" si="4"/>
        <v>275</v>
      </c>
      <c r="N14" s="466" t="s">
        <v>3110</v>
      </c>
    </row>
    <row r="15" spans="1:14" ht="22.5" customHeight="1">
      <c r="A15" s="466">
        <v>3</v>
      </c>
      <c r="B15" s="466" t="s">
        <v>3108</v>
      </c>
      <c r="C15" s="466" t="s">
        <v>3112</v>
      </c>
      <c r="D15" s="466" t="s">
        <v>2663</v>
      </c>
      <c r="E15" s="746">
        <v>5</v>
      </c>
      <c r="F15" s="747">
        <v>7</v>
      </c>
      <c r="G15" s="747">
        <f t="shared" si="0"/>
        <v>35</v>
      </c>
      <c r="H15" s="469">
        <f t="shared" ref="H15:J15" si="6">F15*5</f>
        <v>35</v>
      </c>
      <c r="I15" s="469">
        <f t="shared" si="6"/>
        <v>175</v>
      </c>
      <c r="J15" s="469">
        <f t="shared" si="6"/>
        <v>175</v>
      </c>
      <c r="K15" s="469">
        <f t="shared" si="2"/>
        <v>875</v>
      </c>
      <c r="L15" s="469">
        <f t="shared" si="3"/>
        <v>55</v>
      </c>
      <c r="M15" s="469">
        <f t="shared" si="4"/>
        <v>275</v>
      </c>
      <c r="N15" s="466" t="s">
        <v>3110</v>
      </c>
    </row>
    <row r="16" spans="1:14" ht="22.5" customHeight="1">
      <c r="A16" s="466">
        <v>4</v>
      </c>
      <c r="B16" s="466" t="s">
        <v>3108</v>
      </c>
      <c r="C16" s="466" t="s">
        <v>3113</v>
      </c>
      <c r="D16" s="466" t="s">
        <v>2663</v>
      </c>
      <c r="E16" s="746">
        <v>5</v>
      </c>
      <c r="F16" s="747">
        <v>7</v>
      </c>
      <c r="G16" s="747">
        <f t="shared" si="0"/>
        <v>35</v>
      </c>
      <c r="H16" s="469">
        <f t="shared" ref="H16:J16" si="7">F16*5</f>
        <v>35</v>
      </c>
      <c r="I16" s="469">
        <f t="shared" si="7"/>
        <v>175</v>
      </c>
      <c r="J16" s="469">
        <f t="shared" si="7"/>
        <v>175</v>
      </c>
      <c r="K16" s="469">
        <f t="shared" si="2"/>
        <v>875</v>
      </c>
      <c r="L16" s="469">
        <f t="shared" si="3"/>
        <v>55</v>
      </c>
      <c r="M16" s="469">
        <f t="shared" si="4"/>
        <v>275</v>
      </c>
      <c r="N16" s="466" t="s">
        <v>3110</v>
      </c>
    </row>
    <row r="17" spans="1:14" ht="22.5" customHeight="1">
      <c r="A17" s="466">
        <v>5</v>
      </c>
      <c r="B17" s="466" t="s">
        <v>3108</v>
      </c>
      <c r="C17" s="466" t="s">
        <v>3114</v>
      </c>
      <c r="D17" s="466" t="s">
        <v>2663</v>
      </c>
      <c r="E17" s="746">
        <v>5</v>
      </c>
      <c r="F17" s="747">
        <v>7</v>
      </c>
      <c r="G17" s="747">
        <f t="shared" si="0"/>
        <v>35</v>
      </c>
      <c r="H17" s="469">
        <f t="shared" ref="H17:J17" si="8">F17*5</f>
        <v>35</v>
      </c>
      <c r="I17" s="469">
        <f t="shared" si="8"/>
        <v>175</v>
      </c>
      <c r="J17" s="469">
        <f t="shared" si="8"/>
        <v>175</v>
      </c>
      <c r="K17" s="469">
        <f t="shared" si="2"/>
        <v>875</v>
      </c>
      <c r="L17" s="469">
        <f t="shared" si="3"/>
        <v>55</v>
      </c>
      <c r="M17" s="469">
        <f t="shared" si="4"/>
        <v>275</v>
      </c>
      <c r="N17" s="466" t="s">
        <v>3110</v>
      </c>
    </row>
    <row r="18" spans="1:14" ht="22.5" customHeight="1">
      <c r="A18" s="466">
        <v>6</v>
      </c>
      <c r="B18" s="466" t="s">
        <v>3108</v>
      </c>
      <c r="C18" s="466" t="s">
        <v>3115</v>
      </c>
      <c r="D18" s="466" t="s">
        <v>2663</v>
      </c>
      <c r="E18" s="746">
        <v>5</v>
      </c>
      <c r="F18" s="747">
        <v>7</v>
      </c>
      <c r="G18" s="747">
        <f t="shared" si="0"/>
        <v>35</v>
      </c>
      <c r="H18" s="469">
        <f t="shared" ref="H18:J18" si="9">F18*5</f>
        <v>35</v>
      </c>
      <c r="I18" s="469">
        <f t="shared" si="9"/>
        <v>175</v>
      </c>
      <c r="J18" s="469">
        <f t="shared" si="9"/>
        <v>175</v>
      </c>
      <c r="K18" s="469">
        <f t="shared" si="2"/>
        <v>875</v>
      </c>
      <c r="L18" s="469">
        <f t="shared" si="3"/>
        <v>55</v>
      </c>
      <c r="M18" s="469">
        <f t="shared" si="4"/>
        <v>275</v>
      </c>
      <c r="N18" s="466" t="s">
        <v>3110</v>
      </c>
    </row>
    <row r="19" spans="1:14" ht="22.5" customHeight="1">
      <c r="A19" s="466">
        <v>7</v>
      </c>
      <c r="B19" s="466" t="s">
        <v>3108</v>
      </c>
      <c r="C19" s="466" t="s">
        <v>3116</v>
      </c>
      <c r="D19" s="466" t="s">
        <v>2712</v>
      </c>
      <c r="E19" s="746">
        <v>5</v>
      </c>
      <c r="F19" s="747">
        <v>7</v>
      </c>
      <c r="G19" s="747">
        <f t="shared" si="0"/>
        <v>35</v>
      </c>
      <c r="H19" s="469">
        <f t="shared" ref="H19:J19" si="10">F19*5</f>
        <v>35</v>
      </c>
      <c r="I19" s="469">
        <f t="shared" si="10"/>
        <v>175</v>
      </c>
      <c r="J19" s="469">
        <f t="shared" si="10"/>
        <v>175</v>
      </c>
      <c r="K19" s="469">
        <f t="shared" si="2"/>
        <v>875</v>
      </c>
      <c r="L19" s="469">
        <f t="shared" si="3"/>
        <v>55</v>
      </c>
      <c r="M19" s="469">
        <f t="shared" si="4"/>
        <v>275</v>
      </c>
      <c r="N19" s="466" t="s">
        <v>3117</v>
      </c>
    </row>
    <row r="20" spans="1:14" ht="22.5" customHeight="1">
      <c r="A20" s="466">
        <v>8</v>
      </c>
      <c r="B20" s="466" t="s">
        <v>3108</v>
      </c>
      <c r="C20" s="466" t="s">
        <v>3118</v>
      </c>
      <c r="D20" s="466" t="s">
        <v>2712</v>
      </c>
      <c r="E20" s="746">
        <v>5</v>
      </c>
      <c r="F20" s="747">
        <v>7</v>
      </c>
      <c r="G20" s="747">
        <f t="shared" si="0"/>
        <v>35</v>
      </c>
      <c r="H20" s="469">
        <f t="shared" ref="H20:J20" si="11">F20*5</f>
        <v>35</v>
      </c>
      <c r="I20" s="469">
        <f t="shared" si="11"/>
        <v>175</v>
      </c>
      <c r="J20" s="469">
        <f t="shared" si="11"/>
        <v>175</v>
      </c>
      <c r="K20" s="469">
        <f t="shared" si="2"/>
        <v>875</v>
      </c>
      <c r="L20" s="469">
        <f t="shared" si="3"/>
        <v>55</v>
      </c>
      <c r="M20" s="469">
        <f t="shared" si="4"/>
        <v>275</v>
      </c>
      <c r="N20" s="466" t="s">
        <v>3117</v>
      </c>
    </row>
    <row r="21" spans="1:14" ht="22.5" customHeight="1">
      <c r="A21" s="466">
        <v>9</v>
      </c>
      <c r="B21" s="466" t="s">
        <v>3108</v>
      </c>
      <c r="C21" s="466" t="s">
        <v>3119</v>
      </c>
      <c r="D21" s="466" t="s">
        <v>2927</v>
      </c>
      <c r="E21" s="746">
        <v>5</v>
      </c>
      <c r="F21" s="747">
        <v>7</v>
      </c>
      <c r="G21" s="747">
        <f t="shared" si="0"/>
        <v>35</v>
      </c>
      <c r="H21" s="469">
        <f t="shared" ref="H21:J21" si="12">F21*5</f>
        <v>35</v>
      </c>
      <c r="I21" s="469">
        <f t="shared" si="12"/>
        <v>175</v>
      </c>
      <c r="J21" s="469">
        <f t="shared" si="12"/>
        <v>175</v>
      </c>
      <c r="K21" s="469">
        <f t="shared" si="2"/>
        <v>875</v>
      </c>
      <c r="L21" s="469">
        <f t="shared" si="3"/>
        <v>55</v>
      </c>
      <c r="M21" s="469">
        <f t="shared" si="4"/>
        <v>275</v>
      </c>
      <c r="N21" s="466" t="s">
        <v>3110</v>
      </c>
    </row>
    <row r="22" spans="1:14" ht="22.5" customHeight="1">
      <c r="A22" s="466">
        <v>10</v>
      </c>
      <c r="B22" s="466" t="s">
        <v>3108</v>
      </c>
      <c r="C22" s="466" t="s">
        <v>3120</v>
      </c>
      <c r="D22" s="466" t="s">
        <v>2927</v>
      </c>
      <c r="E22" s="746">
        <v>5</v>
      </c>
      <c r="F22" s="747">
        <v>7</v>
      </c>
      <c r="G22" s="747">
        <f t="shared" si="0"/>
        <v>35</v>
      </c>
      <c r="H22" s="469">
        <f t="shared" ref="H22:J22" si="13">F22*5</f>
        <v>35</v>
      </c>
      <c r="I22" s="469">
        <f t="shared" si="13"/>
        <v>175</v>
      </c>
      <c r="J22" s="469">
        <f t="shared" si="13"/>
        <v>175</v>
      </c>
      <c r="K22" s="469">
        <f t="shared" si="2"/>
        <v>875</v>
      </c>
      <c r="L22" s="469">
        <f t="shared" si="3"/>
        <v>55</v>
      </c>
      <c r="M22" s="469">
        <f t="shared" si="4"/>
        <v>275</v>
      </c>
      <c r="N22" s="466" t="s">
        <v>3110</v>
      </c>
    </row>
    <row r="23" spans="1:14" ht="22.5" customHeight="1">
      <c r="A23" s="466">
        <v>11</v>
      </c>
      <c r="B23" s="466" t="s">
        <v>3108</v>
      </c>
      <c r="C23" s="466" t="s">
        <v>3121</v>
      </c>
      <c r="D23" s="466" t="s">
        <v>2685</v>
      </c>
      <c r="E23" s="746">
        <v>5</v>
      </c>
      <c r="F23" s="747">
        <v>7</v>
      </c>
      <c r="G23" s="747">
        <f t="shared" si="0"/>
        <v>35</v>
      </c>
      <c r="H23" s="469">
        <f t="shared" ref="H23:J23" si="14">F23*5</f>
        <v>35</v>
      </c>
      <c r="I23" s="469">
        <f t="shared" si="14"/>
        <v>175</v>
      </c>
      <c r="J23" s="469">
        <f t="shared" si="14"/>
        <v>175</v>
      </c>
      <c r="K23" s="469">
        <f t="shared" si="2"/>
        <v>875</v>
      </c>
      <c r="L23" s="469">
        <f t="shared" si="3"/>
        <v>55</v>
      </c>
      <c r="M23" s="469">
        <f t="shared" si="4"/>
        <v>275</v>
      </c>
      <c r="N23" s="466" t="s">
        <v>3110</v>
      </c>
    </row>
    <row r="24" spans="1:14" ht="22.5" customHeight="1">
      <c r="A24" s="466">
        <v>12</v>
      </c>
      <c r="B24" s="466" t="s">
        <v>3108</v>
      </c>
      <c r="C24" s="466" t="s">
        <v>3122</v>
      </c>
      <c r="D24" s="466" t="s">
        <v>3123</v>
      </c>
      <c r="E24" s="746">
        <v>5</v>
      </c>
      <c r="F24" s="747">
        <v>7</v>
      </c>
      <c r="G24" s="747">
        <f t="shared" si="0"/>
        <v>35</v>
      </c>
      <c r="H24" s="469">
        <f t="shared" ref="H24:J24" si="15">F24*5</f>
        <v>35</v>
      </c>
      <c r="I24" s="469">
        <f t="shared" si="15"/>
        <v>175</v>
      </c>
      <c r="J24" s="469">
        <f t="shared" si="15"/>
        <v>175</v>
      </c>
      <c r="K24" s="469">
        <f t="shared" si="2"/>
        <v>875</v>
      </c>
      <c r="L24" s="469">
        <f t="shared" si="3"/>
        <v>55</v>
      </c>
      <c r="M24" s="469">
        <f t="shared" si="4"/>
        <v>275</v>
      </c>
      <c r="N24" s="466" t="s">
        <v>3110</v>
      </c>
    </row>
    <row r="25" spans="1:14" ht="22.5" customHeight="1">
      <c r="A25" s="466">
        <v>13</v>
      </c>
      <c r="B25" s="466" t="s">
        <v>3108</v>
      </c>
      <c r="C25" s="466" t="s">
        <v>3124</v>
      </c>
      <c r="D25" s="466" t="s">
        <v>2712</v>
      </c>
      <c r="E25" s="746">
        <v>5</v>
      </c>
      <c r="F25" s="747">
        <v>7</v>
      </c>
      <c r="G25" s="747">
        <f t="shared" si="0"/>
        <v>35</v>
      </c>
      <c r="H25" s="469">
        <f t="shared" ref="H25:J25" si="16">F25*5</f>
        <v>35</v>
      </c>
      <c r="I25" s="469">
        <f t="shared" si="16"/>
        <v>175</v>
      </c>
      <c r="J25" s="469">
        <f t="shared" si="16"/>
        <v>175</v>
      </c>
      <c r="K25" s="469">
        <f t="shared" si="2"/>
        <v>875</v>
      </c>
      <c r="L25" s="469">
        <f t="shared" si="3"/>
        <v>55</v>
      </c>
      <c r="M25" s="469">
        <f t="shared" si="4"/>
        <v>275</v>
      </c>
      <c r="N25" s="466" t="s">
        <v>3110</v>
      </c>
    </row>
    <row r="26" spans="1:14" ht="22.5" customHeight="1">
      <c r="A26" s="466">
        <v>14</v>
      </c>
      <c r="B26" s="466" t="s">
        <v>3108</v>
      </c>
      <c r="C26" s="466" t="s">
        <v>3125</v>
      </c>
      <c r="D26" s="466" t="s">
        <v>2712</v>
      </c>
      <c r="E26" s="746">
        <v>5</v>
      </c>
      <c r="F26" s="747">
        <v>7</v>
      </c>
      <c r="G26" s="747">
        <f t="shared" si="0"/>
        <v>35</v>
      </c>
      <c r="H26" s="469">
        <f t="shared" ref="H26:J26" si="17">F26*5</f>
        <v>35</v>
      </c>
      <c r="I26" s="469">
        <f t="shared" si="17"/>
        <v>175</v>
      </c>
      <c r="J26" s="469">
        <f t="shared" si="17"/>
        <v>175</v>
      </c>
      <c r="K26" s="469">
        <f t="shared" si="2"/>
        <v>875</v>
      </c>
      <c r="L26" s="469">
        <f t="shared" si="3"/>
        <v>55</v>
      </c>
      <c r="M26" s="469">
        <f t="shared" si="4"/>
        <v>275</v>
      </c>
      <c r="N26" s="466" t="s">
        <v>3110</v>
      </c>
    </row>
    <row r="27" spans="1:14" ht="22.5" customHeight="1">
      <c r="A27" s="466">
        <v>15</v>
      </c>
      <c r="B27" s="466" t="s">
        <v>3108</v>
      </c>
      <c r="C27" s="466" t="s">
        <v>3126</v>
      </c>
      <c r="D27" s="466" t="s">
        <v>2685</v>
      </c>
      <c r="E27" s="746">
        <v>5</v>
      </c>
      <c r="F27" s="747">
        <v>7</v>
      </c>
      <c r="G27" s="747">
        <f t="shared" si="0"/>
        <v>35</v>
      </c>
      <c r="H27" s="469">
        <f t="shared" ref="H27:J27" si="18">F27*5</f>
        <v>35</v>
      </c>
      <c r="I27" s="469">
        <f t="shared" si="18"/>
        <v>175</v>
      </c>
      <c r="J27" s="469">
        <f t="shared" si="18"/>
        <v>175</v>
      </c>
      <c r="K27" s="469">
        <f t="shared" si="2"/>
        <v>875</v>
      </c>
      <c r="L27" s="469">
        <f t="shared" si="3"/>
        <v>55</v>
      </c>
      <c r="M27" s="469">
        <f t="shared" si="4"/>
        <v>275</v>
      </c>
      <c r="N27" s="466" t="s">
        <v>3110</v>
      </c>
    </row>
    <row r="28" spans="1:14" ht="22.5" customHeight="1">
      <c r="A28" s="466">
        <v>16</v>
      </c>
      <c r="B28" s="466" t="s">
        <v>3108</v>
      </c>
      <c r="C28" s="466" t="s">
        <v>3127</v>
      </c>
      <c r="D28" s="466" t="s">
        <v>2685</v>
      </c>
      <c r="E28" s="746">
        <v>5</v>
      </c>
      <c r="F28" s="747">
        <v>7</v>
      </c>
      <c r="G28" s="747">
        <f t="shared" si="0"/>
        <v>35</v>
      </c>
      <c r="H28" s="469">
        <f t="shared" ref="H28:J28" si="19">F28*5</f>
        <v>35</v>
      </c>
      <c r="I28" s="469">
        <f t="shared" si="19"/>
        <v>175</v>
      </c>
      <c r="J28" s="469">
        <f t="shared" si="19"/>
        <v>175</v>
      </c>
      <c r="K28" s="469">
        <f t="shared" si="2"/>
        <v>875</v>
      </c>
      <c r="L28" s="469">
        <f t="shared" si="3"/>
        <v>55</v>
      </c>
      <c r="M28" s="469">
        <f t="shared" si="4"/>
        <v>275</v>
      </c>
      <c r="N28" s="466" t="s">
        <v>3110</v>
      </c>
    </row>
    <row r="29" spans="1:14" ht="22.5" customHeight="1">
      <c r="A29" s="466">
        <v>17</v>
      </c>
      <c r="B29" s="466" t="s">
        <v>3108</v>
      </c>
      <c r="C29" s="466" t="s">
        <v>3128</v>
      </c>
      <c r="D29" s="466" t="s">
        <v>2685</v>
      </c>
      <c r="E29" s="746">
        <v>5</v>
      </c>
      <c r="F29" s="747">
        <v>7</v>
      </c>
      <c r="G29" s="747">
        <f t="shared" si="0"/>
        <v>35</v>
      </c>
      <c r="H29" s="469">
        <f t="shared" ref="H29:J29" si="20">F29*5</f>
        <v>35</v>
      </c>
      <c r="I29" s="469">
        <f t="shared" si="20"/>
        <v>175</v>
      </c>
      <c r="J29" s="469">
        <f t="shared" si="20"/>
        <v>175</v>
      </c>
      <c r="K29" s="469">
        <f t="shared" si="2"/>
        <v>875</v>
      </c>
      <c r="L29" s="469">
        <f t="shared" si="3"/>
        <v>55</v>
      </c>
      <c r="M29" s="469">
        <f t="shared" si="4"/>
        <v>275</v>
      </c>
      <c r="N29" s="466" t="s">
        <v>3110</v>
      </c>
    </row>
    <row r="30" spans="1:14" ht="22.5" customHeight="1">
      <c r="A30" s="466">
        <v>18</v>
      </c>
      <c r="B30" s="466" t="s">
        <v>3108</v>
      </c>
      <c r="C30" s="466" t="s">
        <v>3129</v>
      </c>
      <c r="D30" s="466" t="s">
        <v>2497</v>
      </c>
      <c r="E30" s="746">
        <v>5</v>
      </c>
      <c r="F30" s="747">
        <v>7</v>
      </c>
      <c r="G30" s="747">
        <f t="shared" si="0"/>
        <v>35</v>
      </c>
      <c r="H30" s="469">
        <f t="shared" ref="H30:J30" si="21">F30*5</f>
        <v>35</v>
      </c>
      <c r="I30" s="469">
        <f t="shared" si="21"/>
        <v>175</v>
      </c>
      <c r="J30" s="469">
        <f t="shared" si="21"/>
        <v>175</v>
      </c>
      <c r="K30" s="469">
        <f t="shared" si="2"/>
        <v>875</v>
      </c>
      <c r="L30" s="469">
        <f t="shared" si="3"/>
        <v>55</v>
      </c>
      <c r="M30" s="469">
        <f t="shared" si="4"/>
        <v>275</v>
      </c>
      <c r="N30" s="466" t="s">
        <v>3110</v>
      </c>
    </row>
    <row r="31" spans="1:14" ht="22.5" customHeight="1">
      <c r="A31" s="466">
        <v>19</v>
      </c>
      <c r="B31" s="466" t="s">
        <v>3108</v>
      </c>
      <c r="C31" s="466" t="s">
        <v>3130</v>
      </c>
      <c r="D31" s="466" t="s">
        <v>3131</v>
      </c>
      <c r="E31" s="746">
        <v>5</v>
      </c>
      <c r="F31" s="747">
        <v>7</v>
      </c>
      <c r="G31" s="747">
        <f t="shared" si="0"/>
        <v>35</v>
      </c>
      <c r="H31" s="469">
        <f t="shared" ref="H31:J31" si="22">F31*5</f>
        <v>35</v>
      </c>
      <c r="I31" s="469">
        <f t="shared" si="22"/>
        <v>175</v>
      </c>
      <c r="J31" s="469">
        <f t="shared" si="22"/>
        <v>175</v>
      </c>
      <c r="K31" s="469">
        <f t="shared" si="2"/>
        <v>875</v>
      </c>
      <c r="L31" s="469">
        <f t="shared" si="3"/>
        <v>55</v>
      </c>
      <c r="M31" s="469">
        <f t="shared" si="4"/>
        <v>275</v>
      </c>
      <c r="N31" s="466" t="s">
        <v>3117</v>
      </c>
    </row>
    <row r="32" spans="1:14" ht="22.5" customHeight="1">
      <c r="A32" s="466">
        <v>20</v>
      </c>
      <c r="B32" s="466" t="s">
        <v>3108</v>
      </c>
      <c r="C32" s="466" t="s">
        <v>3132</v>
      </c>
      <c r="D32" s="466" t="s">
        <v>3131</v>
      </c>
      <c r="E32" s="746">
        <v>5</v>
      </c>
      <c r="F32" s="747">
        <v>7</v>
      </c>
      <c r="G32" s="747">
        <f t="shared" si="0"/>
        <v>35</v>
      </c>
      <c r="H32" s="469">
        <f t="shared" ref="H32:J32" si="23">F32*5</f>
        <v>35</v>
      </c>
      <c r="I32" s="469">
        <f t="shared" si="23"/>
        <v>175</v>
      </c>
      <c r="J32" s="469">
        <f t="shared" si="23"/>
        <v>175</v>
      </c>
      <c r="K32" s="469">
        <f t="shared" si="2"/>
        <v>875</v>
      </c>
      <c r="L32" s="469">
        <f t="shared" si="3"/>
        <v>55</v>
      </c>
      <c r="M32" s="469">
        <f t="shared" si="4"/>
        <v>275</v>
      </c>
      <c r="N32" s="466" t="s">
        <v>3117</v>
      </c>
    </row>
    <row r="33" spans="1:14" ht="22.5" customHeight="1">
      <c r="A33" s="466">
        <v>21</v>
      </c>
      <c r="B33" s="466" t="s">
        <v>3108</v>
      </c>
      <c r="C33" s="466" t="s">
        <v>3133</v>
      </c>
      <c r="D33" s="466" t="s">
        <v>3131</v>
      </c>
      <c r="E33" s="746">
        <v>5</v>
      </c>
      <c r="F33" s="747">
        <v>7</v>
      </c>
      <c r="G33" s="747">
        <f t="shared" si="0"/>
        <v>35</v>
      </c>
      <c r="H33" s="469">
        <f t="shared" ref="H33:J33" si="24">F33*5</f>
        <v>35</v>
      </c>
      <c r="I33" s="469">
        <f t="shared" si="24"/>
        <v>175</v>
      </c>
      <c r="J33" s="469">
        <f t="shared" si="24"/>
        <v>175</v>
      </c>
      <c r="K33" s="469">
        <f t="shared" si="2"/>
        <v>875</v>
      </c>
      <c r="L33" s="469">
        <f t="shared" si="3"/>
        <v>55</v>
      </c>
      <c r="M33" s="469">
        <f t="shared" si="4"/>
        <v>275</v>
      </c>
      <c r="N33" s="466" t="s">
        <v>3117</v>
      </c>
    </row>
    <row r="34" spans="1:14" ht="22.5" customHeight="1">
      <c r="A34" s="466">
        <v>22</v>
      </c>
      <c r="B34" s="466" t="s">
        <v>3108</v>
      </c>
      <c r="C34" s="466" t="s">
        <v>3134</v>
      </c>
      <c r="D34" s="466" t="s">
        <v>3135</v>
      </c>
      <c r="E34" s="746">
        <v>5</v>
      </c>
      <c r="F34" s="747">
        <v>7</v>
      </c>
      <c r="G34" s="747">
        <f t="shared" si="0"/>
        <v>35</v>
      </c>
      <c r="H34" s="469">
        <f t="shared" ref="H34:J34" si="25">F34*5</f>
        <v>35</v>
      </c>
      <c r="I34" s="469">
        <f t="shared" si="25"/>
        <v>175</v>
      </c>
      <c r="J34" s="469">
        <f t="shared" si="25"/>
        <v>175</v>
      </c>
      <c r="K34" s="469">
        <f t="shared" si="2"/>
        <v>875</v>
      </c>
      <c r="L34" s="469">
        <f t="shared" si="3"/>
        <v>55</v>
      </c>
      <c r="M34" s="469">
        <f t="shared" si="4"/>
        <v>275</v>
      </c>
      <c r="N34" s="466" t="s">
        <v>3117</v>
      </c>
    </row>
    <row r="35" spans="1:14" ht="22.5" customHeight="1">
      <c r="A35" s="466">
        <v>23</v>
      </c>
      <c r="B35" s="466" t="s">
        <v>3108</v>
      </c>
      <c r="C35" s="466" t="s">
        <v>3136</v>
      </c>
      <c r="D35" s="466" t="s">
        <v>3135</v>
      </c>
      <c r="E35" s="746">
        <v>5</v>
      </c>
      <c r="F35" s="747">
        <v>7</v>
      </c>
      <c r="G35" s="747">
        <f t="shared" si="0"/>
        <v>35</v>
      </c>
      <c r="H35" s="469">
        <f t="shared" ref="H35:J35" si="26">F35*5</f>
        <v>35</v>
      </c>
      <c r="I35" s="469">
        <f t="shared" si="26"/>
        <v>175</v>
      </c>
      <c r="J35" s="469">
        <f t="shared" si="26"/>
        <v>175</v>
      </c>
      <c r="K35" s="469">
        <f t="shared" si="2"/>
        <v>875</v>
      </c>
      <c r="L35" s="469">
        <f t="shared" si="3"/>
        <v>55</v>
      </c>
      <c r="M35" s="469">
        <f t="shared" si="4"/>
        <v>275</v>
      </c>
      <c r="N35" s="466" t="s">
        <v>3117</v>
      </c>
    </row>
    <row r="36" spans="1:14" ht="22.5" customHeight="1">
      <c r="A36" s="466">
        <v>24</v>
      </c>
      <c r="B36" s="466" t="s">
        <v>3108</v>
      </c>
      <c r="C36" s="466" t="s">
        <v>3137</v>
      </c>
      <c r="D36" s="466" t="s">
        <v>3138</v>
      </c>
      <c r="E36" s="746">
        <v>5</v>
      </c>
      <c r="F36" s="747">
        <v>7</v>
      </c>
      <c r="G36" s="747">
        <f t="shared" si="0"/>
        <v>35</v>
      </c>
      <c r="H36" s="469">
        <f t="shared" ref="H36:J36" si="27">F36*5</f>
        <v>35</v>
      </c>
      <c r="I36" s="469">
        <f t="shared" si="27"/>
        <v>175</v>
      </c>
      <c r="J36" s="469">
        <f t="shared" si="27"/>
        <v>175</v>
      </c>
      <c r="K36" s="469">
        <f t="shared" si="2"/>
        <v>875</v>
      </c>
      <c r="L36" s="469">
        <f t="shared" si="3"/>
        <v>55</v>
      </c>
      <c r="M36" s="469">
        <f t="shared" si="4"/>
        <v>275</v>
      </c>
      <c r="N36" s="466" t="s">
        <v>3117</v>
      </c>
    </row>
    <row r="37" spans="1:14" ht="22.5" customHeight="1">
      <c r="A37" s="466">
        <v>25</v>
      </c>
      <c r="B37" s="466" t="s">
        <v>3108</v>
      </c>
      <c r="C37" s="466" t="s">
        <v>3139</v>
      </c>
      <c r="D37" s="466" t="s">
        <v>2497</v>
      </c>
      <c r="E37" s="467">
        <v>5</v>
      </c>
      <c r="F37" s="747">
        <v>7</v>
      </c>
      <c r="G37" s="747">
        <f t="shared" si="0"/>
        <v>35</v>
      </c>
      <c r="H37" s="469">
        <f t="shared" ref="H37:J37" si="28">F37*5</f>
        <v>35</v>
      </c>
      <c r="I37" s="469">
        <f t="shared" si="28"/>
        <v>175</v>
      </c>
      <c r="J37" s="469">
        <f t="shared" si="28"/>
        <v>175</v>
      </c>
      <c r="K37" s="469">
        <f t="shared" si="2"/>
        <v>875</v>
      </c>
      <c r="L37" s="469">
        <f t="shared" si="3"/>
        <v>55</v>
      </c>
      <c r="M37" s="469">
        <f t="shared" si="4"/>
        <v>275</v>
      </c>
      <c r="N37" s="466" t="s">
        <v>3117</v>
      </c>
    </row>
    <row r="38" spans="1:14" ht="22.5" customHeight="1">
      <c r="A38" s="466">
        <v>26</v>
      </c>
      <c r="B38" s="466" t="s">
        <v>3108</v>
      </c>
      <c r="C38" s="466" t="s">
        <v>3140</v>
      </c>
      <c r="D38" s="466" t="s">
        <v>2497</v>
      </c>
      <c r="E38" s="467">
        <v>5</v>
      </c>
      <c r="F38" s="747">
        <v>7</v>
      </c>
      <c r="G38" s="747">
        <f t="shared" si="0"/>
        <v>35</v>
      </c>
      <c r="H38" s="469">
        <f t="shared" ref="H38:J38" si="29">F38*5</f>
        <v>35</v>
      </c>
      <c r="I38" s="469">
        <f t="shared" si="29"/>
        <v>175</v>
      </c>
      <c r="J38" s="469">
        <f t="shared" si="29"/>
        <v>175</v>
      </c>
      <c r="K38" s="469">
        <f t="shared" si="2"/>
        <v>875</v>
      </c>
      <c r="L38" s="469">
        <f t="shared" si="3"/>
        <v>55</v>
      </c>
      <c r="M38" s="469">
        <f t="shared" si="4"/>
        <v>275</v>
      </c>
      <c r="N38" s="466" t="s">
        <v>3117</v>
      </c>
    </row>
    <row r="39" spans="1:14" ht="22.5" customHeight="1">
      <c r="A39" s="466">
        <v>27</v>
      </c>
      <c r="B39" s="466" t="s">
        <v>3108</v>
      </c>
      <c r="C39" s="466" t="s">
        <v>3141</v>
      </c>
      <c r="D39" s="466" t="s">
        <v>3138</v>
      </c>
      <c r="E39" s="467">
        <v>5</v>
      </c>
      <c r="F39" s="747">
        <v>7</v>
      </c>
      <c r="G39" s="747">
        <f t="shared" si="0"/>
        <v>35</v>
      </c>
      <c r="H39" s="469">
        <f t="shared" ref="H39:J39" si="30">F39*5</f>
        <v>35</v>
      </c>
      <c r="I39" s="469">
        <f t="shared" si="30"/>
        <v>175</v>
      </c>
      <c r="J39" s="469">
        <f t="shared" si="30"/>
        <v>175</v>
      </c>
      <c r="K39" s="469">
        <f t="shared" si="2"/>
        <v>875</v>
      </c>
      <c r="L39" s="469">
        <f t="shared" si="3"/>
        <v>55</v>
      </c>
      <c r="M39" s="469">
        <f t="shared" si="4"/>
        <v>275</v>
      </c>
      <c r="N39" s="466" t="s">
        <v>3117</v>
      </c>
    </row>
    <row r="40" spans="1:14" ht="22.5" customHeight="1">
      <c r="A40" s="466">
        <v>28</v>
      </c>
      <c r="B40" s="466" t="s">
        <v>3108</v>
      </c>
      <c r="C40" s="466" t="s">
        <v>3142</v>
      </c>
      <c r="D40" s="466" t="s">
        <v>2685</v>
      </c>
      <c r="E40" s="467">
        <v>5</v>
      </c>
      <c r="F40" s="747">
        <v>7</v>
      </c>
      <c r="G40" s="747">
        <f t="shared" si="0"/>
        <v>35</v>
      </c>
      <c r="H40" s="469">
        <f t="shared" ref="H40:J40" si="31">F40*5</f>
        <v>35</v>
      </c>
      <c r="I40" s="469">
        <f t="shared" si="31"/>
        <v>175</v>
      </c>
      <c r="J40" s="469">
        <f t="shared" si="31"/>
        <v>175</v>
      </c>
      <c r="K40" s="469">
        <f t="shared" si="2"/>
        <v>875</v>
      </c>
      <c r="L40" s="469">
        <f t="shared" si="3"/>
        <v>55</v>
      </c>
      <c r="M40" s="469">
        <f t="shared" si="4"/>
        <v>275</v>
      </c>
      <c r="N40" s="466" t="s">
        <v>3117</v>
      </c>
    </row>
    <row r="41" spans="1:14" ht="22.5" customHeight="1">
      <c r="A41" s="466">
        <v>29</v>
      </c>
      <c r="B41" s="466" t="s">
        <v>3108</v>
      </c>
      <c r="C41" s="466" t="s">
        <v>3143</v>
      </c>
      <c r="D41" s="466" t="s">
        <v>2685</v>
      </c>
      <c r="E41" s="467">
        <v>5</v>
      </c>
      <c r="F41" s="747">
        <v>7</v>
      </c>
      <c r="G41" s="747">
        <f t="shared" si="0"/>
        <v>35</v>
      </c>
      <c r="H41" s="469">
        <f t="shared" ref="H41:J41" si="32">F41*5</f>
        <v>35</v>
      </c>
      <c r="I41" s="469">
        <f t="shared" si="32"/>
        <v>175</v>
      </c>
      <c r="J41" s="469">
        <f t="shared" si="32"/>
        <v>175</v>
      </c>
      <c r="K41" s="469">
        <f t="shared" si="2"/>
        <v>875</v>
      </c>
      <c r="L41" s="469">
        <f t="shared" si="3"/>
        <v>55</v>
      </c>
      <c r="M41" s="469">
        <f t="shared" si="4"/>
        <v>275</v>
      </c>
      <c r="N41" s="466" t="s">
        <v>3117</v>
      </c>
    </row>
    <row r="42" spans="1:14" ht="22.5" customHeight="1">
      <c r="A42" s="466">
        <v>30</v>
      </c>
      <c r="B42" s="466" t="s">
        <v>3108</v>
      </c>
      <c r="C42" s="466" t="s">
        <v>3144</v>
      </c>
      <c r="D42" s="466" t="s">
        <v>2731</v>
      </c>
      <c r="E42" s="467">
        <v>5</v>
      </c>
      <c r="F42" s="747">
        <v>7</v>
      </c>
      <c r="G42" s="747">
        <f t="shared" si="0"/>
        <v>35</v>
      </c>
      <c r="H42" s="469">
        <f t="shared" ref="H42:J42" si="33">F42*5</f>
        <v>35</v>
      </c>
      <c r="I42" s="469">
        <f t="shared" si="33"/>
        <v>175</v>
      </c>
      <c r="J42" s="469">
        <f t="shared" si="33"/>
        <v>175</v>
      </c>
      <c r="K42" s="469">
        <f t="shared" si="2"/>
        <v>875</v>
      </c>
      <c r="L42" s="469">
        <f t="shared" si="3"/>
        <v>55</v>
      </c>
      <c r="M42" s="469">
        <f t="shared" si="4"/>
        <v>275</v>
      </c>
      <c r="N42" s="466" t="s">
        <v>3117</v>
      </c>
    </row>
    <row r="43" spans="1:14" ht="22.5" customHeight="1">
      <c r="A43" s="466">
        <v>31</v>
      </c>
      <c r="B43" s="466" t="s">
        <v>3108</v>
      </c>
      <c r="C43" s="466" t="s">
        <v>3145</v>
      </c>
      <c r="D43" s="466" t="s">
        <v>3146</v>
      </c>
      <c r="E43" s="467">
        <v>5</v>
      </c>
      <c r="F43" s="747">
        <v>7</v>
      </c>
      <c r="G43" s="747">
        <f t="shared" si="0"/>
        <v>35</v>
      </c>
      <c r="H43" s="469">
        <f t="shared" ref="H43:J43" si="34">F43*5</f>
        <v>35</v>
      </c>
      <c r="I43" s="469">
        <f t="shared" si="34"/>
        <v>175</v>
      </c>
      <c r="J43" s="469">
        <f t="shared" si="34"/>
        <v>175</v>
      </c>
      <c r="K43" s="469">
        <f t="shared" si="2"/>
        <v>875</v>
      </c>
      <c r="L43" s="469">
        <f t="shared" si="3"/>
        <v>55</v>
      </c>
      <c r="M43" s="469">
        <f t="shared" si="4"/>
        <v>275</v>
      </c>
      <c r="N43" s="466" t="s">
        <v>3117</v>
      </c>
    </row>
    <row r="44" spans="1:14" ht="22.5" customHeight="1">
      <c r="A44" s="466">
        <v>32</v>
      </c>
      <c r="B44" s="466" t="s">
        <v>3108</v>
      </c>
      <c r="C44" s="466" t="s">
        <v>3147</v>
      </c>
      <c r="D44" s="466" t="s">
        <v>2685</v>
      </c>
      <c r="E44" s="467">
        <v>5</v>
      </c>
      <c r="F44" s="747">
        <v>7</v>
      </c>
      <c r="G44" s="747">
        <f t="shared" si="0"/>
        <v>35</v>
      </c>
      <c r="H44" s="469">
        <f t="shared" ref="H44:J44" si="35">F44*5</f>
        <v>35</v>
      </c>
      <c r="I44" s="469">
        <f t="shared" si="35"/>
        <v>175</v>
      </c>
      <c r="J44" s="469">
        <f t="shared" si="35"/>
        <v>175</v>
      </c>
      <c r="K44" s="469">
        <f t="shared" si="2"/>
        <v>875</v>
      </c>
      <c r="L44" s="469">
        <f t="shared" si="3"/>
        <v>55</v>
      </c>
      <c r="M44" s="469">
        <f t="shared" si="4"/>
        <v>275</v>
      </c>
      <c r="N44" s="466" t="s">
        <v>3117</v>
      </c>
    </row>
    <row r="45" spans="1:14" ht="22.5" customHeight="1">
      <c r="A45" s="466">
        <v>33</v>
      </c>
      <c r="B45" s="466" t="s">
        <v>3108</v>
      </c>
      <c r="C45" s="466" t="s">
        <v>3148</v>
      </c>
      <c r="D45" s="466" t="s">
        <v>3135</v>
      </c>
      <c r="E45" s="467">
        <v>5</v>
      </c>
      <c r="F45" s="747">
        <v>7</v>
      </c>
      <c r="G45" s="747">
        <f t="shared" si="0"/>
        <v>35</v>
      </c>
      <c r="H45" s="469">
        <f t="shared" ref="H45:J45" si="36">F45*5</f>
        <v>35</v>
      </c>
      <c r="I45" s="469">
        <f t="shared" si="36"/>
        <v>175</v>
      </c>
      <c r="J45" s="469">
        <f t="shared" si="36"/>
        <v>175</v>
      </c>
      <c r="K45" s="469">
        <f t="shared" si="2"/>
        <v>875</v>
      </c>
      <c r="L45" s="469">
        <f t="shared" si="3"/>
        <v>55</v>
      </c>
      <c r="M45" s="469">
        <f t="shared" si="4"/>
        <v>275</v>
      </c>
      <c r="N45" s="466" t="s">
        <v>3117</v>
      </c>
    </row>
    <row r="46" spans="1:14" ht="22.5" customHeight="1">
      <c r="A46" s="466">
        <v>34</v>
      </c>
      <c r="B46" s="466" t="s">
        <v>3108</v>
      </c>
      <c r="C46" s="466" t="s">
        <v>3149</v>
      </c>
      <c r="D46" s="466" t="s">
        <v>2497</v>
      </c>
      <c r="E46" s="467">
        <v>5</v>
      </c>
      <c r="F46" s="747">
        <v>7</v>
      </c>
      <c r="G46" s="747">
        <f t="shared" si="0"/>
        <v>35</v>
      </c>
      <c r="H46" s="469">
        <f t="shared" ref="H46:J46" si="37">F46*5</f>
        <v>35</v>
      </c>
      <c r="I46" s="469">
        <f t="shared" si="37"/>
        <v>175</v>
      </c>
      <c r="J46" s="469">
        <f t="shared" si="37"/>
        <v>175</v>
      </c>
      <c r="K46" s="469">
        <f t="shared" si="2"/>
        <v>875</v>
      </c>
      <c r="L46" s="469">
        <f t="shared" si="3"/>
        <v>55</v>
      </c>
      <c r="M46" s="469">
        <f t="shared" si="4"/>
        <v>275</v>
      </c>
      <c r="N46" s="466" t="s">
        <v>3110</v>
      </c>
    </row>
    <row r="47" spans="1:14" ht="22.5" customHeight="1">
      <c r="A47" s="466">
        <v>35</v>
      </c>
      <c r="B47" s="466" t="s">
        <v>3108</v>
      </c>
      <c r="C47" s="466" t="s">
        <v>3150</v>
      </c>
      <c r="D47" s="466" t="s">
        <v>3151</v>
      </c>
      <c r="E47" s="467">
        <v>5</v>
      </c>
      <c r="F47" s="747">
        <v>7</v>
      </c>
      <c r="G47" s="747">
        <f t="shared" si="0"/>
        <v>35</v>
      </c>
      <c r="H47" s="469">
        <f t="shared" ref="H47:J47" si="38">F47*5</f>
        <v>35</v>
      </c>
      <c r="I47" s="469">
        <f t="shared" si="38"/>
        <v>175</v>
      </c>
      <c r="J47" s="469">
        <f t="shared" si="38"/>
        <v>175</v>
      </c>
      <c r="K47" s="469">
        <f t="shared" si="2"/>
        <v>875</v>
      </c>
      <c r="L47" s="469">
        <f t="shared" si="3"/>
        <v>55</v>
      </c>
      <c r="M47" s="469">
        <f t="shared" si="4"/>
        <v>275</v>
      </c>
      <c r="N47" s="466" t="s">
        <v>3110</v>
      </c>
    </row>
    <row r="48" spans="1:14" ht="22.5" customHeight="1">
      <c r="A48" s="466">
        <v>36</v>
      </c>
      <c r="B48" s="466" t="s">
        <v>3108</v>
      </c>
      <c r="C48" s="466" t="s">
        <v>3152</v>
      </c>
      <c r="D48" s="466" t="s">
        <v>3151</v>
      </c>
      <c r="E48" s="467">
        <v>5</v>
      </c>
      <c r="F48" s="747">
        <v>7</v>
      </c>
      <c r="G48" s="747">
        <f t="shared" si="0"/>
        <v>35</v>
      </c>
      <c r="H48" s="469">
        <f t="shared" ref="H48:J48" si="39">F48*5</f>
        <v>35</v>
      </c>
      <c r="I48" s="469">
        <f t="shared" si="39"/>
        <v>175</v>
      </c>
      <c r="J48" s="469">
        <f t="shared" si="39"/>
        <v>175</v>
      </c>
      <c r="K48" s="469">
        <f t="shared" si="2"/>
        <v>875</v>
      </c>
      <c r="L48" s="469">
        <f t="shared" si="3"/>
        <v>55</v>
      </c>
      <c r="M48" s="469">
        <f t="shared" si="4"/>
        <v>275</v>
      </c>
      <c r="N48" s="466" t="s">
        <v>3110</v>
      </c>
    </row>
    <row r="49" spans="1:14" ht="22.5" customHeight="1">
      <c r="A49" s="466">
        <v>37</v>
      </c>
      <c r="B49" s="466" t="s">
        <v>3108</v>
      </c>
      <c r="C49" s="466" t="s">
        <v>3153</v>
      </c>
      <c r="D49" s="466" t="s">
        <v>3151</v>
      </c>
      <c r="E49" s="467">
        <v>5</v>
      </c>
      <c r="F49" s="747">
        <v>7</v>
      </c>
      <c r="G49" s="747">
        <f t="shared" si="0"/>
        <v>35</v>
      </c>
      <c r="H49" s="469">
        <f t="shared" ref="H49:J49" si="40">F49*5</f>
        <v>35</v>
      </c>
      <c r="I49" s="469">
        <f t="shared" si="40"/>
        <v>175</v>
      </c>
      <c r="J49" s="469">
        <f t="shared" si="40"/>
        <v>175</v>
      </c>
      <c r="K49" s="469">
        <f t="shared" si="2"/>
        <v>875</v>
      </c>
      <c r="L49" s="469">
        <f t="shared" si="3"/>
        <v>55</v>
      </c>
      <c r="M49" s="469">
        <f t="shared" si="4"/>
        <v>275</v>
      </c>
      <c r="N49" s="466" t="s">
        <v>3110</v>
      </c>
    </row>
    <row r="50" spans="1:14" ht="22.5" customHeight="1">
      <c r="A50" s="466">
        <v>38</v>
      </c>
      <c r="B50" s="466" t="s">
        <v>3108</v>
      </c>
      <c r="C50" s="466" t="s">
        <v>3154</v>
      </c>
      <c r="D50" s="466" t="s">
        <v>3151</v>
      </c>
      <c r="E50" s="467">
        <v>5</v>
      </c>
      <c r="F50" s="747">
        <v>7</v>
      </c>
      <c r="G50" s="747">
        <f t="shared" si="0"/>
        <v>35</v>
      </c>
      <c r="H50" s="469">
        <f t="shared" ref="H50:J50" si="41">F50*5</f>
        <v>35</v>
      </c>
      <c r="I50" s="469">
        <f t="shared" si="41"/>
        <v>175</v>
      </c>
      <c r="J50" s="469">
        <f t="shared" si="41"/>
        <v>175</v>
      </c>
      <c r="K50" s="469">
        <f t="shared" si="2"/>
        <v>875</v>
      </c>
      <c r="L50" s="469">
        <f t="shared" si="3"/>
        <v>55</v>
      </c>
      <c r="M50" s="469">
        <f t="shared" si="4"/>
        <v>275</v>
      </c>
      <c r="N50" s="466" t="s">
        <v>3110</v>
      </c>
    </row>
    <row r="51" spans="1:14" ht="22.5" customHeight="1">
      <c r="A51" s="466">
        <v>39</v>
      </c>
      <c r="B51" s="466" t="s">
        <v>3108</v>
      </c>
      <c r="C51" s="466" t="s">
        <v>3155</v>
      </c>
      <c r="D51" s="466" t="s">
        <v>3151</v>
      </c>
      <c r="E51" s="467">
        <v>5</v>
      </c>
      <c r="F51" s="747">
        <v>7</v>
      </c>
      <c r="G51" s="747">
        <f t="shared" si="0"/>
        <v>35</v>
      </c>
      <c r="H51" s="469">
        <f t="shared" ref="H51:J51" si="42">F51*5</f>
        <v>35</v>
      </c>
      <c r="I51" s="469">
        <f t="shared" si="42"/>
        <v>175</v>
      </c>
      <c r="J51" s="469">
        <f t="shared" si="42"/>
        <v>175</v>
      </c>
      <c r="K51" s="469">
        <f t="shared" si="2"/>
        <v>875</v>
      </c>
      <c r="L51" s="469">
        <f t="shared" si="3"/>
        <v>55</v>
      </c>
      <c r="M51" s="469">
        <f t="shared" si="4"/>
        <v>275</v>
      </c>
      <c r="N51" s="466" t="s">
        <v>3110</v>
      </c>
    </row>
    <row r="52" spans="1:14" ht="22.5" customHeight="1">
      <c r="A52" s="466">
        <v>40</v>
      </c>
      <c r="B52" s="466" t="s">
        <v>3108</v>
      </c>
      <c r="C52" s="466" t="s">
        <v>3156</v>
      </c>
      <c r="D52" s="466" t="s">
        <v>2497</v>
      </c>
      <c r="E52" s="467">
        <v>5</v>
      </c>
      <c r="F52" s="747">
        <v>7</v>
      </c>
      <c r="G52" s="747">
        <f t="shared" si="0"/>
        <v>35</v>
      </c>
      <c r="H52" s="469">
        <f t="shared" ref="H52:J52" si="43">F52*5</f>
        <v>35</v>
      </c>
      <c r="I52" s="469">
        <f t="shared" si="43"/>
        <v>175</v>
      </c>
      <c r="J52" s="469">
        <f t="shared" si="43"/>
        <v>175</v>
      </c>
      <c r="K52" s="469">
        <f t="shared" si="2"/>
        <v>875</v>
      </c>
      <c r="L52" s="469">
        <f t="shared" si="3"/>
        <v>55</v>
      </c>
      <c r="M52" s="469">
        <f t="shared" si="4"/>
        <v>275</v>
      </c>
      <c r="N52" s="466" t="s">
        <v>3110</v>
      </c>
    </row>
    <row r="53" spans="1:14" ht="22.5" customHeight="1">
      <c r="A53" s="466">
        <v>41</v>
      </c>
      <c r="B53" s="466" t="s">
        <v>3108</v>
      </c>
      <c r="C53" s="466" t="s">
        <v>3157</v>
      </c>
      <c r="D53" s="466" t="s">
        <v>2497</v>
      </c>
      <c r="E53" s="467">
        <v>5</v>
      </c>
      <c r="F53" s="747">
        <v>7</v>
      </c>
      <c r="G53" s="747">
        <f t="shared" si="0"/>
        <v>35</v>
      </c>
      <c r="H53" s="469">
        <f t="shared" ref="H53:J53" si="44">F53*5</f>
        <v>35</v>
      </c>
      <c r="I53" s="469">
        <f t="shared" si="44"/>
        <v>175</v>
      </c>
      <c r="J53" s="469">
        <f t="shared" si="44"/>
        <v>175</v>
      </c>
      <c r="K53" s="469">
        <f t="shared" si="2"/>
        <v>875</v>
      </c>
      <c r="L53" s="469">
        <f t="shared" si="3"/>
        <v>55</v>
      </c>
      <c r="M53" s="469">
        <f t="shared" si="4"/>
        <v>275</v>
      </c>
      <c r="N53" s="466" t="s">
        <v>3110</v>
      </c>
    </row>
    <row r="54" spans="1:14" ht="22.5" customHeight="1">
      <c r="A54" s="466">
        <v>42</v>
      </c>
      <c r="B54" s="466" t="s">
        <v>3108</v>
      </c>
      <c r="C54" s="466" t="s">
        <v>3158</v>
      </c>
      <c r="D54" s="466" t="s">
        <v>2722</v>
      </c>
      <c r="E54" s="467">
        <v>5</v>
      </c>
      <c r="F54" s="747">
        <v>7</v>
      </c>
      <c r="G54" s="747">
        <f t="shared" si="0"/>
        <v>35</v>
      </c>
      <c r="H54" s="469">
        <f t="shared" ref="H54:J54" si="45">F54*5</f>
        <v>35</v>
      </c>
      <c r="I54" s="469">
        <f t="shared" si="45"/>
        <v>175</v>
      </c>
      <c r="J54" s="469">
        <f t="shared" si="45"/>
        <v>175</v>
      </c>
      <c r="K54" s="469">
        <f t="shared" si="2"/>
        <v>875</v>
      </c>
      <c r="L54" s="469">
        <f t="shared" si="3"/>
        <v>55</v>
      </c>
      <c r="M54" s="469">
        <f t="shared" si="4"/>
        <v>275</v>
      </c>
      <c r="N54" s="466" t="s">
        <v>3117</v>
      </c>
    </row>
    <row r="55" spans="1:14" ht="22.5" customHeight="1">
      <c r="A55" s="466">
        <v>43</v>
      </c>
      <c r="B55" s="466" t="s">
        <v>3108</v>
      </c>
      <c r="C55" s="466" t="s">
        <v>3159</v>
      </c>
      <c r="D55" s="466" t="s">
        <v>2722</v>
      </c>
      <c r="E55" s="467">
        <v>5</v>
      </c>
      <c r="F55" s="747">
        <v>7</v>
      </c>
      <c r="G55" s="747">
        <f t="shared" si="0"/>
        <v>35</v>
      </c>
      <c r="H55" s="469">
        <f t="shared" ref="H55:J55" si="46">F55*5</f>
        <v>35</v>
      </c>
      <c r="I55" s="469">
        <f t="shared" si="46"/>
        <v>175</v>
      </c>
      <c r="J55" s="469">
        <f t="shared" si="46"/>
        <v>175</v>
      </c>
      <c r="K55" s="469">
        <f t="shared" si="2"/>
        <v>875</v>
      </c>
      <c r="L55" s="469">
        <f t="shared" si="3"/>
        <v>55</v>
      </c>
      <c r="M55" s="469">
        <f t="shared" si="4"/>
        <v>275</v>
      </c>
      <c r="N55" s="466" t="s">
        <v>3117</v>
      </c>
    </row>
    <row r="56" spans="1:14" ht="22.5" customHeight="1">
      <c r="A56" s="466">
        <v>44</v>
      </c>
      <c r="B56" s="466" t="s">
        <v>3108</v>
      </c>
      <c r="C56" s="466" t="s">
        <v>3160</v>
      </c>
      <c r="D56" s="466" t="s">
        <v>2722</v>
      </c>
      <c r="E56" s="467">
        <v>5</v>
      </c>
      <c r="F56" s="747">
        <v>7</v>
      </c>
      <c r="G56" s="747">
        <f t="shared" si="0"/>
        <v>35</v>
      </c>
      <c r="H56" s="469">
        <f t="shared" ref="H56:J56" si="47">F56*5</f>
        <v>35</v>
      </c>
      <c r="I56" s="469">
        <f t="shared" si="47"/>
        <v>175</v>
      </c>
      <c r="J56" s="469">
        <f t="shared" si="47"/>
        <v>175</v>
      </c>
      <c r="K56" s="469">
        <f t="shared" si="2"/>
        <v>875</v>
      </c>
      <c r="L56" s="469">
        <f t="shared" si="3"/>
        <v>55</v>
      </c>
      <c r="M56" s="469">
        <f t="shared" si="4"/>
        <v>275</v>
      </c>
      <c r="N56" s="466" t="s">
        <v>3117</v>
      </c>
    </row>
    <row r="57" spans="1:14" ht="22.5" customHeight="1">
      <c r="A57" s="466">
        <v>45</v>
      </c>
      <c r="B57" s="466" t="s">
        <v>3108</v>
      </c>
      <c r="C57" s="466" t="s">
        <v>3161</v>
      </c>
      <c r="D57" s="466" t="s">
        <v>2497</v>
      </c>
      <c r="E57" s="467">
        <v>5</v>
      </c>
      <c r="F57" s="747">
        <v>7</v>
      </c>
      <c r="G57" s="747">
        <f t="shared" si="0"/>
        <v>35</v>
      </c>
      <c r="H57" s="469">
        <f t="shared" ref="H57:J57" si="48">F57*5</f>
        <v>35</v>
      </c>
      <c r="I57" s="469">
        <f t="shared" si="48"/>
        <v>175</v>
      </c>
      <c r="J57" s="469">
        <f t="shared" si="48"/>
        <v>175</v>
      </c>
      <c r="K57" s="469">
        <f t="shared" si="2"/>
        <v>875</v>
      </c>
      <c r="L57" s="469">
        <f t="shared" si="3"/>
        <v>55</v>
      </c>
      <c r="M57" s="469">
        <f t="shared" si="4"/>
        <v>275</v>
      </c>
      <c r="N57" s="466" t="s">
        <v>3110</v>
      </c>
    </row>
    <row r="58" spans="1:14" ht="22.5" customHeight="1">
      <c r="A58" s="466">
        <v>46</v>
      </c>
      <c r="B58" s="466" t="s">
        <v>3108</v>
      </c>
      <c r="C58" s="466" t="s">
        <v>3162</v>
      </c>
      <c r="D58" s="466" t="s">
        <v>3163</v>
      </c>
      <c r="E58" s="467">
        <v>5</v>
      </c>
      <c r="F58" s="747">
        <v>7</v>
      </c>
      <c r="G58" s="747">
        <f t="shared" si="0"/>
        <v>35</v>
      </c>
      <c r="H58" s="469">
        <f t="shared" ref="H58:J58" si="49">F58*5</f>
        <v>35</v>
      </c>
      <c r="I58" s="469">
        <f t="shared" si="49"/>
        <v>175</v>
      </c>
      <c r="J58" s="469">
        <f t="shared" si="49"/>
        <v>175</v>
      </c>
      <c r="K58" s="469">
        <f t="shared" si="2"/>
        <v>875</v>
      </c>
      <c r="L58" s="469">
        <f t="shared" si="3"/>
        <v>55</v>
      </c>
      <c r="M58" s="469">
        <f t="shared" si="4"/>
        <v>275</v>
      </c>
      <c r="N58" s="466" t="s">
        <v>3117</v>
      </c>
    </row>
    <row r="59" spans="1:14" ht="22.5" customHeight="1">
      <c r="A59" s="466">
        <v>47</v>
      </c>
      <c r="B59" s="466" t="s">
        <v>3108</v>
      </c>
      <c r="C59" s="466" t="s">
        <v>3164</v>
      </c>
      <c r="D59" s="466" t="s">
        <v>2731</v>
      </c>
      <c r="E59" s="467">
        <v>5</v>
      </c>
      <c r="F59" s="747">
        <v>7</v>
      </c>
      <c r="G59" s="747">
        <f t="shared" si="0"/>
        <v>35</v>
      </c>
      <c r="H59" s="469">
        <f t="shared" ref="H59:J59" si="50">F59*5</f>
        <v>35</v>
      </c>
      <c r="I59" s="469">
        <f t="shared" si="50"/>
        <v>175</v>
      </c>
      <c r="J59" s="469">
        <f t="shared" si="50"/>
        <v>175</v>
      </c>
      <c r="K59" s="469">
        <f t="shared" si="2"/>
        <v>875</v>
      </c>
      <c r="L59" s="469">
        <f t="shared" si="3"/>
        <v>55</v>
      </c>
      <c r="M59" s="469">
        <f t="shared" si="4"/>
        <v>275</v>
      </c>
      <c r="N59" s="466" t="s">
        <v>3117</v>
      </c>
    </row>
    <row r="60" spans="1:14" ht="22.5" customHeight="1">
      <c r="A60" s="466">
        <v>48</v>
      </c>
      <c r="B60" s="466" t="s">
        <v>3108</v>
      </c>
      <c r="C60" s="466" t="s">
        <v>3165</v>
      </c>
      <c r="D60" s="466" t="s">
        <v>2722</v>
      </c>
      <c r="E60" s="467">
        <v>5</v>
      </c>
      <c r="F60" s="747">
        <v>7</v>
      </c>
      <c r="G60" s="747">
        <f t="shared" si="0"/>
        <v>35</v>
      </c>
      <c r="H60" s="469">
        <f t="shared" ref="H60:J60" si="51">F60*5</f>
        <v>35</v>
      </c>
      <c r="I60" s="469">
        <f t="shared" si="51"/>
        <v>175</v>
      </c>
      <c r="J60" s="469">
        <f t="shared" si="51"/>
        <v>175</v>
      </c>
      <c r="K60" s="469">
        <f t="shared" si="2"/>
        <v>875</v>
      </c>
      <c r="L60" s="469">
        <f t="shared" si="3"/>
        <v>55</v>
      </c>
      <c r="M60" s="469">
        <f t="shared" si="4"/>
        <v>275</v>
      </c>
      <c r="N60" s="466" t="s">
        <v>3117</v>
      </c>
    </row>
    <row r="61" spans="1:14" ht="22.5" customHeight="1">
      <c r="A61" s="466">
        <v>49</v>
      </c>
      <c r="B61" s="466" t="s">
        <v>3108</v>
      </c>
      <c r="C61" s="466" t="s">
        <v>3166</v>
      </c>
      <c r="D61" s="466" t="s">
        <v>2476</v>
      </c>
      <c r="E61" s="467">
        <v>3.3</v>
      </c>
      <c r="F61" s="747">
        <v>7</v>
      </c>
      <c r="G61" s="747">
        <f t="shared" si="0"/>
        <v>23.099999999999998</v>
      </c>
      <c r="H61" s="469">
        <f t="shared" ref="H61:J61" si="52">F61*5</f>
        <v>35</v>
      </c>
      <c r="I61" s="469">
        <f t="shared" si="52"/>
        <v>115.49999999999999</v>
      </c>
      <c r="J61" s="469">
        <f t="shared" si="52"/>
        <v>175</v>
      </c>
      <c r="K61" s="469">
        <f t="shared" si="2"/>
        <v>577.5</v>
      </c>
      <c r="L61" s="469">
        <f t="shared" si="3"/>
        <v>55</v>
      </c>
      <c r="M61" s="469">
        <f t="shared" si="4"/>
        <v>181.5</v>
      </c>
      <c r="N61" s="466" t="s">
        <v>3167</v>
      </c>
    </row>
    <row r="62" spans="1:14" ht="22.5" customHeight="1">
      <c r="A62" s="466">
        <v>50</v>
      </c>
      <c r="B62" s="466" t="s">
        <v>3108</v>
      </c>
      <c r="C62" s="466" t="s">
        <v>3168</v>
      </c>
      <c r="D62" s="466" t="s">
        <v>2476</v>
      </c>
      <c r="E62" s="467">
        <v>5.5</v>
      </c>
      <c r="F62" s="747">
        <v>7</v>
      </c>
      <c r="G62" s="747">
        <f t="shared" si="0"/>
        <v>38.5</v>
      </c>
      <c r="H62" s="469">
        <f t="shared" ref="H62:J62" si="53">F62*5</f>
        <v>35</v>
      </c>
      <c r="I62" s="469">
        <f t="shared" si="53"/>
        <v>192.5</v>
      </c>
      <c r="J62" s="469">
        <f t="shared" si="53"/>
        <v>175</v>
      </c>
      <c r="K62" s="469">
        <f t="shared" si="2"/>
        <v>962.5</v>
      </c>
      <c r="L62" s="469">
        <f t="shared" si="3"/>
        <v>55</v>
      </c>
      <c r="M62" s="469">
        <f t="shared" si="4"/>
        <v>302.5</v>
      </c>
      <c r="N62" s="466" t="s">
        <v>3167</v>
      </c>
    </row>
    <row r="63" spans="1:14" ht="22.5" customHeight="1">
      <c r="A63" s="466">
        <v>51</v>
      </c>
      <c r="B63" s="466" t="s">
        <v>3108</v>
      </c>
      <c r="C63" s="466" t="s">
        <v>3169</v>
      </c>
      <c r="D63" s="466" t="s">
        <v>2707</v>
      </c>
      <c r="E63" s="467">
        <v>3.45</v>
      </c>
      <c r="F63" s="747">
        <v>7</v>
      </c>
      <c r="G63" s="747">
        <f t="shared" si="0"/>
        <v>24.150000000000002</v>
      </c>
      <c r="H63" s="469">
        <f t="shared" ref="H63:J63" si="54">F63*5</f>
        <v>35</v>
      </c>
      <c r="I63" s="469">
        <f t="shared" si="54"/>
        <v>120.75000000000001</v>
      </c>
      <c r="J63" s="469">
        <f t="shared" si="54"/>
        <v>175</v>
      </c>
      <c r="K63" s="469">
        <f t="shared" si="2"/>
        <v>603.75</v>
      </c>
      <c r="L63" s="469">
        <f t="shared" si="3"/>
        <v>55</v>
      </c>
      <c r="M63" s="469">
        <f t="shared" si="4"/>
        <v>189.75</v>
      </c>
      <c r="N63" s="466" t="s">
        <v>3167</v>
      </c>
    </row>
    <row r="64" spans="1:14" ht="22.5" customHeight="1">
      <c r="A64" s="466">
        <v>52</v>
      </c>
      <c r="B64" s="466" t="s">
        <v>3108</v>
      </c>
      <c r="C64" s="466" t="s">
        <v>3170</v>
      </c>
      <c r="D64" s="466" t="s">
        <v>2707</v>
      </c>
      <c r="E64" s="467">
        <v>3.5</v>
      </c>
      <c r="F64" s="747">
        <v>7</v>
      </c>
      <c r="G64" s="747">
        <f t="shared" si="0"/>
        <v>24.5</v>
      </c>
      <c r="H64" s="469">
        <f t="shared" ref="H64:J64" si="55">F64*5</f>
        <v>35</v>
      </c>
      <c r="I64" s="469">
        <f t="shared" si="55"/>
        <v>122.5</v>
      </c>
      <c r="J64" s="469">
        <f t="shared" si="55"/>
        <v>175</v>
      </c>
      <c r="K64" s="469">
        <f t="shared" si="2"/>
        <v>612.5</v>
      </c>
      <c r="L64" s="469">
        <f t="shared" si="3"/>
        <v>55</v>
      </c>
      <c r="M64" s="469">
        <f t="shared" si="4"/>
        <v>192.5</v>
      </c>
      <c r="N64" s="466" t="s">
        <v>3167</v>
      </c>
    </row>
    <row r="65" spans="1:14" ht="22.5" customHeight="1">
      <c r="A65" s="466">
        <v>53</v>
      </c>
      <c r="B65" s="466" t="s">
        <v>3108</v>
      </c>
      <c r="C65" s="466" t="s">
        <v>3171</v>
      </c>
      <c r="D65" s="466" t="s">
        <v>2707</v>
      </c>
      <c r="E65" s="467">
        <v>3.5</v>
      </c>
      <c r="F65" s="747">
        <v>7</v>
      </c>
      <c r="G65" s="747">
        <f t="shared" si="0"/>
        <v>24.5</v>
      </c>
      <c r="H65" s="469">
        <f t="shared" ref="H65:J65" si="56">F65*5</f>
        <v>35</v>
      </c>
      <c r="I65" s="469">
        <f t="shared" si="56"/>
        <v>122.5</v>
      </c>
      <c r="J65" s="469">
        <f t="shared" si="56"/>
        <v>175</v>
      </c>
      <c r="K65" s="469">
        <f t="shared" si="2"/>
        <v>612.5</v>
      </c>
      <c r="L65" s="469">
        <f t="shared" si="3"/>
        <v>55</v>
      </c>
      <c r="M65" s="469">
        <f t="shared" si="4"/>
        <v>192.5</v>
      </c>
      <c r="N65" s="466" t="s">
        <v>3167</v>
      </c>
    </row>
    <row r="66" spans="1:14" ht="22.5" customHeight="1">
      <c r="A66" s="466">
        <v>54</v>
      </c>
      <c r="B66" s="466" t="s">
        <v>3108</v>
      </c>
      <c r="C66" s="466" t="s">
        <v>3172</v>
      </c>
      <c r="D66" s="466" t="s">
        <v>2722</v>
      </c>
      <c r="E66" s="467">
        <v>3.4</v>
      </c>
      <c r="F66" s="747">
        <v>7</v>
      </c>
      <c r="G66" s="747">
        <f t="shared" si="0"/>
        <v>23.8</v>
      </c>
      <c r="H66" s="469">
        <f t="shared" ref="H66:J66" si="57">F66*5</f>
        <v>35</v>
      </c>
      <c r="I66" s="469">
        <f t="shared" si="57"/>
        <v>119</v>
      </c>
      <c r="J66" s="469">
        <f t="shared" si="57"/>
        <v>175</v>
      </c>
      <c r="K66" s="469">
        <f t="shared" si="2"/>
        <v>595</v>
      </c>
      <c r="L66" s="469">
        <f t="shared" si="3"/>
        <v>55</v>
      </c>
      <c r="M66" s="469">
        <f t="shared" si="4"/>
        <v>187</v>
      </c>
      <c r="N66" s="466" t="s">
        <v>3167</v>
      </c>
    </row>
    <row r="67" spans="1:14" ht="22.5" customHeight="1">
      <c r="A67" s="466">
        <v>55</v>
      </c>
      <c r="B67" s="466" t="s">
        <v>3108</v>
      </c>
      <c r="C67" s="466" t="s">
        <v>3173</v>
      </c>
      <c r="D67" s="466" t="s">
        <v>2722</v>
      </c>
      <c r="E67" s="467">
        <v>3.4</v>
      </c>
      <c r="F67" s="747">
        <v>7</v>
      </c>
      <c r="G67" s="747">
        <f t="shared" si="0"/>
        <v>23.8</v>
      </c>
      <c r="H67" s="469">
        <f t="shared" ref="H67:J67" si="58">F67*5</f>
        <v>35</v>
      </c>
      <c r="I67" s="469">
        <f t="shared" si="58"/>
        <v>119</v>
      </c>
      <c r="J67" s="469">
        <f t="shared" si="58"/>
        <v>175</v>
      </c>
      <c r="K67" s="469">
        <f t="shared" si="2"/>
        <v>595</v>
      </c>
      <c r="L67" s="469">
        <f t="shared" si="3"/>
        <v>55</v>
      </c>
      <c r="M67" s="469">
        <f t="shared" si="4"/>
        <v>187</v>
      </c>
      <c r="N67" s="466" t="s">
        <v>3167</v>
      </c>
    </row>
    <row r="68" spans="1:14" ht="22.5" customHeight="1">
      <c r="A68" s="466">
        <v>56</v>
      </c>
      <c r="B68" s="466" t="s">
        <v>3108</v>
      </c>
      <c r="C68" s="466" t="s">
        <v>3174</v>
      </c>
      <c r="D68" s="466" t="s">
        <v>3175</v>
      </c>
      <c r="E68" s="467">
        <v>3.5</v>
      </c>
      <c r="F68" s="747">
        <v>7</v>
      </c>
      <c r="G68" s="747">
        <f t="shared" si="0"/>
        <v>24.5</v>
      </c>
      <c r="H68" s="469">
        <f t="shared" ref="H68:J68" si="59">F68*5</f>
        <v>35</v>
      </c>
      <c r="I68" s="469">
        <f t="shared" si="59"/>
        <v>122.5</v>
      </c>
      <c r="J68" s="469">
        <f t="shared" si="59"/>
        <v>175</v>
      </c>
      <c r="K68" s="469">
        <f t="shared" si="2"/>
        <v>612.5</v>
      </c>
      <c r="L68" s="469">
        <f t="shared" si="3"/>
        <v>55</v>
      </c>
      <c r="M68" s="469">
        <f t="shared" si="4"/>
        <v>192.5</v>
      </c>
      <c r="N68" s="466" t="s">
        <v>3176</v>
      </c>
    </row>
    <row r="69" spans="1:14" ht="22.5" customHeight="1">
      <c r="A69" s="466">
        <v>57</v>
      </c>
      <c r="B69" s="466" t="s">
        <v>3108</v>
      </c>
      <c r="C69" s="466" t="s">
        <v>3177</v>
      </c>
      <c r="D69" s="466" t="s">
        <v>3175</v>
      </c>
      <c r="E69" s="467">
        <v>3.5</v>
      </c>
      <c r="F69" s="747">
        <v>7</v>
      </c>
      <c r="G69" s="747">
        <f t="shared" si="0"/>
        <v>24.5</v>
      </c>
      <c r="H69" s="469">
        <f t="shared" ref="H69:J69" si="60">F69*5</f>
        <v>35</v>
      </c>
      <c r="I69" s="469">
        <f t="shared" si="60"/>
        <v>122.5</v>
      </c>
      <c r="J69" s="469">
        <f t="shared" si="60"/>
        <v>175</v>
      </c>
      <c r="K69" s="469">
        <f t="shared" si="2"/>
        <v>612.5</v>
      </c>
      <c r="L69" s="469">
        <f t="shared" si="3"/>
        <v>55</v>
      </c>
      <c r="M69" s="469">
        <f t="shared" si="4"/>
        <v>192.5</v>
      </c>
      <c r="N69" s="466" t="s">
        <v>3176</v>
      </c>
    </row>
    <row r="70" spans="1:14" ht="22.5" customHeight="1">
      <c r="A70" s="466">
        <v>58</v>
      </c>
      <c r="B70" s="466" t="s">
        <v>3108</v>
      </c>
      <c r="C70" s="466" t="s">
        <v>3178</v>
      </c>
      <c r="D70" s="466" t="s">
        <v>2478</v>
      </c>
      <c r="E70" s="467">
        <v>3.5</v>
      </c>
      <c r="F70" s="747">
        <v>7</v>
      </c>
      <c r="G70" s="747">
        <f t="shared" si="0"/>
        <v>24.5</v>
      </c>
      <c r="H70" s="469">
        <f t="shared" ref="H70:J70" si="61">F70*5</f>
        <v>35</v>
      </c>
      <c r="I70" s="469">
        <f t="shared" si="61"/>
        <v>122.5</v>
      </c>
      <c r="J70" s="469">
        <f t="shared" si="61"/>
        <v>175</v>
      </c>
      <c r="K70" s="469">
        <f t="shared" si="2"/>
        <v>612.5</v>
      </c>
      <c r="L70" s="469">
        <f t="shared" si="3"/>
        <v>55</v>
      </c>
      <c r="M70" s="469">
        <f t="shared" si="4"/>
        <v>192.5</v>
      </c>
      <c r="N70" s="466" t="s">
        <v>3176</v>
      </c>
    </row>
    <row r="71" spans="1:14" ht="22.5" customHeight="1">
      <c r="A71" s="466">
        <v>59</v>
      </c>
      <c r="B71" s="466" t="s">
        <v>3108</v>
      </c>
      <c r="C71" s="466" t="s">
        <v>3179</v>
      </c>
      <c r="D71" s="466" t="s">
        <v>2478</v>
      </c>
      <c r="E71" s="467">
        <v>3.5</v>
      </c>
      <c r="F71" s="747">
        <v>7</v>
      </c>
      <c r="G71" s="747">
        <f t="shared" si="0"/>
        <v>24.5</v>
      </c>
      <c r="H71" s="469">
        <f t="shared" ref="H71:J71" si="62">F71*5</f>
        <v>35</v>
      </c>
      <c r="I71" s="469">
        <f t="shared" si="62"/>
        <v>122.5</v>
      </c>
      <c r="J71" s="469">
        <f t="shared" si="62"/>
        <v>175</v>
      </c>
      <c r="K71" s="469">
        <f t="shared" si="2"/>
        <v>612.5</v>
      </c>
      <c r="L71" s="469">
        <f t="shared" si="3"/>
        <v>55</v>
      </c>
      <c r="M71" s="469">
        <f t="shared" si="4"/>
        <v>192.5</v>
      </c>
      <c r="N71" s="466" t="s">
        <v>3176</v>
      </c>
    </row>
    <row r="72" spans="1:14" ht="22.5" customHeight="1">
      <c r="A72" s="466">
        <v>60</v>
      </c>
      <c r="B72" s="466" t="s">
        <v>3108</v>
      </c>
      <c r="C72" s="466" t="s">
        <v>3180</v>
      </c>
      <c r="D72" s="466" t="s">
        <v>2663</v>
      </c>
      <c r="E72" s="467">
        <v>5</v>
      </c>
      <c r="F72" s="747">
        <v>7</v>
      </c>
      <c r="G72" s="747">
        <f t="shared" si="0"/>
        <v>35</v>
      </c>
      <c r="H72" s="469">
        <f t="shared" ref="H72:J72" si="63">F72*5</f>
        <v>35</v>
      </c>
      <c r="I72" s="469">
        <f t="shared" si="63"/>
        <v>175</v>
      </c>
      <c r="J72" s="469">
        <f t="shared" si="63"/>
        <v>175</v>
      </c>
      <c r="K72" s="469">
        <f t="shared" si="2"/>
        <v>875</v>
      </c>
      <c r="L72" s="469">
        <f t="shared" si="3"/>
        <v>55</v>
      </c>
      <c r="M72" s="469">
        <f t="shared" si="4"/>
        <v>275</v>
      </c>
      <c r="N72" s="466" t="s">
        <v>3181</v>
      </c>
    </row>
    <row r="73" spans="1:14" ht="22.5" customHeight="1">
      <c r="A73" s="466">
        <v>61</v>
      </c>
      <c r="B73" s="466" t="s">
        <v>3108</v>
      </c>
      <c r="C73" s="466" t="s">
        <v>3182</v>
      </c>
      <c r="D73" s="466" t="s">
        <v>2735</v>
      </c>
      <c r="E73" s="467">
        <v>5</v>
      </c>
      <c r="F73" s="747">
        <v>7</v>
      </c>
      <c r="G73" s="747">
        <f t="shared" si="0"/>
        <v>35</v>
      </c>
      <c r="H73" s="469">
        <f t="shared" ref="H73:J73" si="64">F73*5</f>
        <v>35</v>
      </c>
      <c r="I73" s="469">
        <f t="shared" si="64"/>
        <v>175</v>
      </c>
      <c r="J73" s="469">
        <f t="shared" si="64"/>
        <v>175</v>
      </c>
      <c r="K73" s="469">
        <f t="shared" si="2"/>
        <v>875</v>
      </c>
      <c r="L73" s="469">
        <f t="shared" si="3"/>
        <v>55</v>
      </c>
      <c r="M73" s="469">
        <f t="shared" si="4"/>
        <v>275</v>
      </c>
      <c r="N73" s="466" t="s">
        <v>3181</v>
      </c>
    </row>
    <row r="74" spans="1:14" ht="22.5" customHeight="1">
      <c r="A74" s="466">
        <v>62</v>
      </c>
      <c r="B74" s="466" t="s">
        <v>3108</v>
      </c>
      <c r="C74" s="466" t="s">
        <v>3183</v>
      </c>
      <c r="D74" s="466" t="s">
        <v>2663</v>
      </c>
      <c r="E74" s="467">
        <v>5</v>
      </c>
      <c r="F74" s="747">
        <v>7</v>
      </c>
      <c r="G74" s="747">
        <f t="shared" si="0"/>
        <v>35</v>
      </c>
      <c r="H74" s="469">
        <f t="shared" ref="H74:J74" si="65">F74*5</f>
        <v>35</v>
      </c>
      <c r="I74" s="469">
        <f t="shared" si="65"/>
        <v>175</v>
      </c>
      <c r="J74" s="469">
        <f t="shared" si="65"/>
        <v>175</v>
      </c>
      <c r="K74" s="469">
        <f t="shared" si="2"/>
        <v>875</v>
      </c>
      <c r="L74" s="469">
        <f t="shared" si="3"/>
        <v>55</v>
      </c>
      <c r="M74" s="469">
        <f t="shared" si="4"/>
        <v>275</v>
      </c>
      <c r="N74" s="466" t="s">
        <v>3117</v>
      </c>
    </row>
    <row r="75" spans="1:14" ht="22.5" customHeight="1">
      <c r="A75" s="466">
        <v>63</v>
      </c>
      <c r="B75" s="466" t="s">
        <v>3108</v>
      </c>
      <c r="C75" s="466" t="s">
        <v>3184</v>
      </c>
      <c r="D75" s="466" t="s">
        <v>2663</v>
      </c>
      <c r="E75" s="467">
        <v>5</v>
      </c>
      <c r="F75" s="747">
        <v>7</v>
      </c>
      <c r="G75" s="747">
        <f t="shared" si="0"/>
        <v>35</v>
      </c>
      <c r="H75" s="469">
        <f t="shared" ref="H75:J75" si="66">F75*5</f>
        <v>35</v>
      </c>
      <c r="I75" s="469">
        <f t="shared" si="66"/>
        <v>175</v>
      </c>
      <c r="J75" s="469">
        <f t="shared" si="66"/>
        <v>175</v>
      </c>
      <c r="K75" s="469">
        <f t="shared" si="2"/>
        <v>875</v>
      </c>
      <c r="L75" s="469">
        <f t="shared" si="3"/>
        <v>55</v>
      </c>
      <c r="M75" s="469">
        <f t="shared" si="4"/>
        <v>275</v>
      </c>
      <c r="N75" s="466" t="s">
        <v>3117</v>
      </c>
    </row>
    <row r="76" spans="1:14" ht="22.5" customHeight="1">
      <c r="A76" s="466">
        <v>64</v>
      </c>
      <c r="B76" s="466" t="s">
        <v>3108</v>
      </c>
      <c r="C76" s="466" t="s">
        <v>3185</v>
      </c>
      <c r="D76" s="466" t="s">
        <v>2663</v>
      </c>
      <c r="E76" s="467">
        <v>5</v>
      </c>
      <c r="F76" s="747">
        <v>7</v>
      </c>
      <c r="G76" s="747">
        <f t="shared" si="0"/>
        <v>35</v>
      </c>
      <c r="H76" s="469">
        <f t="shared" ref="H76:J76" si="67">F76*5</f>
        <v>35</v>
      </c>
      <c r="I76" s="469">
        <f t="shared" si="67"/>
        <v>175</v>
      </c>
      <c r="J76" s="469">
        <f t="shared" si="67"/>
        <v>175</v>
      </c>
      <c r="K76" s="469">
        <f t="shared" si="2"/>
        <v>875</v>
      </c>
      <c r="L76" s="469">
        <f t="shared" si="3"/>
        <v>55</v>
      </c>
      <c r="M76" s="469">
        <f t="shared" si="4"/>
        <v>275</v>
      </c>
      <c r="N76" s="466" t="s">
        <v>3117</v>
      </c>
    </row>
    <row r="77" spans="1:14" ht="22.5" customHeight="1">
      <c r="A77" s="466">
        <v>65</v>
      </c>
      <c r="B77" s="466" t="s">
        <v>3108</v>
      </c>
      <c r="C77" s="466" t="s">
        <v>3186</v>
      </c>
      <c r="D77" s="466" t="s">
        <v>2722</v>
      </c>
      <c r="E77" s="467">
        <v>5</v>
      </c>
      <c r="F77" s="747">
        <v>7</v>
      </c>
      <c r="G77" s="747">
        <f t="shared" si="0"/>
        <v>35</v>
      </c>
      <c r="H77" s="469">
        <f t="shared" ref="H77:J77" si="68">F77*5</f>
        <v>35</v>
      </c>
      <c r="I77" s="469">
        <f t="shared" si="68"/>
        <v>175</v>
      </c>
      <c r="J77" s="469">
        <f t="shared" si="68"/>
        <v>175</v>
      </c>
      <c r="K77" s="469">
        <f t="shared" si="2"/>
        <v>875</v>
      </c>
      <c r="L77" s="469">
        <f t="shared" si="3"/>
        <v>55</v>
      </c>
      <c r="M77" s="469">
        <f t="shared" si="4"/>
        <v>275</v>
      </c>
      <c r="N77" s="466" t="s">
        <v>3117</v>
      </c>
    </row>
    <row r="78" spans="1:14" ht="22.5" customHeight="1">
      <c r="A78" s="466">
        <v>66</v>
      </c>
      <c r="B78" s="466" t="s">
        <v>3108</v>
      </c>
      <c r="C78" s="466" t="s">
        <v>3187</v>
      </c>
      <c r="D78" s="466" t="s">
        <v>3188</v>
      </c>
      <c r="E78" s="467">
        <v>5</v>
      </c>
      <c r="F78" s="747">
        <v>7</v>
      </c>
      <c r="G78" s="747">
        <f t="shared" si="0"/>
        <v>35</v>
      </c>
      <c r="H78" s="469">
        <f t="shared" ref="H78:J78" si="69">F78*5</f>
        <v>35</v>
      </c>
      <c r="I78" s="469">
        <f t="shared" si="69"/>
        <v>175</v>
      </c>
      <c r="J78" s="469">
        <f t="shared" si="69"/>
        <v>175</v>
      </c>
      <c r="K78" s="469">
        <f t="shared" si="2"/>
        <v>875</v>
      </c>
      <c r="L78" s="469">
        <f t="shared" si="3"/>
        <v>55</v>
      </c>
      <c r="M78" s="469">
        <f t="shared" si="4"/>
        <v>275</v>
      </c>
      <c r="N78" s="466" t="s">
        <v>3117</v>
      </c>
    </row>
    <row r="79" spans="1:14" ht="22.5" customHeight="1">
      <c r="A79" s="466">
        <v>67</v>
      </c>
      <c r="B79" s="466" t="s">
        <v>3108</v>
      </c>
      <c r="C79" s="466" t="s">
        <v>3189</v>
      </c>
      <c r="D79" s="466" t="s">
        <v>3190</v>
      </c>
      <c r="E79" s="467">
        <v>5</v>
      </c>
      <c r="F79" s="747">
        <v>7</v>
      </c>
      <c r="G79" s="747">
        <f t="shared" si="0"/>
        <v>35</v>
      </c>
      <c r="H79" s="469">
        <f t="shared" ref="H79:J79" si="70">F79*5</f>
        <v>35</v>
      </c>
      <c r="I79" s="469">
        <f t="shared" si="70"/>
        <v>175</v>
      </c>
      <c r="J79" s="469">
        <f t="shared" si="70"/>
        <v>175</v>
      </c>
      <c r="K79" s="469">
        <f t="shared" si="2"/>
        <v>875</v>
      </c>
      <c r="L79" s="469">
        <f t="shared" si="3"/>
        <v>55</v>
      </c>
      <c r="M79" s="469">
        <f t="shared" si="4"/>
        <v>275</v>
      </c>
      <c r="N79" s="466" t="s">
        <v>3117</v>
      </c>
    </row>
    <row r="80" spans="1:14" ht="22.5" customHeight="1">
      <c r="A80" s="466">
        <v>68</v>
      </c>
      <c r="B80" s="466" t="s">
        <v>3108</v>
      </c>
      <c r="C80" s="466" t="s">
        <v>3191</v>
      </c>
      <c r="D80" s="466" t="s">
        <v>3192</v>
      </c>
      <c r="E80" s="467">
        <v>3.5</v>
      </c>
      <c r="F80" s="747">
        <v>7</v>
      </c>
      <c r="G80" s="747">
        <f t="shared" si="0"/>
        <v>24.5</v>
      </c>
      <c r="H80" s="469">
        <f t="shared" ref="H80:J80" si="71">F80*5</f>
        <v>35</v>
      </c>
      <c r="I80" s="469">
        <f t="shared" si="71"/>
        <v>122.5</v>
      </c>
      <c r="J80" s="469">
        <f t="shared" si="71"/>
        <v>175</v>
      </c>
      <c r="K80" s="469">
        <f t="shared" si="2"/>
        <v>612.5</v>
      </c>
      <c r="L80" s="469">
        <f t="shared" si="3"/>
        <v>55</v>
      </c>
      <c r="M80" s="469">
        <f t="shared" si="4"/>
        <v>192.5</v>
      </c>
      <c r="N80" s="466" t="s">
        <v>3193</v>
      </c>
    </row>
    <row r="81" spans="1:14" ht="22.5" customHeight="1">
      <c r="A81" s="466">
        <v>69</v>
      </c>
      <c r="B81" s="466" t="s">
        <v>3108</v>
      </c>
      <c r="C81" s="466" t="s">
        <v>3194</v>
      </c>
      <c r="D81" s="466" t="s">
        <v>3195</v>
      </c>
      <c r="E81" s="467">
        <v>3.4</v>
      </c>
      <c r="F81" s="747">
        <v>7</v>
      </c>
      <c r="G81" s="747">
        <f t="shared" si="0"/>
        <v>23.8</v>
      </c>
      <c r="H81" s="469">
        <f t="shared" ref="H81:J81" si="72">F81*5</f>
        <v>35</v>
      </c>
      <c r="I81" s="469">
        <f t="shared" si="72"/>
        <v>119</v>
      </c>
      <c r="J81" s="469">
        <f t="shared" si="72"/>
        <v>175</v>
      </c>
      <c r="K81" s="469">
        <f t="shared" si="2"/>
        <v>595</v>
      </c>
      <c r="L81" s="469">
        <f t="shared" si="3"/>
        <v>55</v>
      </c>
      <c r="M81" s="469">
        <f t="shared" si="4"/>
        <v>187</v>
      </c>
      <c r="N81" s="466" t="s">
        <v>3193</v>
      </c>
    </row>
    <row r="82" spans="1:14" ht="22.5" customHeight="1">
      <c r="A82" s="466">
        <v>70</v>
      </c>
      <c r="B82" s="466" t="s">
        <v>3108</v>
      </c>
      <c r="C82" s="466" t="s">
        <v>3196</v>
      </c>
      <c r="D82" s="466" t="s">
        <v>2476</v>
      </c>
      <c r="E82" s="467">
        <v>5.5</v>
      </c>
      <c r="F82" s="747">
        <v>7</v>
      </c>
      <c r="G82" s="747">
        <f t="shared" si="0"/>
        <v>38.5</v>
      </c>
      <c r="H82" s="469">
        <f t="shared" ref="H82:J82" si="73">F82*5</f>
        <v>35</v>
      </c>
      <c r="I82" s="469">
        <f t="shared" si="73"/>
        <v>192.5</v>
      </c>
      <c r="J82" s="469">
        <f t="shared" si="73"/>
        <v>175</v>
      </c>
      <c r="K82" s="469">
        <f t="shared" si="2"/>
        <v>962.5</v>
      </c>
      <c r="L82" s="469">
        <f t="shared" si="3"/>
        <v>55</v>
      </c>
      <c r="M82" s="469">
        <f t="shared" si="4"/>
        <v>302.5</v>
      </c>
      <c r="N82" s="466" t="s">
        <v>3193</v>
      </c>
    </row>
    <row r="83" spans="1:14" ht="22.5" customHeight="1">
      <c r="A83" s="466">
        <v>71</v>
      </c>
      <c r="B83" s="466" t="s">
        <v>3108</v>
      </c>
      <c r="C83" s="466" t="s">
        <v>3197</v>
      </c>
      <c r="D83" s="466" t="s">
        <v>2712</v>
      </c>
      <c r="E83" s="467">
        <v>3.6</v>
      </c>
      <c r="F83" s="747">
        <v>7</v>
      </c>
      <c r="G83" s="747">
        <f t="shared" si="0"/>
        <v>25.2</v>
      </c>
      <c r="H83" s="469">
        <f t="shared" ref="H83:J83" si="74">F83*5</f>
        <v>35</v>
      </c>
      <c r="I83" s="469">
        <f t="shared" si="74"/>
        <v>126</v>
      </c>
      <c r="J83" s="469">
        <f t="shared" si="74"/>
        <v>175</v>
      </c>
      <c r="K83" s="469">
        <f t="shared" si="2"/>
        <v>630</v>
      </c>
      <c r="L83" s="469">
        <f t="shared" si="3"/>
        <v>55</v>
      </c>
      <c r="M83" s="469">
        <f t="shared" si="4"/>
        <v>198</v>
      </c>
      <c r="N83" s="466" t="s">
        <v>3193</v>
      </c>
    </row>
    <row r="84" spans="1:14" ht="22.5" customHeight="1">
      <c r="A84" s="466">
        <v>72</v>
      </c>
      <c r="B84" s="466" t="s">
        <v>3108</v>
      </c>
      <c r="C84" s="466" t="s">
        <v>3198</v>
      </c>
      <c r="D84" s="466" t="s">
        <v>3199</v>
      </c>
      <c r="E84" s="467">
        <v>5.7</v>
      </c>
      <c r="F84" s="747">
        <v>7</v>
      </c>
      <c r="G84" s="747">
        <f t="shared" si="0"/>
        <v>39.9</v>
      </c>
      <c r="H84" s="469">
        <f t="shared" ref="H84:J84" si="75">F84*5</f>
        <v>35</v>
      </c>
      <c r="I84" s="469">
        <f t="shared" si="75"/>
        <v>199.5</v>
      </c>
      <c r="J84" s="469">
        <f t="shared" si="75"/>
        <v>175</v>
      </c>
      <c r="K84" s="469">
        <f t="shared" si="2"/>
        <v>997.5</v>
      </c>
      <c r="L84" s="469">
        <f t="shared" si="3"/>
        <v>55</v>
      </c>
      <c r="M84" s="469">
        <f t="shared" si="4"/>
        <v>313.5</v>
      </c>
      <c r="N84" s="466" t="s">
        <v>3167</v>
      </c>
    </row>
    <row r="85" spans="1:14" ht="22.5" customHeight="1">
      <c r="A85" s="466">
        <v>73</v>
      </c>
      <c r="B85" s="466" t="s">
        <v>3108</v>
      </c>
      <c r="C85" s="466" t="s">
        <v>3200</v>
      </c>
      <c r="D85" s="466" t="s">
        <v>2478</v>
      </c>
      <c r="E85" s="467">
        <v>5.5</v>
      </c>
      <c r="F85" s="747">
        <v>7</v>
      </c>
      <c r="G85" s="747">
        <f t="shared" si="0"/>
        <v>38.5</v>
      </c>
      <c r="H85" s="469">
        <f t="shared" ref="H85:J85" si="76">F85*5</f>
        <v>35</v>
      </c>
      <c r="I85" s="469">
        <f t="shared" si="76"/>
        <v>192.5</v>
      </c>
      <c r="J85" s="469">
        <f t="shared" si="76"/>
        <v>175</v>
      </c>
      <c r="K85" s="469">
        <f t="shared" si="2"/>
        <v>962.5</v>
      </c>
      <c r="L85" s="469">
        <f t="shared" si="3"/>
        <v>55</v>
      </c>
      <c r="M85" s="469">
        <f t="shared" si="4"/>
        <v>302.5</v>
      </c>
      <c r="N85" s="466" t="s">
        <v>3167</v>
      </c>
    </row>
    <row r="86" spans="1:14" ht="22.5" customHeight="1">
      <c r="A86" s="466">
        <v>74</v>
      </c>
      <c r="B86" s="466" t="s">
        <v>3108</v>
      </c>
      <c r="C86" s="466" t="s">
        <v>3201</v>
      </c>
      <c r="D86" s="466" t="s">
        <v>2735</v>
      </c>
      <c r="E86" s="467">
        <v>5.6</v>
      </c>
      <c r="F86" s="747">
        <v>7</v>
      </c>
      <c r="G86" s="747">
        <f t="shared" si="0"/>
        <v>39.199999999999996</v>
      </c>
      <c r="H86" s="469">
        <f t="shared" ref="H86:J86" si="77">F86*5</f>
        <v>35</v>
      </c>
      <c r="I86" s="469">
        <f t="shared" si="77"/>
        <v>195.99999999999997</v>
      </c>
      <c r="J86" s="469">
        <f t="shared" si="77"/>
        <v>175</v>
      </c>
      <c r="K86" s="469">
        <f t="shared" si="2"/>
        <v>979.99999999999989</v>
      </c>
      <c r="L86" s="469">
        <f t="shared" si="3"/>
        <v>55</v>
      </c>
      <c r="M86" s="469">
        <f t="shared" si="4"/>
        <v>308</v>
      </c>
      <c r="N86" s="466" t="s">
        <v>3202</v>
      </c>
    </row>
    <row r="87" spans="1:14" ht="22.5" customHeight="1">
      <c r="A87" s="466">
        <v>75</v>
      </c>
      <c r="B87" s="466" t="s">
        <v>3108</v>
      </c>
      <c r="C87" s="466" t="s">
        <v>3203</v>
      </c>
      <c r="D87" s="466" t="s">
        <v>2735</v>
      </c>
      <c r="E87" s="467">
        <v>5.0999999999999996</v>
      </c>
      <c r="F87" s="747">
        <v>7</v>
      </c>
      <c r="G87" s="747">
        <f t="shared" si="0"/>
        <v>35.699999999999996</v>
      </c>
      <c r="H87" s="469">
        <f t="shared" ref="H87:J87" si="78">F87*5</f>
        <v>35</v>
      </c>
      <c r="I87" s="469">
        <f t="shared" si="78"/>
        <v>178.49999999999997</v>
      </c>
      <c r="J87" s="469">
        <f t="shared" si="78"/>
        <v>175</v>
      </c>
      <c r="K87" s="469">
        <f t="shared" si="2"/>
        <v>892.49999999999989</v>
      </c>
      <c r="L87" s="469">
        <f t="shared" si="3"/>
        <v>55</v>
      </c>
      <c r="M87" s="469">
        <f t="shared" si="4"/>
        <v>280.5</v>
      </c>
      <c r="N87" s="466" t="s">
        <v>3202</v>
      </c>
    </row>
    <row r="88" spans="1:14" ht="22.5" customHeight="1">
      <c r="A88" s="466">
        <v>76</v>
      </c>
      <c r="B88" s="466" t="s">
        <v>3108</v>
      </c>
      <c r="C88" s="466" t="s">
        <v>3204</v>
      </c>
      <c r="D88" s="466" t="s">
        <v>3199</v>
      </c>
      <c r="E88" s="467">
        <v>5.9</v>
      </c>
      <c r="F88" s="747">
        <v>7</v>
      </c>
      <c r="G88" s="747">
        <f t="shared" si="0"/>
        <v>41.300000000000004</v>
      </c>
      <c r="H88" s="469">
        <f t="shared" ref="H88:J88" si="79">F88*5</f>
        <v>35</v>
      </c>
      <c r="I88" s="469">
        <f t="shared" si="79"/>
        <v>206.50000000000003</v>
      </c>
      <c r="J88" s="469">
        <f t="shared" si="79"/>
        <v>175</v>
      </c>
      <c r="K88" s="469">
        <f t="shared" si="2"/>
        <v>1032.5</v>
      </c>
      <c r="L88" s="469">
        <f t="shared" si="3"/>
        <v>55</v>
      </c>
      <c r="M88" s="469">
        <f t="shared" si="4"/>
        <v>324.5</v>
      </c>
      <c r="N88" s="466" t="s">
        <v>3205</v>
      </c>
    </row>
    <row r="89" spans="1:14" ht="22.5" customHeight="1">
      <c r="A89" s="466">
        <v>77</v>
      </c>
      <c r="B89" s="466" t="s">
        <v>3108</v>
      </c>
      <c r="C89" s="466" t="s">
        <v>3206</v>
      </c>
      <c r="D89" s="466" t="s">
        <v>2478</v>
      </c>
      <c r="E89" s="467">
        <v>5.6</v>
      </c>
      <c r="F89" s="747">
        <v>7</v>
      </c>
      <c r="G89" s="747">
        <f t="shared" si="0"/>
        <v>39.199999999999996</v>
      </c>
      <c r="H89" s="469">
        <f t="shared" ref="H89:J89" si="80">F89*5</f>
        <v>35</v>
      </c>
      <c r="I89" s="469">
        <f t="shared" si="80"/>
        <v>195.99999999999997</v>
      </c>
      <c r="J89" s="469">
        <f t="shared" si="80"/>
        <v>175</v>
      </c>
      <c r="K89" s="469">
        <f t="shared" si="2"/>
        <v>979.99999999999989</v>
      </c>
      <c r="L89" s="469">
        <f t="shared" si="3"/>
        <v>55</v>
      </c>
      <c r="M89" s="469">
        <f t="shared" si="4"/>
        <v>308</v>
      </c>
      <c r="N89" s="748" t="s">
        <v>3205</v>
      </c>
    </row>
    <row r="90" spans="1:14" ht="22.5" customHeight="1">
      <c r="A90" s="466">
        <v>78</v>
      </c>
      <c r="B90" s="466" t="s">
        <v>3108</v>
      </c>
      <c r="C90" s="466" t="s">
        <v>3207</v>
      </c>
      <c r="D90" s="466" t="s">
        <v>2781</v>
      </c>
      <c r="E90" s="467">
        <v>6.2</v>
      </c>
      <c r="F90" s="747">
        <v>7</v>
      </c>
      <c r="G90" s="747">
        <f t="shared" si="0"/>
        <v>43.4</v>
      </c>
      <c r="H90" s="469">
        <f t="shared" ref="H90:J90" si="81">F90*5</f>
        <v>35</v>
      </c>
      <c r="I90" s="469">
        <f t="shared" si="81"/>
        <v>217</v>
      </c>
      <c r="J90" s="469">
        <f t="shared" si="81"/>
        <v>175</v>
      </c>
      <c r="K90" s="469">
        <f t="shared" si="2"/>
        <v>1085</v>
      </c>
      <c r="L90" s="469">
        <f t="shared" si="3"/>
        <v>55</v>
      </c>
      <c r="M90" s="469">
        <f t="shared" si="4"/>
        <v>341</v>
      </c>
      <c r="N90" s="748" t="s">
        <v>3205</v>
      </c>
    </row>
    <row r="91" spans="1:14" ht="22.5" customHeight="1">
      <c r="A91" s="466">
        <v>79</v>
      </c>
      <c r="B91" s="466" t="s">
        <v>3108</v>
      </c>
      <c r="C91" s="466" t="s">
        <v>3208</v>
      </c>
      <c r="D91" s="466" t="s">
        <v>2781</v>
      </c>
      <c r="E91" s="467">
        <v>3.5</v>
      </c>
      <c r="F91" s="747">
        <v>7</v>
      </c>
      <c r="G91" s="747">
        <f t="shared" si="0"/>
        <v>24.5</v>
      </c>
      <c r="H91" s="469">
        <f t="shared" ref="H91:J91" si="82">F91*5</f>
        <v>35</v>
      </c>
      <c r="I91" s="469">
        <f t="shared" si="82"/>
        <v>122.5</v>
      </c>
      <c r="J91" s="469">
        <f t="shared" si="82"/>
        <v>175</v>
      </c>
      <c r="K91" s="469">
        <f t="shared" si="2"/>
        <v>612.5</v>
      </c>
      <c r="L91" s="469">
        <f t="shared" si="3"/>
        <v>55</v>
      </c>
      <c r="M91" s="469">
        <f t="shared" si="4"/>
        <v>192.5</v>
      </c>
      <c r="N91" s="748" t="s">
        <v>3205</v>
      </c>
    </row>
    <row r="92" spans="1:14" ht="22.5" customHeight="1">
      <c r="A92" s="466">
        <v>80</v>
      </c>
      <c r="B92" s="466" t="s">
        <v>3108</v>
      </c>
      <c r="C92" s="466" t="s">
        <v>3209</v>
      </c>
      <c r="D92" s="466" t="s">
        <v>2781</v>
      </c>
      <c r="E92" s="467">
        <v>3.5</v>
      </c>
      <c r="F92" s="747">
        <v>7</v>
      </c>
      <c r="G92" s="747">
        <f t="shared" si="0"/>
        <v>24.5</v>
      </c>
      <c r="H92" s="469">
        <f t="shared" ref="H92:J92" si="83">F92*5</f>
        <v>35</v>
      </c>
      <c r="I92" s="469">
        <f t="shared" si="83"/>
        <v>122.5</v>
      </c>
      <c r="J92" s="469">
        <f t="shared" si="83"/>
        <v>175</v>
      </c>
      <c r="K92" s="469">
        <f t="shared" si="2"/>
        <v>612.5</v>
      </c>
      <c r="L92" s="469">
        <f t="shared" si="3"/>
        <v>55</v>
      </c>
      <c r="M92" s="469">
        <f t="shared" si="4"/>
        <v>192.5</v>
      </c>
      <c r="N92" s="748" t="s">
        <v>3205</v>
      </c>
    </row>
    <row r="93" spans="1:14" ht="22.5" customHeight="1">
      <c r="A93" s="466">
        <v>81</v>
      </c>
      <c r="B93" s="466" t="s">
        <v>3108</v>
      </c>
      <c r="C93" s="466" t="s">
        <v>3210</v>
      </c>
      <c r="D93" s="466" t="s">
        <v>2712</v>
      </c>
      <c r="E93" s="467">
        <v>3.15</v>
      </c>
      <c r="F93" s="747">
        <v>7</v>
      </c>
      <c r="G93" s="747">
        <f t="shared" si="0"/>
        <v>22.05</v>
      </c>
      <c r="H93" s="469">
        <f t="shared" ref="H93:J93" si="84">F93*5</f>
        <v>35</v>
      </c>
      <c r="I93" s="469">
        <f t="shared" si="84"/>
        <v>110.25</v>
      </c>
      <c r="J93" s="469">
        <f t="shared" si="84"/>
        <v>175</v>
      </c>
      <c r="K93" s="469">
        <f t="shared" si="2"/>
        <v>551.25</v>
      </c>
      <c r="L93" s="469">
        <f t="shared" si="3"/>
        <v>55</v>
      </c>
      <c r="M93" s="469">
        <f t="shared" si="4"/>
        <v>173.25</v>
      </c>
      <c r="N93" s="748" t="s">
        <v>3205</v>
      </c>
    </row>
    <row r="94" spans="1:14" ht="22.5" customHeight="1">
      <c r="A94" s="466">
        <v>82</v>
      </c>
      <c r="B94" s="466" t="s">
        <v>3108</v>
      </c>
      <c r="C94" s="466" t="s">
        <v>3211</v>
      </c>
      <c r="D94" s="466" t="s">
        <v>2735</v>
      </c>
      <c r="E94" s="467">
        <v>3.6</v>
      </c>
      <c r="F94" s="747">
        <v>7</v>
      </c>
      <c r="G94" s="747">
        <f t="shared" si="0"/>
        <v>25.2</v>
      </c>
      <c r="H94" s="469">
        <f t="shared" ref="H94:J94" si="85">F94*5</f>
        <v>35</v>
      </c>
      <c r="I94" s="469">
        <f t="shared" si="85"/>
        <v>126</v>
      </c>
      <c r="J94" s="469">
        <f t="shared" si="85"/>
        <v>175</v>
      </c>
      <c r="K94" s="469">
        <f t="shared" si="2"/>
        <v>630</v>
      </c>
      <c r="L94" s="469">
        <f t="shared" si="3"/>
        <v>55</v>
      </c>
      <c r="M94" s="469">
        <f t="shared" si="4"/>
        <v>198</v>
      </c>
      <c r="N94" s="748" t="s">
        <v>3202</v>
      </c>
    </row>
    <row r="95" spans="1:14" ht="22.5" customHeight="1">
      <c r="A95" s="466">
        <v>83</v>
      </c>
      <c r="B95" s="466" t="s">
        <v>3108</v>
      </c>
      <c r="C95" s="466" t="s">
        <v>3212</v>
      </c>
      <c r="D95" s="466" t="s">
        <v>2685</v>
      </c>
      <c r="E95" s="467">
        <v>2.5</v>
      </c>
      <c r="F95" s="747">
        <v>7</v>
      </c>
      <c r="G95" s="747">
        <f t="shared" si="0"/>
        <v>17.5</v>
      </c>
      <c r="H95" s="469">
        <f t="shared" ref="H95:J95" si="86">F95*5</f>
        <v>35</v>
      </c>
      <c r="I95" s="469">
        <f t="shared" si="86"/>
        <v>87.5</v>
      </c>
      <c r="J95" s="469">
        <f t="shared" si="86"/>
        <v>175</v>
      </c>
      <c r="K95" s="469">
        <f t="shared" si="2"/>
        <v>437.5</v>
      </c>
      <c r="L95" s="469">
        <f t="shared" si="3"/>
        <v>55</v>
      </c>
      <c r="M95" s="469">
        <f t="shared" si="4"/>
        <v>137.5</v>
      </c>
      <c r="N95" s="748" t="s">
        <v>3202</v>
      </c>
    </row>
    <row r="96" spans="1:14" ht="22.5" customHeight="1">
      <c r="A96" s="466">
        <v>84</v>
      </c>
      <c r="B96" s="466" t="s">
        <v>3108</v>
      </c>
      <c r="C96" s="466" t="s">
        <v>3213</v>
      </c>
      <c r="D96" s="466" t="s">
        <v>2685</v>
      </c>
      <c r="E96" s="467">
        <v>4.5</v>
      </c>
      <c r="F96" s="747">
        <v>7</v>
      </c>
      <c r="G96" s="747">
        <f t="shared" si="0"/>
        <v>31.5</v>
      </c>
      <c r="H96" s="469">
        <f t="shared" ref="H96:J96" si="87">F96*5</f>
        <v>35</v>
      </c>
      <c r="I96" s="469">
        <f t="shared" si="87"/>
        <v>157.5</v>
      </c>
      <c r="J96" s="469">
        <f t="shared" si="87"/>
        <v>175</v>
      </c>
      <c r="K96" s="469">
        <f t="shared" si="2"/>
        <v>787.5</v>
      </c>
      <c r="L96" s="469">
        <f t="shared" si="3"/>
        <v>55</v>
      </c>
      <c r="M96" s="469">
        <f t="shared" si="4"/>
        <v>247.5</v>
      </c>
      <c r="N96" s="748" t="s">
        <v>3202</v>
      </c>
    </row>
    <row r="97" spans="1:14" ht="22.5" customHeight="1">
      <c r="A97" s="466">
        <v>85</v>
      </c>
      <c r="B97" s="466" t="s">
        <v>3108</v>
      </c>
      <c r="C97" s="466" t="s">
        <v>3214</v>
      </c>
      <c r="D97" s="466" t="s">
        <v>2685</v>
      </c>
      <c r="E97" s="467">
        <v>4.5</v>
      </c>
      <c r="F97" s="747">
        <v>7</v>
      </c>
      <c r="G97" s="747">
        <f t="shared" si="0"/>
        <v>31.5</v>
      </c>
      <c r="H97" s="469">
        <f t="shared" ref="H97:J97" si="88">F97*5</f>
        <v>35</v>
      </c>
      <c r="I97" s="469">
        <f t="shared" si="88"/>
        <v>157.5</v>
      </c>
      <c r="J97" s="469">
        <f t="shared" si="88"/>
        <v>175</v>
      </c>
      <c r="K97" s="469">
        <f t="shared" si="2"/>
        <v>787.5</v>
      </c>
      <c r="L97" s="469">
        <f t="shared" si="3"/>
        <v>55</v>
      </c>
      <c r="M97" s="469">
        <f t="shared" si="4"/>
        <v>247.5</v>
      </c>
      <c r="N97" s="748" t="s">
        <v>3202</v>
      </c>
    </row>
    <row r="98" spans="1:14" ht="22.5" customHeight="1">
      <c r="A98" s="466">
        <v>86</v>
      </c>
      <c r="B98" s="466" t="s">
        <v>3108</v>
      </c>
      <c r="C98" s="466" t="s">
        <v>3215</v>
      </c>
      <c r="D98" s="466" t="s">
        <v>2672</v>
      </c>
      <c r="E98" s="467">
        <v>3.4</v>
      </c>
      <c r="F98" s="747">
        <v>7</v>
      </c>
      <c r="G98" s="747">
        <f t="shared" si="0"/>
        <v>23.8</v>
      </c>
      <c r="H98" s="469">
        <f t="shared" ref="H98:J98" si="89">F98*5</f>
        <v>35</v>
      </c>
      <c r="I98" s="469">
        <f t="shared" si="89"/>
        <v>119</v>
      </c>
      <c r="J98" s="469">
        <f t="shared" si="89"/>
        <v>175</v>
      </c>
      <c r="K98" s="469">
        <f t="shared" si="2"/>
        <v>595</v>
      </c>
      <c r="L98" s="469">
        <f t="shared" si="3"/>
        <v>55</v>
      </c>
      <c r="M98" s="469">
        <f t="shared" si="4"/>
        <v>187</v>
      </c>
      <c r="N98" s="748" t="s">
        <v>3202</v>
      </c>
    </row>
    <row r="99" spans="1:14" ht="22.5" customHeight="1">
      <c r="A99" s="466">
        <v>87</v>
      </c>
      <c r="B99" s="466" t="s">
        <v>3108</v>
      </c>
      <c r="C99" s="466" t="s">
        <v>3216</v>
      </c>
      <c r="D99" s="466" t="s">
        <v>2478</v>
      </c>
      <c r="E99" s="467">
        <v>3.6</v>
      </c>
      <c r="F99" s="747">
        <v>7</v>
      </c>
      <c r="G99" s="747">
        <f t="shared" si="0"/>
        <v>25.2</v>
      </c>
      <c r="H99" s="469">
        <f t="shared" ref="H99:J99" si="90">F99*5</f>
        <v>35</v>
      </c>
      <c r="I99" s="469">
        <f t="shared" si="90"/>
        <v>126</v>
      </c>
      <c r="J99" s="469">
        <f t="shared" si="90"/>
        <v>175</v>
      </c>
      <c r="K99" s="469">
        <f t="shared" si="2"/>
        <v>630</v>
      </c>
      <c r="L99" s="469">
        <f t="shared" si="3"/>
        <v>55</v>
      </c>
      <c r="M99" s="469">
        <f t="shared" si="4"/>
        <v>198</v>
      </c>
      <c r="N99" s="748" t="s">
        <v>3202</v>
      </c>
    </row>
    <row r="100" spans="1:14" ht="22.5" customHeight="1">
      <c r="A100" s="466">
        <v>88</v>
      </c>
      <c r="B100" s="466" t="s">
        <v>3108</v>
      </c>
      <c r="C100" s="466" t="s">
        <v>3217</v>
      </c>
      <c r="D100" s="466" t="s">
        <v>2478</v>
      </c>
      <c r="E100" s="467">
        <v>3.6</v>
      </c>
      <c r="F100" s="747">
        <v>7</v>
      </c>
      <c r="G100" s="747">
        <f t="shared" si="0"/>
        <v>25.2</v>
      </c>
      <c r="H100" s="469">
        <f t="shared" ref="H100:J100" si="91">F100*5</f>
        <v>35</v>
      </c>
      <c r="I100" s="469">
        <f t="shared" si="91"/>
        <v>126</v>
      </c>
      <c r="J100" s="469">
        <f t="shared" si="91"/>
        <v>175</v>
      </c>
      <c r="K100" s="469">
        <f t="shared" si="2"/>
        <v>630</v>
      </c>
      <c r="L100" s="469">
        <f t="shared" si="3"/>
        <v>55</v>
      </c>
      <c r="M100" s="469">
        <f t="shared" si="4"/>
        <v>198</v>
      </c>
      <c r="N100" s="748" t="s">
        <v>3202</v>
      </c>
    </row>
    <row r="101" spans="1:14" ht="22.5" customHeight="1">
      <c r="A101" s="466">
        <v>89</v>
      </c>
      <c r="B101" s="466" t="s">
        <v>3108</v>
      </c>
      <c r="C101" s="466" t="s">
        <v>3218</v>
      </c>
      <c r="D101" s="466" t="s">
        <v>2735</v>
      </c>
      <c r="E101" s="467">
        <v>3.5</v>
      </c>
      <c r="F101" s="747">
        <v>7</v>
      </c>
      <c r="G101" s="747">
        <f t="shared" si="0"/>
        <v>24.5</v>
      </c>
      <c r="H101" s="469">
        <f t="shared" ref="H101:J101" si="92">F101*5</f>
        <v>35</v>
      </c>
      <c r="I101" s="469">
        <f t="shared" si="92"/>
        <v>122.5</v>
      </c>
      <c r="J101" s="469">
        <f t="shared" si="92"/>
        <v>175</v>
      </c>
      <c r="K101" s="469">
        <f t="shared" si="2"/>
        <v>612.5</v>
      </c>
      <c r="L101" s="469">
        <f t="shared" si="3"/>
        <v>55</v>
      </c>
      <c r="M101" s="469">
        <f t="shared" si="4"/>
        <v>192.5</v>
      </c>
      <c r="N101" s="748" t="s">
        <v>3202</v>
      </c>
    </row>
    <row r="102" spans="1:14" ht="22.5" customHeight="1">
      <c r="A102" s="466">
        <v>90</v>
      </c>
      <c r="B102" s="466" t="s">
        <v>3108</v>
      </c>
      <c r="C102" s="466" t="s">
        <v>3219</v>
      </c>
      <c r="D102" s="466" t="s">
        <v>2672</v>
      </c>
      <c r="E102" s="467">
        <v>3.65</v>
      </c>
      <c r="F102" s="747">
        <v>7</v>
      </c>
      <c r="G102" s="747">
        <f t="shared" si="0"/>
        <v>25.55</v>
      </c>
      <c r="H102" s="469">
        <f t="shared" ref="H102:J102" si="93">F102*5</f>
        <v>35</v>
      </c>
      <c r="I102" s="469">
        <f t="shared" si="93"/>
        <v>127.75</v>
      </c>
      <c r="J102" s="469">
        <f t="shared" si="93"/>
        <v>175</v>
      </c>
      <c r="K102" s="469">
        <f t="shared" si="2"/>
        <v>638.75</v>
      </c>
      <c r="L102" s="469">
        <f t="shared" si="3"/>
        <v>55</v>
      </c>
      <c r="M102" s="469">
        <f t="shared" si="4"/>
        <v>200.75</v>
      </c>
      <c r="N102" s="748" t="s">
        <v>3202</v>
      </c>
    </row>
    <row r="103" spans="1:14" ht="22.5" customHeight="1">
      <c r="A103" s="466">
        <v>91</v>
      </c>
      <c r="B103" s="466" t="s">
        <v>3108</v>
      </c>
      <c r="C103" s="466" t="s">
        <v>3220</v>
      </c>
      <c r="D103" s="466" t="s">
        <v>2476</v>
      </c>
      <c r="E103" s="467">
        <v>3.3</v>
      </c>
      <c r="F103" s="747">
        <v>7</v>
      </c>
      <c r="G103" s="747">
        <f t="shared" si="0"/>
        <v>23.099999999999998</v>
      </c>
      <c r="H103" s="469">
        <f t="shared" ref="H103:J103" si="94">F103*5</f>
        <v>35</v>
      </c>
      <c r="I103" s="469">
        <f t="shared" si="94"/>
        <v>115.49999999999999</v>
      </c>
      <c r="J103" s="469">
        <f t="shared" si="94"/>
        <v>175</v>
      </c>
      <c r="K103" s="469">
        <f t="shared" si="2"/>
        <v>577.5</v>
      </c>
      <c r="L103" s="469">
        <f t="shared" si="3"/>
        <v>55</v>
      </c>
      <c r="M103" s="469">
        <f t="shared" si="4"/>
        <v>181.5</v>
      </c>
      <c r="N103" s="748" t="s">
        <v>3202</v>
      </c>
    </row>
    <row r="104" spans="1:14" ht="22.5" customHeight="1">
      <c r="A104" s="466">
        <v>92</v>
      </c>
      <c r="B104" s="466" t="s">
        <v>3108</v>
      </c>
      <c r="C104" s="466" t="s">
        <v>3221</v>
      </c>
      <c r="D104" s="466" t="s">
        <v>2476</v>
      </c>
      <c r="E104" s="467">
        <v>3.1</v>
      </c>
      <c r="F104" s="747">
        <v>7</v>
      </c>
      <c r="G104" s="747">
        <f t="shared" si="0"/>
        <v>21.7</v>
      </c>
      <c r="H104" s="469">
        <f t="shared" ref="H104:J104" si="95">F104*5</f>
        <v>35</v>
      </c>
      <c r="I104" s="469">
        <f t="shared" si="95"/>
        <v>108.5</v>
      </c>
      <c r="J104" s="469">
        <f t="shared" si="95"/>
        <v>175</v>
      </c>
      <c r="K104" s="469">
        <f t="shared" si="2"/>
        <v>542.5</v>
      </c>
      <c r="L104" s="469">
        <f t="shared" si="3"/>
        <v>55</v>
      </c>
      <c r="M104" s="469">
        <f t="shared" si="4"/>
        <v>170.5</v>
      </c>
      <c r="N104" s="748" t="s">
        <v>3202</v>
      </c>
    </row>
    <row r="105" spans="1:14" ht="22.5" customHeight="1">
      <c r="A105" s="466">
        <v>93</v>
      </c>
      <c r="B105" s="466" t="s">
        <v>3108</v>
      </c>
      <c r="C105" s="466" t="s">
        <v>3222</v>
      </c>
      <c r="D105" s="466" t="s">
        <v>2476</v>
      </c>
      <c r="E105" s="467">
        <v>3.1</v>
      </c>
      <c r="F105" s="747">
        <v>7</v>
      </c>
      <c r="G105" s="747">
        <f t="shared" si="0"/>
        <v>21.7</v>
      </c>
      <c r="H105" s="469">
        <f t="shared" ref="H105:J105" si="96">F105*5</f>
        <v>35</v>
      </c>
      <c r="I105" s="469">
        <f t="shared" si="96"/>
        <v>108.5</v>
      </c>
      <c r="J105" s="469">
        <f t="shared" si="96"/>
        <v>175</v>
      </c>
      <c r="K105" s="469">
        <f t="shared" si="2"/>
        <v>542.5</v>
      </c>
      <c r="L105" s="469">
        <f t="shared" si="3"/>
        <v>55</v>
      </c>
      <c r="M105" s="469">
        <f t="shared" si="4"/>
        <v>170.5</v>
      </c>
      <c r="N105" s="748" t="s">
        <v>3202</v>
      </c>
    </row>
    <row r="106" spans="1:14" ht="22.5" customHeight="1">
      <c r="A106" s="466">
        <v>94</v>
      </c>
      <c r="B106" s="466" t="s">
        <v>3108</v>
      </c>
      <c r="C106" s="466" t="s">
        <v>3223</v>
      </c>
      <c r="D106" s="466" t="s">
        <v>2781</v>
      </c>
      <c r="E106" s="467">
        <v>3.4</v>
      </c>
      <c r="F106" s="747">
        <v>7</v>
      </c>
      <c r="G106" s="747">
        <f t="shared" si="0"/>
        <v>23.8</v>
      </c>
      <c r="H106" s="469">
        <f t="shared" ref="H106:J106" si="97">F106*5</f>
        <v>35</v>
      </c>
      <c r="I106" s="469">
        <f t="shared" si="97"/>
        <v>119</v>
      </c>
      <c r="J106" s="469">
        <f t="shared" si="97"/>
        <v>175</v>
      </c>
      <c r="K106" s="469">
        <f t="shared" si="2"/>
        <v>595</v>
      </c>
      <c r="L106" s="469">
        <f t="shared" si="3"/>
        <v>55</v>
      </c>
      <c r="M106" s="469">
        <f t="shared" si="4"/>
        <v>187</v>
      </c>
      <c r="N106" s="748" t="s">
        <v>3202</v>
      </c>
    </row>
    <row r="107" spans="1:14" ht="22.5" customHeight="1">
      <c r="A107" s="466">
        <v>95</v>
      </c>
      <c r="B107" s="466" t="s">
        <v>3108</v>
      </c>
      <c r="C107" s="466" t="s">
        <v>3224</v>
      </c>
      <c r="D107" s="466" t="s">
        <v>2781</v>
      </c>
      <c r="E107" s="467">
        <v>3.4</v>
      </c>
      <c r="F107" s="747">
        <v>7</v>
      </c>
      <c r="G107" s="747">
        <f t="shared" si="0"/>
        <v>23.8</v>
      </c>
      <c r="H107" s="469">
        <f t="shared" ref="H107:J107" si="98">F107*5</f>
        <v>35</v>
      </c>
      <c r="I107" s="469">
        <f t="shared" si="98"/>
        <v>119</v>
      </c>
      <c r="J107" s="469">
        <f t="shared" si="98"/>
        <v>175</v>
      </c>
      <c r="K107" s="469">
        <f t="shared" si="2"/>
        <v>595</v>
      </c>
      <c r="L107" s="469">
        <f t="shared" si="3"/>
        <v>55</v>
      </c>
      <c r="M107" s="469">
        <f t="shared" si="4"/>
        <v>187</v>
      </c>
      <c r="N107" s="748" t="s">
        <v>3202</v>
      </c>
    </row>
    <row r="108" spans="1:14" ht="22.5" customHeight="1">
      <c r="A108" s="466">
        <v>96</v>
      </c>
      <c r="B108" s="466" t="s">
        <v>3108</v>
      </c>
      <c r="C108" s="466" t="s">
        <v>3225</v>
      </c>
      <c r="D108" s="466" t="s">
        <v>2685</v>
      </c>
      <c r="E108" s="467">
        <v>3.5</v>
      </c>
      <c r="F108" s="747">
        <v>7</v>
      </c>
      <c r="G108" s="747">
        <f t="shared" si="0"/>
        <v>24.5</v>
      </c>
      <c r="H108" s="469">
        <f t="shared" ref="H108:J108" si="99">F108*5</f>
        <v>35</v>
      </c>
      <c r="I108" s="469">
        <f t="shared" si="99"/>
        <v>122.5</v>
      </c>
      <c r="J108" s="469">
        <f t="shared" si="99"/>
        <v>175</v>
      </c>
      <c r="K108" s="469">
        <f t="shared" si="2"/>
        <v>612.5</v>
      </c>
      <c r="L108" s="469">
        <f t="shared" si="3"/>
        <v>55</v>
      </c>
      <c r="M108" s="469">
        <f t="shared" si="4"/>
        <v>192.5</v>
      </c>
      <c r="N108" s="748" t="s">
        <v>3202</v>
      </c>
    </row>
    <row r="109" spans="1:14" ht="22.5" customHeight="1">
      <c r="A109" s="466">
        <v>97</v>
      </c>
      <c r="B109" s="466" t="s">
        <v>3108</v>
      </c>
      <c r="C109" s="466" t="s">
        <v>3226</v>
      </c>
      <c r="D109" s="466" t="s">
        <v>2685</v>
      </c>
      <c r="E109" s="467">
        <v>3.5</v>
      </c>
      <c r="F109" s="747">
        <v>7</v>
      </c>
      <c r="G109" s="747">
        <f t="shared" si="0"/>
        <v>24.5</v>
      </c>
      <c r="H109" s="469">
        <f t="shared" ref="H109:J109" si="100">F109*5</f>
        <v>35</v>
      </c>
      <c r="I109" s="469">
        <f t="shared" si="100"/>
        <v>122.5</v>
      </c>
      <c r="J109" s="469">
        <f t="shared" si="100"/>
        <v>175</v>
      </c>
      <c r="K109" s="469">
        <f t="shared" si="2"/>
        <v>612.5</v>
      </c>
      <c r="L109" s="469">
        <f t="shared" si="3"/>
        <v>55</v>
      </c>
      <c r="M109" s="469">
        <f t="shared" si="4"/>
        <v>192.5</v>
      </c>
      <c r="N109" s="748" t="s">
        <v>3202</v>
      </c>
    </row>
    <row r="110" spans="1:14" ht="22.5" customHeight="1">
      <c r="A110" s="466">
        <v>98</v>
      </c>
      <c r="B110" s="466" t="s">
        <v>3108</v>
      </c>
      <c r="C110" s="466" t="s">
        <v>3227</v>
      </c>
      <c r="D110" s="466" t="s">
        <v>3199</v>
      </c>
      <c r="E110" s="467">
        <v>3.2</v>
      </c>
      <c r="F110" s="747">
        <v>7</v>
      </c>
      <c r="G110" s="747">
        <f t="shared" si="0"/>
        <v>22.400000000000002</v>
      </c>
      <c r="H110" s="469">
        <f t="shared" ref="H110:J110" si="101">F110*5</f>
        <v>35</v>
      </c>
      <c r="I110" s="469">
        <f t="shared" si="101"/>
        <v>112.00000000000001</v>
      </c>
      <c r="J110" s="469">
        <f t="shared" si="101"/>
        <v>175</v>
      </c>
      <c r="K110" s="469">
        <f t="shared" si="2"/>
        <v>560</v>
      </c>
      <c r="L110" s="469">
        <f t="shared" si="3"/>
        <v>55</v>
      </c>
      <c r="M110" s="469">
        <f t="shared" si="4"/>
        <v>176</v>
      </c>
      <c r="N110" s="748" t="s">
        <v>3202</v>
      </c>
    </row>
    <row r="111" spans="1:14" ht="22.5" customHeight="1">
      <c r="A111" s="466">
        <v>99</v>
      </c>
      <c r="B111" s="466" t="s">
        <v>3108</v>
      </c>
      <c r="C111" s="466" t="s">
        <v>3228</v>
      </c>
      <c r="D111" s="466" t="s">
        <v>2663</v>
      </c>
      <c r="E111" s="467">
        <v>3.1</v>
      </c>
      <c r="F111" s="747">
        <v>7</v>
      </c>
      <c r="G111" s="747">
        <f t="shared" si="0"/>
        <v>21.7</v>
      </c>
      <c r="H111" s="469">
        <f t="shared" ref="H111:J111" si="102">F111*5</f>
        <v>35</v>
      </c>
      <c r="I111" s="469">
        <f t="shared" si="102"/>
        <v>108.5</v>
      </c>
      <c r="J111" s="469">
        <f t="shared" si="102"/>
        <v>175</v>
      </c>
      <c r="K111" s="469">
        <f t="shared" si="2"/>
        <v>542.5</v>
      </c>
      <c r="L111" s="469">
        <f t="shared" si="3"/>
        <v>55</v>
      </c>
      <c r="M111" s="469">
        <f t="shared" si="4"/>
        <v>170.5</v>
      </c>
      <c r="N111" s="748" t="s">
        <v>3202</v>
      </c>
    </row>
    <row r="112" spans="1:14" ht="22.5" customHeight="1">
      <c r="A112" s="466">
        <v>100</v>
      </c>
      <c r="B112" s="466" t="s">
        <v>3108</v>
      </c>
      <c r="C112" s="466" t="s">
        <v>3229</v>
      </c>
      <c r="D112" s="466" t="s">
        <v>2663</v>
      </c>
      <c r="E112" s="467">
        <v>3.1</v>
      </c>
      <c r="F112" s="747">
        <v>7</v>
      </c>
      <c r="G112" s="747">
        <f t="shared" si="0"/>
        <v>21.7</v>
      </c>
      <c r="H112" s="469">
        <f t="shared" ref="H112:J112" si="103">F112*5</f>
        <v>35</v>
      </c>
      <c r="I112" s="469">
        <f t="shared" si="103"/>
        <v>108.5</v>
      </c>
      <c r="J112" s="469">
        <f t="shared" si="103"/>
        <v>175</v>
      </c>
      <c r="K112" s="469">
        <f t="shared" si="2"/>
        <v>542.5</v>
      </c>
      <c r="L112" s="469">
        <f t="shared" si="3"/>
        <v>55</v>
      </c>
      <c r="M112" s="469">
        <f t="shared" si="4"/>
        <v>170.5</v>
      </c>
      <c r="N112" s="748" t="s">
        <v>3202</v>
      </c>
    </row>
    <row r="113" spans="1:14" ht="22.5" customHeight="1">
      <c r="A113" s="466">
        <v>101</v>
      </c>
      <c r="B113" s="466" t="s">
        <v>3108</v>
      </c>
      <c r="C113" s="466" t="s">
        <v>3230</v>
      </c>
      <c r="D113" s="466" t="s">
        <v>2781</v>
      </c>
      <c r="E113" s="467">
        <v>3.5</v>
      </c>
      <c r="F113" s="747">
        <v>7</v>
      </c>
      <c r="G113" s="747">
        <f t="shared" si="0"/>
        <v>24.5</v>
      </c>
      <c r="H113" s="469">
        <f t="shared" ref="H113:J113" si="104">F113*5</f>
        <v>35</v>
      </c>
      <c r="I113" s="469">
        <f t="shared" si="104"/>
        <v>122.5</v>
      </c>
      <c r="J113" s="469">
        <f t="shared" si="104"/>
        <v>175</v>
      </c>
      <c r="K113" s="469">
        <f t="shared" si="2"/>
        <v>612.5</v>
      </c>
      <c r="L113" s="469">
        <f t="shared" si="3"/>
        <v>55</v>
      </c>
      <c r="M113" s="469">
        <f t="shared" si="4"/>
        <v>192.5</v>
      </c>
      <c r="N113" s="748" t="s">
        <v>3202</v>
      </c>
    </row>
    <row r="114" spans="1:14" ht="22.5" customHeight="1">
      <c r="A114" s="466">
        <v>102</v>
      </c>
      <c r="B114" s="466" t="s">
        <v>3108</v>
      </c>
      <c r="C114" s="466" t="s">
        <v>3231</v>
      </c>
      <c r="D114" s="466" t="s">
        <v>2781</v>
      </c>
      <c r="E114" s="467">
        <v>3.5</v>
      </c>
      <c r="F114" s="747">
        <v>7</v>
      </c>
      <c r="G114" s="747">
        <f t="shared" si="0"/>
        <v>24.5</v>
      </c>
      <c r="H114" s="469">
        <f t="shared" ref="H114:J114" si="105">F114*5</f>
        <v>35</v>
      </c>
      <c r="I114" s="469">
        <f t="shared" si="105"/>
        <v>122.5</v>
      </c>
      <c r="J114" s="469">
        <f t="shared" si="105"/>
        <v>175</v>
      </c>
      <c r="K114" s="469">
        <f t="shared" si="2"/>
        <v>612.5</v>
      </c>
      <c r="L114" s="469">
        <f t="shared" si="3"/>
        <v>55</v>
      </c>
      <c r="M114" s="469">
        <f t="shared" si="4"/>
        <v>192.5</v>
      </c>
      <c r="N114" s="748" t="s">
        <v>3202</v>
      </c>
    </row>
    <row r="115" spans="1:14" ht="22.5" customHeight="1">
      <c r="A115" s="466">
        <v>103</v>
      </c>
      <c r="B115" s="466" t="s">
        <v>3108</v>
      </c>
      <c r="C115" s="466" t="s">
        <v>3232</v>
      </c>
      <c r="D115" s="466" t="s">
        <v>2707</v>
      </c>
      <c r="E115" s="467">
        <v>3.4</v>
      </c>
      <c r="F115" s="747">
        <v>7</v>
      </c>
      <c r="G115" s="747">
        <f t="shared" si="0"/>
        <v>23.8</v>
      </c>
      <c r="H115" s="469">
        <f t="shared" ref="H115:J115" si="106">F115*5</f>
        <v>35</v>
      </c>
      <c r="I115" s="469">
        <f t="shared" si="106"/>
        <v>119</v>
      </c>
      <c r="J115" s="469">
        <f t="shared" si="106"/>
        <v>175</v>
      </c>
      <c r="K115" s="469">
        <f t="shared" si="2"/>
        <v>595</v>
      </c>
      <c r="L115" s="469">
        <f t="shared" si="3"/>
        <v>55</v>
      </c>
      <c r="M115" s="469">
        <f t="shared" si="4"/>
        <v>187</v>
      </c>
      <c r="N115" s="466" t="s">
        <v>3202</v>
      </c>
    </row>
    <row r="116" spans="1:14" ht="22.5" customHeight="1">
      <c r="A116" s="466">
        <v>104</v>
      </c>
      <c r="B116" s="466" t="s">
        <v>3108</v>
      </c>
      <c r="C116" s="466" t="s">
        <v>3233</v>
      </c>
      <c r="D116" s="466" t="s">
        <v>2707</v>
      </c>
      <c r="E116" s="467">
        <v>3.9</v>
      </c>
      <c r="F116" s="747">
        <v>7</v>
      </c>
      <c r="G116" s="747">
        <f t="shared" si="0"/>
        <v>27.3</v>
      </c>
      <c r="H116" s="469">
        <f t="shared" ref="H116:J116" si="107">F116*5</f>
        <v>35</v>
      </c>
      <c r="I116" s="469">
        <f t="shared" si="107"/>
        <v>136.5</v>
      </c>
      <c r="J116" s="469">
        <f t="shared" si="107"/>
        <v>175</v>
      </c>
      <c r="K116" s="469">
        <f t="shared" si="2"/>
        <v>682.5</v>
      </c>
      <c r="L116" s="469">
        <f t="shared" si="3"/>
        <v>55</v>
      </c>
      <c r="M116" s="469">
        <f t="shared" si="4"/>
        <v>214.5</v>
      </c>
      <c r="N116" s="466" t="s">
        <v>3234</v>
      </c>
    </row>
    <row r="117" spans="1:14" ht="22.5" customHeight="1">
      <c r="A117" s="466">
        <v>105</v>
      </c>
      <c r="B117" s="466" t="s">
        <v>3108</v>
      </c>
      <c r="C117" s="466" t="s">
        <v>3235</v>
      </c>
      <c r="D117" s="466" t="s">
        <v>2497</v>
      </c>
      <c r="E117" s="467">
        <v>3.5</v>
      </c>
      <c r="F117" s="747">
        <v>7</v>
      </c>
      <c r="G117" s="747">
        <f t="shared" si="0"/>
        <v>24.5</v>
      </c>
      <c r="H117" s="469">
        <f t="shared" ref="H117:J117" si="108">F117*5</f>
        <v>35</v>
      </c>
      <c r="I117" s="469">
        <f t="shared" si="108"/>
        <v>122.5</v>
      </c>
      <c r="J117" s="469">
        <f t="shared" si="108"/>
        <v>175</v>
      </c>
      <c r="K117" s="469">
        <f t="shared" si="2"/>
        <v>612.5</v>
      </c>
      <c r="L117" s="469">
        <f t="shared" si="3"/>
        <v>55</v>
      </c>
      <c r="M117" s="469">
        <f t="shared" si="4"/>
        <v>192.5</v>
      </c>
      <c r="N117" s="466" t="s">
        <v>3234</v>
      </c>
    </row>
    <row r="118" spans="1:14" ht="22.5" customHeight="1">
      <c r="A118" s="466">
        <v>106</v>
      </c>
      <c r="B118" s="466" t="s">
        <v>3108</v>
      </c>
      <c r="C118" s="466" t="s">
        <v>3236</v>
      </c>
      <c r="D118" s="466" t="s">
        <v>2497</v>
      </c>
      <c r="E118" s="467">
        <v>3.5</v>
      </c>
      <c r="F118" s="747">
        <v>7</v>
      </c>
      <c r="G118" s="747">
        <f t="shared" si="0"/>
        <v>24.5</v>
      </c>
      <c r="H118" s="469">
        <f t="shared" ref="H118:J118" si="109">F118*5</f>
        <v>35</v>
      </c>
      <c r="I118" s="469">
        <f t="shared" si="109"/>
        <v>122.5</v>
      </c>
      <c r="J118" s="469">
        <f t="shared" si="109"/>
        <v>175</v>
      </c>
      <c r="K118" s="469">
        <f t="shared" si="2"/>
        <v>612.5</v>
      </c>
      <c r="L118" s="469">
        <f t="shared" si="3"/>
        <v>55</v>
      </c>
      <c r="M118" s="469">
        <f t="shared" si="4"/>
        <v>192.5</v>
      </c>
      <c r="N118" s="466" t="s">
        <v>3234</v>
      </c>
    </row>
    <row r="119" spans="1:14" ht="22.5" customHeight="1">
      <c r="A119" s="466">
        <v>107</v>
      </c>
      <c r="B119" s="466" t="s">
        <v>3108</v>
      </c>
      <c r="C119" s="466" t="s">
        <v>3237</v>
      </c>
      <c r="D119" s="466" t="s">
        <v>2497</v>
      </c>
      <c r="E119" s="467">
        <v>5.8</v>
      </c>
      <c r="F119" s="747">
        <v>7</v>
      </c>
      <c r="G119" s="747">
        <f t="shared" si="0"/>
        <v>40.6</v>
      </c>
      <c r="H119" s="469">
        <f t="shared" ref="H119:J119" si="110">F119*5</f>
        <v>35</v>
      </c>
      <c r="I119" s="469">
        <f t="shared" si="110"/>
        <v>203</v>
      </c>
      <c r="J119" s="469">
        <f t="shared" si="110"/>
        <v>175</v>
      </c>
      <c r="K119" s="469">
        <f t="shared" si="2"/>
        <v>1015</v>
      </c>
      <c r="L119" s="469">
        <f t="shared" si="3"/>
        <v>55</v>
      </c>
      <c r="M119" s="469">
        <f t="shared" si="4"/>
        <v>319</v>
      </c>
      <c r="N119" s="466" t="s">
        <v>3234</v>
      </c>
    </row>
    <row r="120" spans="1:14" ht="22.5" customHeight="1">
      <c r="A120" s="466">
        <v>108</v>
      </c>
      <c r="B120" s="466" t="s">
        <v>3108</v>
      </c>
      <c r="C120" s="466" t="s">
        <v>3238</v>
      </c>
      <c r="D120" s="466" t="s">
        <v>2663</v>
      </c>
      <c r="E120" s="467">
        <v>6</v>
      </c>
      <c r="F120" s="747">
        <v>7</v>
      </c>
      <c r="G120" s="747">
        <f t="shared" si="0"/>
        <v>42</v>
      </c>
      <c r="H120" s="469">
        <f t="shared" ref="H120:J120" si="111">F120*5</f>
        <v>35</v>
      </c>
      <c r="I120" s="469">
        <f t="shared" si="111"/>
        <v>210</v>
      </c>
      <c r="J120" s="469">
        <f t="shared" si="111"/>
        <v>175</v>
      </c>
      <c r="K120" s="469">
        <f t="shared" si="2"/>
        <v>1050</v>
      </c>
      <c r="L120" s="469">
        <f t="shared" si="3"/>
        <v>55</v>
      </c>
      <c r="M120" s="469">
        <f t="shared" si="4"/>
        <v>330</v>
      </c>
      <c r="N120" s="466" t="s">
        <v>3234</v>
      </c>
    </row>
    <row r="121" spans="1:14" ht="22.5" customHeight="1">
      <c r="A121" s="466">
        <v>109</v>
      </c>
      <c r="B121" s="466" t="s">
        <v>3108</v>
      </c>
      <c r="C121" s="466" t="s">
        <v>3239</v>
      </c>
      <c r="D121" s="466" t="s">
        <v>2478</v>
      </c>
      <c r="E121" s="467">
        <v>3.4</v>
      </c>
      <c r="F121" s="747">
        <v>7</v>
      </c>
      <c r="G121" s="747">
        <f t="shared" si="0"/>
        <v>23.8</v>
      </c>
      <c r="H121" s="469">
        <f t="shared" ref="H121:J121" si="112">F121*5</f>
        <v>35</v>
      </c>
      <c r="I121" s="469">
        <f t="shared" si="112"/>
        <v>119</v>
      </c>
      <c r="J121" s="469">
        <f t="shared" si="112"/>
        <v>175</v>
      </c>
      <c r="K121" s="469">
        <f t="shared" si="2"/>
        <v>595</v>
      </c>
      <c r="L121" s="469">
        <f t="shared" si="3"/>
        <v>55</v>
      </c>
      <c r="M121" s="469">
        <f t="shared" si="4"/>
        <v>187</v>
      </c>
      <c r="N121" s="466" t="s">
        <v>3234</v>
      </c>
    </row>
    <row r="122" spans="1:14" ht="22.5" customHeight="1">
      <c r="A122" s="466">
        <v>110</v>
      </c>
      <c r="B122" s="466" t="s">
        <v>3108</v>
      </c>
      <c r="C122" s="466" t="s">
        <v>3240</v>
      </c>
      <c r="D122" s="466" t="s">
        <v>2478</v>
      </c>
      <c r="E122" s="467">
        <v>3.4</v>
      </c>
      <c r="F122" s="747">
        <v>7</v>
      </c>
      <c r="G122" s="747">
        <f t="shared" si="0"/>
        <v>23.8</v>
      </c>
      <c r="H122" s="469">
        <f t="shared" ref="H122:J122" si="113">F122*5</f>
        <v>35</v>
      </c>
      <c r="I122" s="469">
        <f t="shared" si="113"/>
        <v>119</v>
      </c>
      <c r="J122" s="469">
        <f t="shared" si="113"/>
        <v>175</v>
      </c>
      <c r="K122" s="469">
        <f t="shared" si="2"/>
        <v>595</v>
      </c>
      <c r="L122" s="469">
        <f t="shared" si="3"/>
        <v>55</v>
      </c>
      <c r="M122" s="469">
        <f t="shared" si="4"/>
        <v>187</v>
      </c>
      <c r="N122" s="466" t="s">
        <v>3234</v>
      </c>
    </row>
    <row r="123" spans="1:14" ht="22.5" customHeight="1">
      <c r="A123" s="466">
        <v>111</v>
      </c>
      <c r="B123" s="466" t="s">
        <v>3108</v>
      </c>
      <c r="C123" s="466" t="s">
        <v>3241</v>
      </c>
      <c r="D123" s="466" t="s">
        <v>2478</v>
      </c>
      <c r="E123" s="467">
        <v>5.5</v>
      </c>
      <c r="F123" s="747">
        <v>7</v>
      </c>
      <c r="G123" s="747">
        <f t="shared" si="0"/>
        <v>38.5</v>
      </c>
      <c r="H123" s="469">
        <f t="shared" ref="H123:J123" si="114">F123*5</f>
        <v>35</v>
      </c>
      <c r="I123" s="469">
        <f t="shared" si="114"/>
        <v>192.5</v>
      </c>
      <c r="J123" s="469">
        <f t="shared" si="114"/>
        <v>175</v>
      </c>
      <c r="K123" s="469">
        <f t="shared" si="2"/>
        <v>962.5</v>
      </c>
      <c r="L123" s="469">
        <f t="shared" si="3"/>
        <v>55</v>
      </c>
      <c r="M123" s="469">
        <f t="shared" si="4"/>
        <v>302.5</v>
      </c>
      <c r="N123" s="466" t="s">
        <v>3234</v>
      </c>
    </row>
    <row r="124" spans="1:14" ht="22.5" customHeight="1">
      <c r="A124" s="466">
        <v>112</v>
      </c>
      <c r="B124" s="466" t="s">
        <v>3108</v>
      </c>
      <c r="C124" s="466" t="s">
        <v>3242</v>
      </c>
      <c r="D124" s="466" t="s">
        <v>2735</v>
      </c>
      <c r="E124" s="467">
        <v>3.5</v>
      </c>
      <c r="F124" s="747">
        <v>7</v>
      </c>
      <c r="G124" s="747">
        <f t="shared" si="0"/>
        <v>24.5</v>
      </c>
      <c r="H124" s="469">
        <f t="shared" ref="H124:J124" si="115">F124*5</f>
        <v>35</v>
      </c>
      <c r="I124" s="469">
        <f t="shared" si="115"/>
        <v>122.5</v>
      </c>
      <c r="J124" s="469">
        <f t="shared" si="115"/>
        <v>175</v>
      </c>
      <c r="K124" s="469">
        <f t="shared" si="2"/>
        <v>612.5</v>
      </c>
      <c r="L124" s="469">
        <f t="shared" si="3"/>
        <v>55</v>
      </c>
      <c r="M124" s="469">
        <f t="shared" si="4"/>
        <v>192.5</v>
      </c>
      <c r="N124" s="466" t="s">
        <v>3234</v>
      </c>
    </row>
    <row r="125" spans="1:14" ht="22.5" customHeight="1">
      <c r="A125" s="466">
        <v>113</v>
      </c>
      <c r="B125" s="466" t="s">
        <v>3108</v>
      </c>
      <c r="C125" s="466" t="s">
        <v>3243</v>
      </c>
      <c r="D125" s="466" t="s">
        <v>2735</v>
      </c>
      <c r="E125" s="467">
        <v>3.5</v>
      </c>
      <c r="F125" s="747">
        <v>7</v>
      </c>
      <c r="G125" s="747">
        <f t="shared" si="0"/>
        <v>24.5</v>
      </c>
      <c r="H125" s="469">
        <f t="shared" ref="H125:J125" si="116">F125*5</f>
        <v>35</v>
      </c>
      <c r="I125" s="469">
        <f t="shared" si="116"/>
        <v>122.5</v>
      </c>
      <c r="J125" s="469">
        <f t="shared" si="116"/>
        <v>175</v>
      </c>
      <c r="K125" s="469">
        <f t="shared" si="2"/>
        <v>612.5</v>
      </c>
      <c r="L125" s="469">
        <f t="shared" si="3"/>
        <v>55</v>
      </c>
      <c r="M125" s="469">
        <f t="shared" si="4"/>
        <v>192.5</v>
      </c>
      <c r="N125" s="466" t="s">
        <v>3234</v>
      </c>
    </row>
    <row r="126" spans="1:14" ht="22.5" customHeight="1">
      <c r="A126" s="466">
        <v>114</v>
      </c>
      <c r="B126" s="466" t="s">
        <v>3108</v>
      </c>
      <c r="C126" s="466" t="s">
        <v>3244</v>
      </c>
      <c r="D126" s="466" t="s">
        <v>2478</v>
      </c>
      <c r="E126" s="467">
        <v>3.4</v>
      </c>
      <c r="F126" s="747">
        <v>7</v>
      </c>
      <c r="G126" s="747">
        <f t="shared" si="0"/>
        <v>23.8</v>
      </c>
      <c r="H126" s="469">
        <f t="shared" ref="H126:J126" si="117">F126*5</f>
        <v>35</v>
      </c>
      <c r="I126" s="469">
        <f t="shared" si="117"/>
        <v>119</v>
      </c>
      <c r="J126" s="469">
        <f t="shared" si="117"/>
        <v>175</v>
      </c>
      <c r="K126" s="469">
        <f t="shared" si="2"/>
        <v>595</v>
      </c>
      <c r="L126" s="469">
        <f t="shared" si="3"/>
        <v>55</v>
      </c>
      <c r="M126" s="469">
        <f t="shared" si="4"/>
        <v>187</v>
      </c>
      <c r="N126" s="466" t="s">
        <v>3245</v>
      </c>
    </row>
    <row r="127" spans="1:14" ht="22.5" customHeight="1">
      <c r="A127" s="466">
        <v>115</v>
      </c>
      <c r="B127" s="466" t="s">
        <v>3108</v>
      </c>
      <c r="C127" s="466" t="s">
        <v>3246</v>
      </c>
      <c r="D127" s="466" t="s">
        <v>2478</v>
      </c>
      <c r="E127" s="467">
        <v>3.4</v>
      </c>
      <c r="F127" s="747">
        <v>7</v>
      </c>
      <c r="G127" s="747">
        <f t="shared" si="0"/>
        <v>23.8</v>
      </c>
      <c r="H127" s="469">
        <f t="shared" ref="H127:J127" si="118">F127*5</f>
        <v>35</v>
      </c>
      <c r="I127" s="469">
        <f t="shared" si="118"/>
        <v>119</v>
      </c>
      <c r="J127" s="469">
        <f t="shared" si="118"/>
        <v>175</v>
      </c>
      <c r="K127" s="469">
        <f t="shared" si="2"/>
        <v>595</v>
      </c>
      <c r="L127" s="469">
        <f t="shared" si="3"/>
        <v>55</v>
      </c>
      <c r="M127" s="469">
        <f t="shared" si="4"/>
        <v>187</v>
      </c>
      <c r="N127" s="466" t="s">
        <v>3245</v>
      </c>
    </row>
    <row r="128" spans="1:14" ht="22.5" customHeight="1">
      <c r="A128" s="466">
        <v>116</v>
      </c>
      <c r="B128" s="466" t="s">
        <v>3108</v>
      </c>
      <c r="C128" s="466" t="s">
        <v>3247</v>
      </c>
      <c r="D128" s="466" t="s">
        <v>2478</v>
      </c>
      <c r="E128" s="467">
        <v>6</v>
      </c>
      <c r="F128" s="747">
        <v>7</v>
      </c>
      <c r="G128" s="747">
        <f t="shared" si="0"/>
        <v>42</v>
      </c>
      <c r="H128" s="469">
        <f t="shared" ref="H128:J128" si="119">F128*5</f>
        <v>35</v>
      </c>
      <c r="I128" s="469">
        <f t="shared" si="119"/>
        <v>210</v>
      </c>
      <c r="J128" s="469">
        <f t="shared" si="119"/>
        <v>175</v>
      </c>
      <c r="K128" s="469">
        <f t="shared" si="2"/>
        <v>1050</v>
      </c>
      <c r="L128" s="469">
        <f t="shared" si="3"/>
        <v>55</v>
      </c>
      <c r="M128" s="469">
        <f t="shared" si="4"/>
        <v>330</v>
      </c>
      <c r="N128" s="466" t="s">
        <v>3245</v>
      </c>
    </row>
    <row r="129" spans="1:14" ht="22.5" customHeight="1">
      <c r="A129" s="466">
        <v>117</v>
      </c>
      <c r="B129" s="466" t="s">
        <v>3108</v>
      </c>
      <c r="C129" s="466" t="s">
        <v>3248</v>
      </c>
      <c r="D129" s="466" t="s">
        <v>3175</v>
      </c>
      <c r="E129" s="467">
        <v>3.4</v>
      </c>
      <c r="F129" s="747">
        <v>7</v>
      </c>
      <c r="G129" s="747">
        <f t="shared" si="0"/>
        <v>23.8</v>
      </c>
      <c r="H129" s="469">
        <f t="shared" ref="H129:J129" si="120">F129*5</f>
        <v>35</v>
      </c>
      <c r="I129" s="469">
        <f t="shared" si="120"/>
        <v>119</v>
      </c>
      <c r="J129" s="469">
        <f t="shared" si="120"/>
        <v>175</v>
      </c>
      <c r="K129" s="469">
        <f t="shared" si="2"/>
        <v>595</v>
      </c>
      <c r="L129" s="469">
        <f t="shared" si="3"/>
        <v>55</v>
      </c>
      <c r="M129" s="469">
        <f t="shared" si="4"/>
        <v>187</v>
      </c>
      <c r="N129" s="466" t="s">
        <v>3245</v>
      </c>
    </row>
    <row r="130" spans="1:14" ht="22.5" customHeight="1">
      <c r="A130" s="466">
        <v>118</v>
      </c>
      <c r="B130" s="466" t="s">
        <v>3108</v>
      </c>
      <c r="C130" s="466" t="s">
        <v>3249</v>
      </c>
      <c r="D130" s="466" t="s">
        <v>3175</v>
      </c>
      <c r="E130" s="467">
        <v>3.4</v>
      </c>
      <c r="F130" s="747">
        <v>7</v>
      </c>
      <c r="G130" s="747">
        <f t="shared" si="0"/>
        <v>23.8</v>
      </c>
      <c r="H130" s="469">
        <f t="shared" ref="H130:J130" si="121">F130*5</f>
        <v>35</v>
      </c>
      <c r="I130" s="469">
        <f t="shared" si="121"/>
        <v>119</v>
      </c>
      <c r="J130" s="469">
        <f t="shared" si="121"/>
        <v>175</v>
      </c>
      <c r="K130" s="469">
        <f t="shared" si="2"/>
        <v>595</v>
      </c>
      <c r="L130" s="469">
        <f t="shared" si="3"/>
        <v>55</v>
      </c>
      <c r="M130" s="469">
        <f t="shared" si="4"/>
        <v>187</v>
      </c>
      <c r="N130" s="466" t="s">
        <v>3245</v>
      </c>
    </row>
    <row r="131" spans="1:14" ht="22.5" customHeight="1">
      <c r="A131" s="466">
        <v>119</v>
      </c>
      <c r="B131" s="466" t="s">
        <v>3108</v>
      </c>
      <c r="C131" s="466" t="s">
        <v>3250</v>
      </c>
      <c r="D131" s="466" t="s">
        <v>2707</v>
      </c>
      <c r="E131" s="467">
        <v>5.5</v>
      </c>
      <c r="F131" s="747">
        <v>7</v>
      </c>
      <c r="G131" s="747">
        <f t="shared" si="0"/>
        <v>38.5</v>
      </c>
      <c r="H131" s="469">
        <f t="shared" ref="H131:J131" si="122">F131*5</f>
        <v>35</v>
      </c>
      <c r="I131" s="469">
        <f t="shared" si="122"/>
        <v>192.5</v>
      </c>
      <c r="J131" s="469">
        <f t="shared" si="122"/>
        <v>175</v>
      </c>
      <c r="K131" s="469">
        <f t="shared" si="2"/>
        <v>962.5</v>
      </c>
      <c r="L131" s="469">
        <f t="shared" si="3"/>
        <v>55</v>
      </c>
      <c r="M131" s="469">
        <f t="shared" si="4"/>
        <v>302.5</v>
      </c>
      <c r="N131" s="466" t="s">
        <v>3245</v>
      </c>
    </row>
    <row r="132" spans="1:14" ht="22.5" customHeight="1">
      <c r="A132" s="466">
        <v>120</v>
      </c>
      <c r="B132" s="466" t="s">
        <v>3108</v>
      </c>
      <c r="C132" s="466" t="s">
        <v>3251</v>
      </c>
      <c r="D132" s="466" t="s">
        <v>2707</v>
      </c>
      <c r="E132" s="467">
        <v>3.4</v>
      </c>
      <c r="F132" s="747">
        <v>7</v>
      </c>
      <c r="G132" s="747">
        <f t="shared" si="0"/>
        <v>23.8</v>
      </c>
      <c r="H132" s="469">
        <f t="shared" ref="H132:J132" si="123">F132*5</f>
        <v>35</v>
      </c>
      <c r="I132" s="469">
        <f t="shared" si="123"/>
        <v>119</v>
      </c>
      <c r="J132" s="469">
        <f t="shared" si="123"/>
        <v>175</v>
      </c>
      <c r="K132" s="469">
        <f t="shared" si="2"/>
        <v>595</v>
      </c>
      <c r="L132" s="469">
        <f t="shared" si="3"/>
        <v>55</v>
      </c>
      <c r="M132" s="469">
        <f t="shared" si="4"/>
        <v>187</v>
      </c>
      <c r="N132" s="466" t="s">
        <v>3245</v>
      </c>
    </row>
    <row r="133" spans="1:14" ht="22.5" customHeight="1">
      <c r="A133" s="466">
        <v>121</v>
      </c>
      <c r="B133" s="466" t="s">
        <v>3108</v>
      </c>
      <c r="C133" s="466" t="s">
        <v>3252</v>
      </c>
      <c r="D133" s="466" t="s">
        <v>2707</v>
      </c>
      <c r="E133" s="467">
        <v>3.4</v>
      </c>
      <c r="F133" s="747">
        <v>7</v>
      </c>
      <c r="G133" s="747">
        <f t="shared" si="0"/>
        <v>23.8</v>
      </c>
      <c r="H133" s="469">
        <f t="shared" ref="H133:J133" si="124">F133*5</f>
        <v>35</v>
      </c>
      <c r="I133" s="469">
        <f t="shared" si="124"/>
        <v>119</v>
      </c>
      <c r="J133" s="469">
        <f t="shared" si="124"/>
        <v>175</v>
      </c>
      <c r="K133" s="469">
        <f t="shared" si="2"/>
        <v>595</v>
      </c>
      <c r="L133" s="469">
        <f t="shared" si="3"/>
        <v>55</v>
      </c>
      <c r="M133" s="469">
        <f t="shared" si="4"/>
        <v>187</v>
      </c>
      <c r="N133" s="466" t="s">
        <v>3245</v>
      </c>
    </row>
    <row r="134" spans="1:14" ht="22.5" customHeight="1">
      <c r="A134" s="466">
        <v>122</v>
      </c>
      <c r="B134" s="466" t="s">
        <v>3108</v>
      </c>
      <c r="C134" s="466" t="s">
        <v>3253</v>
      </c>
      <c r="D134" s="466" t="s">
        <v>2722</v>
      </c>
      <c r="E134" s="467">
        <v>3.5</v>
      </c>
      <c r="F134" s="747">
        <v>7</v>
      </c>
      <c r="G134" s="747">
        <f t="shared" si="0"/>
        <v>24.5</v>
      </c>
      <c r="H134" s="469">
        <f t="shared" ref="H134:J134" si="125">F134*5</f>
        <v>35</v>
      </c>
      <c r="I134" s="469">
        <f t="shared" si="125"/>
        <v>122.5</v>
      </c>
      <c r="J134" s="469">
        <f t="shared" si="125"/>
        <v>175</v>
      </c>
      <c r="K134" s="469">
        <f t="shared" si="2"/>
        <v>612.5</v>
      </c>
      <c r="L134" s="469">
        <f t="shared" si="3"/>
        <v>55</v>
      </c>
      <c r="M134" s="469">
        <f t="shared" si="4"/>
        <v>192.5</v>
      </c>
      <c r="N134" s="466" t="s">
        <v>3245</v>
      </c>
    </row>
    <row r="135" spans="1:14" ht="22.5" customHeight="1">
      <c r="A135" s="466">
        <v>123</v>
      </c>
      <c r="B135" s="466" t="s">
        <v>3108</v>
      </c>
      <c r="C135" s="466" t="s">
        <v>3254</v>
      </c>
      <c r="D135" s="466" t="s">
        <v>2722</v>
      </c>
      <c r="E135" s="467">
        <v>3.5</v>
      </c>
      <c r="F135" s="747">
        <v>7</v>
      </c>
      <c r="G135" s="747">
        <f t="shared" si="0"/>
        <v>24.5</v>
      </c>
      <c r="H135" s="469">
        <f t="shared" ref="H135:J135" si="126">F135*5</f>
        <v>35</v>
      </c>
      <c r="I135" s="469">
        <f t="shared" si="126"/>
        <v>122.5</v>
      </c>
      <c r="J135" s="469">
        <f t="shared" si="126"/>
        <v>175</v>
      </c>
      <c r="K135" s="469">
        <f t="shared" si="2"/>
        <v>612.5</v>
      </c>
      <c r="L135" s="469">
        <f t="shared" si="3"/>
        <v>55</v>
      </c>
      <c r="M135" s="469">
        <f t="shared" si="4"/>
        <v>192.5</v>
      </c>
      <c r="N135" s="466" t="s">
        <v>3245</v>
      </c>
    </row>
    <row r="136" spans="1:14" ht="22.5" customHeight="1">
      <c r="A136" s="466">
        <v>124</v>
      </c>
      <c r="B136" s="466" t="s">
        <v>3108</v>
      </c>
      <c r="C136" s="466" t="s">
        <v>3255</v>
      </c>
      <c r="D136" s="466" t="s">
        <v>3199</v>
      </c>
      <c r="E136" s="467">
        <v>5.5</v>
      </c>
      <c r="F136" s="747">
        <v>7</v>
      </c>
      <c r="G136" s="747">
        <f t="shared" si="0"/>
        <v>38.5</v>
      </c>
      <c r="H136" s="469">
        <f t="shared" ref="H136:J136" si="127">F136*5</f>
        <v>35</v>
      </c>
      <c r="I136" s="469">
        <f t="shared" si="127"/>
        <v>192.5</v>
      </c>
      <c r="J136" s="469">
        <f t="shared" si="127"/>
        <v>175</v>
      </c>
      <c r="K136" s="469">
        <f t="shared" si="2"/>
        <v>962.5</v>
      </c>
      <c r="L136" s="469">
        <f t="shared" si="3"/>
        <v>55</v>
      </c>
      <c r="M136" s="469">
        <f t="shared" si="4"/>
        <v>302.5</v>
      </c>
      <c r="N136" s="466" t="s">
        <v>3245</v>
      </c>
    </row>
    <row r="137" spans="1:14" ht="22.5" customHeight="1">
      <c r="A137" s="466">
        <v>125</v>
      </c>
      <c r="B137" s="466" t="s">
        <v>3108</v>
      </c>
      <c r="C137" s="466" t="s">
        <v>3256</v>
      </c>
      <c r="D137" s="466" t="s">
        <v>2663</v>
      </c>
      <c r="E137" s="467">
        <v>5.5</v>
      </c>
      <c r="F137" s="747">
        <v>7</v>
      </c>
      <c r="G137" s="747">
        <f t="shared" si="0"/>
        <v>38.5</v>
      </c>
      <c r="H137" s="469">
        <f t="shared" ref="H137:J137" si="128">F137*5</f>
        <v>35</v>
      </c>
      <c r="I137" s="469">
        <f t="shared" si="128"/>
        <v>192.5</v>
      </c>
      <c r="J137" s="469">
        <f t="shared" si="128"/>
        <v>175</v>
      </c>
      <c r="K137" s="469">
        <f t="shared" si="2"/>
        <v>962.5</v>
      </c>
      <c r="L137" s="469">
        <f t="shared" si="3"/>
        <v>55</v>
      </c>
      <c r="M137" s="469">
        <f t="shared" si="4"/>
        <v>302.5</v>
      </c>
      <c r="N137" s="466" t="s">
        <v>3245</v>
      </c>
    </row>
    <row r="138" spans="1:14" ht="22.5" customHeight="1">
      <c r="A138" s="466">
        <v>126</v>
      </c>
      <c r="B138" s="466" t="s">
        <v>3108</v>
      </c>
      <c r="C138" s="466" t="s">
        <v>3257</v>
      </c>
      <c r="D138" s="466" t="s">
        <v>3258</v>
      </c>
      <c r="E138" s="467">
        <v>3.4</v>
      </c>
      <c r="F138" s="747">
        <v>7</v>
      </c>
      <c r="G138" s="747">
        <f t="shared" si="0"/>
        <v>23.8</v>
      </c>
      <c r="H138" s="469">
        <f t="shared" ref="H138:J138" si="129">F138*5</f>
        <v>35</v>
      </c>
      <c r="I138" s="469">
        <f t="shared" si="129"/>
        <v>119</v>
      </c>
      <c r="J138" s="469">
        <f t="shared" si="129"/>
        <v>175</v>
      </c>
      <c r="K138" s="469">
        <f t="shared" si="2"/>
        <v>595</v>
      </c>
      <c r="L138" s="469">
        <f t="shared" si="3"/>
        <v>55</v>
      </c>
      <c r="M138" s="469">
        <f t="shared" si="4"/>
        <v>187</v>
      </c>
      <c r="N138" s="466" t="s">
        <v>3245</v>
      </c>
    </row>
    <row r="139" spans="1:14" ht="22.5" customHeight="1">
      <c r="A139" s="466">
        <v>127</v>
      </c>
      <c r="B139" s="466" t="s">
        <v>3108</v>
      </c>
      <c r="C139" s="466" t="s">
        <v>3259</v>
      </c>
      <c r="D139" s="466" t="s">
        <v>3258</v>
      </c>
      <c r="E139" s="467">
        <v>3.5</v>
      </c>
      <c r="F139" s="747">
        <v>7</v>
      </c>
      <c r="G139" s="747">
        <f t="shared" si="0"/>
        <v>24.5</v>
      </c>
      <c r="H139" s="469">
        <f t="shared" ref="H139:J139" si="130">F139*5</f>
        <v>35</v>
      </c>
      <c r="I139" s="469">
        <f t="shared" si="130"/>
        <v>122.5</v>
      </c>
      <c r="J139" s="469">
        <f t="shared" si="130"/>
        <v>175</v>
      </c>
      <c r="K139" s="469">
        <f t="shared" si="2"/>
        <v>612.5</v>
      </c>
      <c r="L139" s="469">
        <f t="shared" si="3"/>
        <v>55</v>
      </c>
      <c r="M139" s="469">
        <f t="shared" si="4"/>
        <v>192.5</v>
      </c>
      <c r="N139" s="466" t="s">
        <v>3245</v>
      </c>
    </row>
    <row r="140" spans="1:14" ht="22.5" customHeight="1">
      <c r="A140" s="466">
        <v>128</v>
      </c>
      <c r="B140" s="466" t="s">
        <v>3108</v>
      </c>
      <c r="C140" s="466" t="s">
        <v>3260</v>
      </c>
      <c r="D140" s="466" t="s">
        <v>2497</v>
      </c>
      <c r="E140" s="467">
        <v>6.5</v>
      </c>
      <c r="F140" s="747">
        <v>7</v>
      </c>
      <c r="G140" s="747">
        <f t="shared" si="0"/>
        <v>45.5</v>
      </c>
      <c r="H140" s="469">
        <f t="shared" ref="H140:J140" si="131">F140*5</f>
        <v>35</v>
      </c>
      <c r="I140" s="469">
        <f t="shared" si="131"/>
        <v>227.5</v>
      </c>
      <c r="J140" s="469">
        <f t="shared" si="131"/>
        <v>175</v>
      </c>
      <c r="K140" s="469">
        <f t="shared" si="2"/>
        <v>1137.5</v>
      </c>
      <c r="L140" s="469">
        <f t="shared" si="3"/>
        <v>55</v>
      </c>
      <c r="M140" s="469">
        <f t="shared" si="4"/>
        <v>357.5</v>
      </c>
      <c r="N140" s="466" t="s">
        <v>3245</v>
      </c>
    </row>
    <row r="141" spans="1:14" ht="22.5" customHeight="1">
      <c r="A141" s="466">
        <v>129</v>
      </c>
      <c r="B141" s="466" t="s">
        <v>3108</v>
      </c>
      <c r="C141" s="466" t="s">
        <v>3261</v>
      </c>
      <c r="D141" s="466" t="s">
        <v>3262</v>
      </c>
      <c r="E141" s="467">
        <v>5.5</v>
      </c>
      <c r="F141" s="747">
        <v>7</v>
      </c>
      <c r="G141" s="747">
        <f t="shared" si="0"/>
        <v>38.5</v>
      </c>
      <c r="H141" s="469">
        <f t="shared" ref="H141:J141" si="132">F141*5</f>
        <v>35</v>
      </c>
      <c r="I141" s="469">
        <f t="shared" si="132"/>
        <v>192.5</v>
      </c>
      <c r="J141" s="469">
        <f t="shared" si="132"/>
        <v>175</v>
      </c>
      <c r="K141" s="469">
        <f t="shared" si="2"/>
        <v>962.5</v>
      </c>
      <c r="L141" s="469">
        <f t="shared" si="3"/>
        <v>55</v>
      </c>
      <c r="M141" s="469">
        <f t="shared" si="4"/>
        <v>302.5</v>
      </c>
      <c r="N141" s="466" t="s">
        <v>3263</v>
      </c>
    </row>
    <row r="142" spans="1:14" ht="22.5" customHeight="1">
      <c r="A142" s="466">
        <v>130</v>
      </c>
      <c r="B142" s="466" t="s">
        <v>3108</v>
      </c>
      <c r="C142" s="466" t="s">
        <v>3264</v>
      </c>
      <c r="D142" s="466" t="s">
        <v>3262</v>
      </c>
      <c r="E142" s="467">
        <v>3.4</v>
      </c>
      <c r="F142" s="747">
        <v>7</v>
      </c>
      <c r="G142" s="747">
        <f t="shared" si="0"/>
        <v>23.8</v>
      </c>
      <c r="H142" s="469">
        <f t="shared" ref="H142:J142" si="133">F142*5</f>
        <v>35</v>
      </c>
      <c r="I142" s="469">
        <f t="shared" si="133"/>
        <v>119</v>
      </c>
      <c r="J142" s="469">
        <f t="shared" si="133"/>
        <v>175</v>
      </c>
      <c r="K142" s="469">
        <f t="shared" si="2"/>
        <v>595</v>
      </c>
      <c r="L142" s="469">
        <f t="shared" si="3"/>
        <v>55</v>
      </c>
      <c r="M142" s="469">
        <f t="shared" si="4"/>
        <v>187</v>
      </c>
      <c r="N142" s="466" t="s">
        <v>3263</v>
      </c>
    </row>
    <row r="143" spans="1:14" ht="22.5" customHeight="1">
      <c r="A143" s="466">
        <v>131</v>
      </c>
      <c r="B143" s="466" t="s">
        <v>3108</v>
      </c>
      <c r="C143" s="466" t="s">
        <v>3265</v>
      </c>
      <c r="D143" s="466" t="s">
        <v>3262</v>
      </c>
      <c r="E143" s="467">
        <v>3.4</v>
      </c>
      <c r="F143" s="747">
        <v>7</v>
      </c>
      <c r="G143" s="747">
        <f t="shared" si="0"/>
        <v>23.8</v>
      </c>
      <c r="H143" s="469">
        <f t="shared" ref="H143:J143" si="134">F143*5</f>
        <v>35</v>
      </c>
      <c r="I143" s="469">
        <f t="shared" si="134"/>
        <v>119</v>
      </c>
      <c r="J143" s="469">
        <f t="shared" si="134"/>
        <v>175</v>
      </c>
      <c r="K143" s="469">
        <f t="shared" si="2"/>
        <v>595</v>
      </c>
      <c r="L143" s="469">
        <f t="shared" si="3"/>
        <v>55</v>
      </c>
      <c r="M143" s="469">
        <f t="shared" si="4"/>
        <v>187</v>
      </c>
      <c r="N143" s="466" t="s">
        <v>3263</v>
      </c>
    </row>
    <row r="144" spans="1:14" ht="22.5" customHeight="1">
      <c r="A144" s="466">
        <v>132</v>
      </c>
      <c r="B144" s="466" t="s">
        <v>3108</v>
      </c>
      <c r="C144" s="466" t="s">
        <v>3266</v>
      </c>
      <c r="D144" s="466" t="s">
        <v>3262</v>
      </c>
      <c r="E144" s="467">
        <v>3.4</v>
      </c>
      <c r="F144" s="747">
        <v>7</v>
      </c>
      <c r="G144" s="747">
        <f t="shared" si="0"/>
        <v>23.8</v>
      </c>
      <c r="H144" s="469">
        <f t="shared" ref="H144:J144" si="135">F144*5</f>
        <v>35</v>
      </c>
      <c r="I144" s="469">
        <f t="shared" si="135"/>
        <v>119</v>
      </c>
      <c r="J144" s="469">
        <f t="shared" si="135"/>
        <v>175</v>
      </c>
      <c r="K144" s="469">
        <f t="shared" si="2"/>
        <v>595</v>
      </c>
      <c r="L144" s="469">
        <f t="shared" si="3"/>
        <v>55</v>
      </c>
      <c r="M144" s="469">
        <f t="shared" si="4"/>
        <v>187</v>
      </c>
      <c r="N144" s="466" t="s">
        <v>3263</v>
      </c>
    </row>
    <row r="145" spans="1:14" ht="22.5" customHeight="1">
      <c r="A145" s="466">
        <v>133</v>
      </c>
      <c r="B145" s="466" t="s">
        <v>3108</v>
      </c>
      <c r="C145" s="466" t="s">
        <v>3267</v>
      </c>
      <c r="D145" s="466" t="s">
        <v>3262</v>
      </c>
      <c r="E145" s="467">
        <v>3.4</v>
      </c>
      <c r="F145" s="747">
        <v>7</v>
      </c>
      <c r="G145" s="747">
        <f t="shared" si="0"/>
        <v>23.8</v>
      </c>
      <c r="H145" s="469">
        <f t="shared" ref="H145:J145" si="136">F145*5</f>
        <v>35</v>
      </c>
      <c r="I145" s="469">
        <f t="shared" si="136"/>
        <v>119</v>
      </c>
      <c r="J145" s="469">
        <f t="shared" si="136"/>
        <v>175</v>
      </c>
      <c r="K145" s="469">
        <f t="shared" si="2"/>
        <v>595</v>
      </c>
      <c r="L145" s="469">
        <f t="shared" si="3"/>
        <v>55</v>
      </c>
      <c r="M145" s="469">
        <f t="shared" si="4"/>
        <v>187</v>
      </c>
      <c r="N145" s="466" t="s">
        <v>3263</v>
      </c>
    </row>
    <row r="146" spans="1:14" ht="22.5" customHeight="1">
      <c r="A146" s="466">
        <v>134</v>
      </c>
      <c r="B146" s="466" t="s">
        <v>3108</v>
      </c>
      <c r="C146" s="466" t="s">
        <v>3268</v>
      </c>
      <c r="D146" s="466" t="s">
        <v>2497</v>
      </c>
      <c r="E146" s="467">
        <v>6</v>
      </c>
      <c r="F146" s="747">
        <v>7</v>
      </c>
      <c r="G146" s="747">
        <f t="shared" si="0"/>
        <v>42</v>
      </c>
      <c r="H146" s="469">
        <f t="shared" ref="H146:J146" si="137">F146*5</f>
        <v>35</v>
      </c>
      <c r="I146" s="469">
        <f t="shared" si="137"/>
        <v>210</v>
      </c>
      <c r="J146" s="469">
        <f t="shared" si="137"/>
        <v>175</v>
      </c>
      <c r="K146" s="469">
        <f t="shared" si="2"/>
        <v>1050</v>
      </c>
      <c r="L146" s="469">
        <f t="shared" si="3"/>
        <v>55</v>
      </c>
      <c r="M146" s="469">
        <f t="shared" si="4"/>
        <v>330</v>
      </c>
      <c r="N146" s="466" t="s">
        <v>3263</v>
      </c>
    </row>
    <row r="147" spans="1:14" ht="22.5" customHeight="1">
      <c r="A147" s="466">
        <v>135</v>
      </c>
      <c r="B147" s="466" t="s">
        <v>3108</v>
      </c>
      <c r="C147" s="466" t="s">
        <v>3269</v>
      </c>
      <c r="D147" s="466" t="s">
        <v>2478</v>
      </c>
      <c r="E147" s="467">
        <v>3.3</v>
      </c>
      <c r="F147" s="747">
        <v>7</v>
      </c>
      <c r="G147" s="747">
        <f t="shared" si="0"/>
        <v>23.099999999999998</v>
      </c>
      <c r="H147" s="469">
        <f t="shared" ref="H147:J147" si="138">F147*5</f>
        <v>35</v>
      </c>
      <c r="I147" s="469">
        <f t="shared" si="138"/>
        <v>115.49999999999999</v>
      </c>
      <c r="J147" s="469">
        <f t="shared" si="138"/>
        <v>175</v>
      </c>
      <c r="K147" s="469">
        <f t="shared" si="2"/>
        <v>577.5</v>
      </c>
      <c r="L147" s="469">
        <f t="shared" si="3"/>
        <v>55</v>
      </c>
      <c r="M147" s="469">
        <f t="shared" si="4"/>
        <v>181.5</v>
      </c>
      <c r="N147" s="466" t="s">
        <v>3167</v>
      </c>
    </row>
    <row r="148" spans="1:14" ht="22.5" customHeight="1">
      <c r="A148" s="466">
        <v>136</v>
      </c>
      <c r="B148" s="466" t="s">
        <v>3108</v>
      </c>
      <c r="C148" s="466" t="s">
        <v>3270</v>
      </c>
      <c r="D148" s="466" t="s">
        <v>2707</v>
      </c>
      <c r="E148" s="467">
        <v>3.45</v>
      </c>
      <c r="F148" s="747">
        <v>7</v>
      </c>
      <c r="G148" s="747">
        <f t="shared" si="0"/>
        <v>24.150000000000002</v>
      </c>
      <c r="H148" s="469">
        <f t="shared" ref="H148:J148" si="139">F148*5</f>
        <v>35</v>
      </c>
      <c r="I148" s="469">
        <f t="shared" si="139"/>
        <v>120.75000000000001</v>
      </c>
      <c r="J148" s="469">
        <f t="shared" si="139"/>
        <v>175</v>
      </c>
      <c r="K148" s="469">
        <f t="shared" si="2"/>
        <v>603.75</v>
      </c>
      <c r="L148" s="469">
        <f t="shared" si="3"/>
        <v>55</v>
      </c>
      <c r="M148" s="469">
        <f t="shared" si="4"/>
        <v>189.75</v>
      </c>
      <c r="N148" s="466" t="s">
        <v>3167</v>
      </c>
    </row>
    <row r="149" spans="1:14" ht="22.5" customHeight="1">
      <c r="A149" s="466">
        <v>137</v>
      </c>
      <c r="B149" s="466" t="s">
        <v>3108</v>
      </c>
      <c r="C149" s="466" t="s">
        <v>3271</v>
      </c>
      <c r="D149" s="466" t="s">
        <v>2735</v>
      </c>
      <c r="E149" s="467">
        <v>6.4</v>
      </c>
      <c r="F149" s="747">
        <v>7</v>
      </c>
      <c r="G149" s="747">
        <f t="shared" si="0"/>
        <v>44.800000000000004</v>
      </c>
      <c r="H149" s="469">
        <f t="shared" ref="H149:J149" si="140">F149*5</f>
        <v>35</v>
      </c>
      <c r="I149" s="469">
        <f t="shared" si="140"/>
        <v>224.00000000000003</v>
      </c>
      <c r="J149" s="469">
        <f t="shared" si="140"/>
        <v>175</v>
      </c>
      <c r="K149" s="469">
        <f t="shared" si="2"/>
        <v>1120</v>
      </c>
      <c r="L149" s="469">
        <f t="shared" si="3"/>
        <v>55</v>
      </c>
      <c r="M149" s="469">
        <f t="shared" si="4"/>
        <v>352</v>
      </c>
      <c r="N149" s="466" t="s">
        <v>3167</v>
      </c>
    </row>
    <row r="150" spans="1:14" ht="22.5" customHeight="1">
      <c r="A150" s="466">
        <v>138</v>
      </c>
      <c r="B150" s="466" t="s">
        <v>3108</v>
      </c>
      <c r="C150" s="466" t="s">
        <v>3272</v>
      </c>
      <c r="D150" s="466" t="s">
        <v>2722</v>
      </c>
      <c r="E150" s="467">
        <v>3</v>
      </c>
      <c r="F150" s="747">
        <v>7</v>
      </c>
      <c r="G150" s="747">
        <f t="shared" si="0"/>
        <v>21</v>
      </c>
      <c r="H150" s="469">
        <f t="shared" ref="H150:J150" si="141">F150*5</f>
        <v>35</v>
      </c>
      <c r="I150" s="469">
        <f t="shared" si="141"/>
        <v>105</v>
      </c>
      <c r="J150" s="469">
        <f t="shared" si="141"/>
        <v>175</v>
      </c>
      <c r="K150" s="469">
        <f t="shared" si="2"/>
        <v>525</v>
      </c>
      <c r="L150" s="469">
        <f t="shared" si="3"/>
        <v>55</v>
      </c>
      <c r="M150" s="469">
        <f t="shared" si="4"/>
        <v>165</v>
      </c>
      <c r="N150" s="466" t="s">
        <v>3273</v>
      </c>
    </row>
    <row r="151" spans="1:14" ht="22.5" customHeight="1">
      <c r="A151" s="466">
        <v>139</v>
      </c>
      <c r="B151" s="466" t="s">
        <v>3108</v>
      </c>
      <c r="C151" s="466" t="s">
        <v>3274</v>
      </c>
      <c r="D151" s="466" t="s">
        <v>2722</v>
      </c>
      <c r="E151" s="467">
        <v>3.4</v>
      </c>
      <c r="F151" s="747">
        <v>7</v>
      </c>
      <c r="G151" s="747">
        <f t="shared" si="0"/>
        <v>23.8</v>
      </c>
      <c r="H151" s="469">
        <f t="shared" ref="H151:J151" si="142">F151*5</f>
        <v>35</v>
      </c>
      <c r="I151" s="469">
        <f t="shared" si="142"/>
        <v>119</v>
      </c>
      <c r="J151" s="469">
        <f t="shared" si="142"/>
        <v>175</v>
      </c>
      <c r="K151" s="469">
        <f t="shared" si="2"/>
        <v>595</v>
      </c>
      <c r="L151" s="469">
        <f t="shared" si="3"/>
        <v>55</v>
      </c>
      <c r="M151" s="469">
        <f t="shared" si="4"/>
        <v>187</v>
      </c>
      <c r="N151" s="466" t="s">
        <v>3273</v>
      </c>
    </row>
    <row r="152" spans="1:14" ht="22.5" customHeight="1">
      <c r="A152" s="466">
        <v>140</v>
      </c>
      <c r="B152" s="466" t="s">
        <v>3108</v>
      </c>
      <c r="C152" s="466" t="s">
        <v>3275</v>
      </c>
      <c r="D152" s="466" t="s">
        <v>3276</v>
      </c>
      <c r="E152" s="467">
        <v>6.1</v>
      </c>
      <c r="F152" s="747">
        <v>7</v>
      </c>
      <c r="G152" s="747">
        <f t="shared" si="0"/>
        <v>42.699999999999996</v>
      </c>
      <c r="H152" s="469">
        <f t="shared" ref="H152:J152" si="143">F152*5</f>
        <v>35</v>
      </c>
      <c r="I152" s="469">
        <f t="shared" si="143"/>
        <v>213.49999999999997</v>
      </c>
      <c r="J152" s="469">
        <f t="shared" si="143"/>
        <v>175</v>
      </c>
      <c r="K152" s="469">
        <f t="shared" si="2"/>
        <v>1067.5</v>
      </c>
      <c r="L152" s="469">
        <f t="shared" si="3"/>
        <v>55</v>
      </c>
      <c r="M152" s="469">
        <f t="shared" si="4"/>
        <v>335.5</v>
      </c>
      <c r="N152" s="466" t="s">
        <v>3202</v>
      </c>
    </row>
    <row r="153" spans="1:14" ht="22.5" customHeight="1">
      <c r="A153" s="466">
        <v>141</v>
      </c>
      <c r="B153" s="466" t="s">
        <v>3108</v>
      </c>
      <c r="C153" s="466" t="s">
        <v>3277</v>
      </c>
      <c r="D153" s="466" t="s">
        <v>2781</v>
      </c>
      <c r="E153" s="467">
        <v>6.5</v>
      </c>
      <c r="F153" s="747">
        <v>7</v>
      </c>
      <c r="G153" s="747">
        <f t="shared" si="0"/>
        <v>45.5</v>
      </c>
      <c r="H153" s="469">
        <f t="shared" ref="H153:J153" si="144">F153*5</f>
        <v>35</v>
      </c>
      <c r="I153" s="469">
        <f t="shared" si="144"/>
        <v>227.5</v>
      </c>
      <c r="J153" s="469">
        <f t="shared" si="144"/>
        <v>175</v>
      </c>
      <c r="K153" s="469">
        <f t="shared" si="2"/>
        <v>1137.5</v>
      </c>
      <c r="L153" s="469">
        <f t="shared" si="3"/>
        <v>55</v>
      </c>
      <c r="M153" s="469">
        <f t="shared" si="4"/>
        <v>357.5</v>
      </c>
      <c r="N153" s="466" t="s">
        <v>3202</v>
      </c>
    </row>
    <row r="154" spans="1:14" ht="22.5" customHeight="1">
      <c r="A154" s="466">
        <v>142</v>
      </c>
      <c r="B154" s="466" t="s">
        <v>3108</v>
      </c>
      <c r="C154" s="466" t="s">
        <v>3278</v>
      </c>
      <c r="D154" s="466" t="s">
        <v>2685</v>
      </c>
      <c r="E154" s="467">
        <v>6.1</v>
      </c>
      <c r="F154" s="747">
        <v>7</v>
      </c>
      <c r="G154" s="747">
        <f t="shared" si="0"/>
        <v>42.699999999999996</v>
      </c>
      <c r="H154" s="469">
        <f t="shared" ref="H154:J154" si="145">F154*5</f>
        <v>35</v>
      </c>
      <c r="I154" s="469">
        <f t="shared" si="145"/>
        <v>213.49999999999997</v>
      </c>
      <c r="J154" s="469">
        <f t="shared" si="145"/>
        <v>175</v>
      </c>
      <c r="K154" s="469">
        <f t="shared" si="2"/>
        <v>1067.5</v>
      </c>
      <c r="L154" s="469">
        <f t="shared" si="3"/>
        <v>55</v>
      </c>
      <c r="M154" s="469">
        <f t="shared" si="4"/>
        <v>335.5</v>
      </c>
      <c r="N154" s="466" t="s">
        <v>3202</v>
      </c>
    </row>
    <row r="155" spans="1:14" ht="22.5" customHeight="1">
      <c r="A155" s="466">
        <v>143</v>
      </c>
      <c r="B155" s="466" t="s">
        <v>3108</v>
      </c>
      <c r="C155" s="466" t="s">
        <v>3279</v>
      </c>
      <c r="D155" s="466" t="s">
        <v>2685</v>
      </c>
      <c r="E155" s="467">
        <v>6.2</v>
      </c>
      <c r="F155" s="747">
        <v>7</v>
      </c>
      <c r="G155" s="747">
        <f t="shared" si="0"/>
        <v>43.4</v>
      </c>
      <c r="H155" s="469">
        <f t="shared" ref="H155:J155" si="146">F155*5</f>
        <v>35</v>
      </c>
      <c r="I155" s="469">
        <f t="shared" si="146"/>
        <v>217</v>
      </c>
      <c r="J155" s="469">
        <f t="shared" si="146"/>
        <v>175</v>
      </c>
      <c r="K155" s="469">
        <f t="shared" si="2"/>
        <v>1085</v>
      </c>
      <c r="L155" s="469">
        <f t="shared" si="3"/>
        <v>55</v>
      </c>
      <c r="M155" s="469">
        <f t="shared" si="4"/>
        <v>341</v>
      </c>
      <c r="N155" s="466" t="s">
        <v>3202</v>
      </c>
    </row>
    <row r="156" spans="1:14" ht="22.5" customHeight="1">
      <c r="A156" s="466">
        <v>144</v>
      </c>
      <c r="B156" s="466" t="s">
        <v>3108</v>
      </c>
      <c r="C156" s="466" t="s">
        <v>3280</v>
      </c>
      <c r="D156" s="466" t="s">
        <v>2722</v>
      </c>
      <c r="E156" s="467">
        <v>5.75</v>
      </c>
      <c r="F156" s="747">
        <v>7</v>
      </c>
      <c r="G156" s="747">
        <f t="shared" si="0"/>
        <v>40.25</v>
      </c>
      <c r="H156" s="469">
        <f t="shared" ref="H156:J156" si="147">F156*5</f>
        <v>35</v>
      </c>
      <c r="I156" s="469">
        <f t="shared" si="147"/>
        <v>201.25</v>
      </c>
      <c r="J156" s="469">
        <f t="shared" si="147"/>
        <v>175</v>
      </c>
      <c r="K156" s="469">
        <f t="shared" si="2"/>
        <v>1006.25</v>
      </c>
      <c r="L156" s="469">
        <f t="shared" si="3"/>
        <v>55</v>
      </c>
      <c r="M156" s="469">
        <f t="shared" si="4"/>
        <v>316.25</v>
      </c>
      <c r="N156" s="466" t="s">
        <v>3202</v>
      </c>
    </row>
    <row r="157" spans="1:14" ht="22.5" customHeight="1">
      <c r="A157" s="466">
        <v>145</v>
      </c>
      <c r="B157" s="466" t="s">
        <v>3108</v>
      </c>
      <c r="C157" s="466" t="s">
        <v>3281</v>
      </c>
      <c r="D157" s="466" t="s">
        <v>2722</v>
      </c>
      <c r="E157" s="467">
        <v>6.1</v>
      </c>
      <c r="F157" s="747">
        <v>7</v>
      </c>
      <c r="G157" s="747">
        <f t="shared" si="0"/>
        <v>42.699999999999996</v>
      </c>
      <c r="H157" s="469">
        <f t="shared" ref="H157:J157" si="148">F157*5</f>
        <v>35</v>
      </c>
      <c r="I157" s="469">
        <f t="shared" si="148"/>
        <v>213.49999999999997</v>
      </c>
      <c r="J157" s="469">
        <f t="shared" si="148"/>
        <v>175</v>
      </c>
      <c r="K157" s="469">
        <f t="shared" si="2"/>
        <v>1067.5</v>
      </c>
      <c r="L157" s="469">
        <f t="shared" si="3"/>
        <v>55</v>
      </c>
      <c r="M157" s="469">
        <f t="shared" si="4"/>
        <v>335.5</v>
      </c>
      <c r="N157" s="466" t="s">
        <v>3193</v>
      </c>
    </row>
    <row r="158" spans="1:14" ht="22.5" customHeight="1">
      <c r="A158" s="466">
        <v>146</v>
      </c>
      <c r="B158" s="466" t="s">
        <v>3108</v>
      </c>
      <c r="C158" s="466" t="s">
        <v>3282</v>
      </c>
      <c r="D158" s="466" t="s">
        <v>2707</v>
      </c>
      <c r="E158" s="467">
        <v>6.4</v>
      </c>
      <c r="F158" s="747">
        <v>7</v>
      </c>
      <c r="G158" s="747">
        <f t="shared" si="0"/>
        <v>44.800000000000004</v>
      </c>
      <c r="H158" s="469">
        <f t="shared" ref="H158:J158" si="149">F158*5</f>
        <v>35</v>
      </c>
      <c r="I158" s="469">
        <f t="shared" si="149"/>
        <v>224.00000000000003</v>
      </c>
      <c r="J158" s="469">
        <f t="shared" si="149"/>
        <v>175</v>
      </c>
      <c r="K158" s="469">
        <f t="shared" si="2"/>
        <v>1120</v>
      </c>
      <c r="L158" s="469">
        <f t="shared" si="3"/>
        <v>55</v>
      </c>
      <c r="M158" s="469">
        <f t="shared" si="4"/>
        <v>352</v>
      </c>
      <c r="N158" s="466" t="s">
        <v>3193</v>
      </c>
    </row>
    <row r="159" spans="1:14" ht="22.5" customHeight="1">
      <c r="A159" s="466">
        <v>147</v>
      </c>
      <c r="B159" s="466" t="s">
        <v>3108</v>
      </c>
      <c r="C159" s="466" t="s">
        <v>3283</v>
      </c>
      <c r="D159" s="466" t="s">
        <v>2497</v>
      </c>
      <c r="E159" s="467">
        <v>3.35</v>
      </c>
      <c r="F159" s="747">
        <v>7</v>
      </c>
      <c r="G159" s="747">
        <f t="shared" si="0"/>
        <v>23.45</v>
      </c>
      <c r="H159" s="469">
        <f t="shared" ref="H159:J159" si="150">F159*5</f>
        <v>35</v>
      </c>
      <c r="I159" s="469">
        <f t="shared" si="150"/>
        <v>117.25</v>
      </c>
      <c r="J159" s="469">
        <f t="shared" si="150"/>
        <v>175</v>
      </c>
      <c r="K159" s="469">
        <f t="shared" si="2"/>
        <v>586.25</v>
      </c>
      <c r="L159" s="469">
        <f t="shared" si="3"/>
        <v>55</v>
      </c>
      <c r="M159" s="469">
        <f t="shared" si="4"/>
        <v>184.25</v>
      </c>
      <c r="N159" s="466" t="s">
        <v>3284</v>
      </c>
    </row>
    <row r="160" spans="1:14" ht="22.5" customHeight="1">
      <c r="A160" s="466">
        <v>148</v>
      </c>
      <c r="B160" s="466" t="s">
        <v>3108</v>
      </c>
      <c r="C160" s="466" t="s">
        <v>3285</v>
      </c>
      <c r="D160" s="466" t="s">
        <v>2497</v>
      </c>
      <c r="E160" s="467">
        <v>3.35</v>
      </c>
      <c r="F160" s="747">
        <v>7</v>
      </c>
      <c r="G160" s="747">
        <f t="shared" si="0"/>
        <v>23.45</v>
      </c>
      <c r="H160" s="469">
        <f t="shared" ref="H160:J160" si="151">F160*5</f>
        <v>35</v>
      </c>
      <c r="I160" s="469">
        <f t="shared" si="151"/>
        <v>117.25</v>
      </c>
      <c r="J160" s="469">
        <f t="shared" si="151"/>
        <v>175</v>
      </c>
      <c r="K160" s="469">
        <f t="shared" si="2"/>
        <v>586.25</v>
      </c>
      <c r="L160" s="469">
        <f t="shared" si="3"/>
        <v>55</v>
      </c>
      <c r="M160" s="469">
        <f t="shared" si="4"/>
        <v>184.25</v>
      </c>
      <c r="N160" s="466" t="s">
        <v>3284</v>
      </c>
    </row>
    <row r="161" spans="1:14" ht="22.5" customHeight="1">
      <c r="A161" s="466">
        <v>149</v>
      </c>
      <c r="B161" s="466" t="s">
        <v>3108</v>
      </c>
      <c r="C161" s="466" t="s">
        <v>3286</v>
      </c>
      <c r="D161" s="466" t="s">
        <v>2712</v>
      </c>
      <c r="E161" s="467">
        <v>6</v>
      </c>
      <c r="F161" s="747">
        <v>7</v>
      </c>
      <c r="G161" s="747">
        <f t="shared" si="0"/>
        <v>42</v>
      </c>
      <c r="H161" s="469">
        <f t="shared" ref="H161:J161" si="152">F161*5</f>
        <v>35</v>
      </c>
      <c r="I161" s="469">
        <f t="shared" si="152"/>
        <v>210</v>
      </c>
      <c r="J161" s="469">
        <f t="shared" si="152"/>
        <v>175</v>
      </c>
      <c r="K161" s="469">
        <f t="shared" si="2"/>
        <v>1050</v>
      </c>
      <c r="L161" s="469">
        <f t="shared" si="3"/>
        <v>55</v>
      </c>
      <c r="M161" s="469">
        <f t="shared" si="4"/>
        <v>330</v>
      </c>
      <c r="N161" s="466" t="s">
        <v>3284</v>
      </c>
    </row>
    <row r="162" spans="1:14" ht="22.5" customHeight="1">
      <c r="A162" s="466">
        <v>150</v>
      </c>
      <c r="B162" s="466" t="s">
        <v>3108</v>
      </c>
      <c r="C162" s="466" t="s">
        <v>3287</v>
      </c>
      <c r="D162" s="466" t="s">
        <v>2663</v>
      </c>
      <c r="E162" s="467">
        <v>6.5</v>
      </c>
      <c r="F162" s="747">
        <v>7</v>
      </c>
      <c r="G162" s="747">
        <f t="shared" si="0"/>
        <v>45.5</v>
      </c>
      <c r="H162" s="469">
        <f t="shared" ref="H162:J162" si="153">F162*5</f>
        <v>35</v>
      </c>
      <c r="I162" s="469">
        <f t="shared" si="153"/>
        <v>227.5</v>
      </c>
      <c r="J162" s="469">
        <f t="shared" si="153"/>
        <v>175</v>
      </c>
      <c r="K162" s="469">
        <f t="shared" si="2"/>
        <v>1137.5</v>
      </c>
      <c r="L162" s="469">
        <f t="shared" si="3"/>
        <v>55</v>
      </c>
      <c r="M162" s="469">
        <f t="shared" si="4"/>
        <v>357.5</v>
      </c>
      <c r="N162" s="466" t="s">
        <v>3284</v>
      </c>
    </row>
    <row r="163" spans="1:14" ht="22.5" customHeight="1">
      <c r="A163" s="466">
        <v>151</v>
      </c>
      <c r="B163" s="466" t="s">
        <v>3108</v>
      </c>
      <c r="C163" s="466" t="s">
        <v>3288</v>
      </c>
      <c r="D163" s="466" t="s">
        <v>2685</v>
      </c>
      <c r="E163" s="467">
        <v>6</v>
      </c>
      <c r="F163" s="747">
        <v>7</v>
      </c>
      <c r="G163" s="747">
        <f t="shared" si="0"/>
        <v>42</v>
      </c>
      <c r="H163" s="469">
        <f t="shared" ref="H163:J163" si="154">F163*5</f>
        <v>35</v>
      </c>
      <c r="I163" s="469">
        <f t="shared" si="154"/>
        <v>210</v>
      </c>
      <c r="J163" s="469">
        <f t="shared" si="154"/>
        <v>175</v>
      </c>
      <c r="K163" s="469">
        <f t="shared" si="2"/>
        <v>1050</v>
      </c>
      <c r="L163" s="469">
        <f t="shared" si="3"/>
        <v>55</v>
      </c>
      <c r="M163" s="469">
        <f t="shared" si="4"/>
        <v>330</v>
      </c>
      <c r="N163" s="466" t="s">
        <v>3284</v>
      </c>
    </row>
    <row r="164" spans="1:14" ht="22.5" customHeight="1">
      <c r="A164" s="466">
        <v>152</v>
      </c>
      <c r="B164" s="466" t="s">
        <v>3108</v>
      </c>
      <c r="C164" s="466" t="s">
        <v>3289</v>
      </c>
      <c r="D164" s="466" t="s">
        <v>2478</v>
      </c>
      <c r="E164" s="467">
        <v>5</v>
      </c>
      <c r="F164" s="747">
        <v>7</v>
      </c>
      <c r="G164" s="747">
        <f t="shared" si="0"/>
        <v>35</v>
      </c>
      <c r="H164" s="469">
        <f t="shared" ref="H164:J164" si="155">F164*5</f>
        <v>35</v>
      </c>
      <c r="I164" s="469">
        <f t="shared" si="155"/>
        <v>175</v>
      </c>
      <c r="J164" s="469">
        <f t="shared" si="155"/>
        <v>175</v>
      </c>
      <c r="K164" s="469">
        <f t="shared" si="2"/>
        <v>875</v>
      </c>
      <c r="L164" s="469">
        <f t="shared" si="3"/>
        <v>55</v>
      </c>
      <c r="M164" s="469">
        <f t="shared" si="4"/>
        <v>275</v>
      </c>
      <c r="N164" s="466" t="s">
        <v>3181</v>
      </c>
    </row>
    <row r="165" spans="1:14" ht="22.5" customHeight="1">
      <c r="A165" s="466">
        <v>153</v>
      </c>
      <c r="B165" s="466" t="s">
        <v>3108</v>
      </c>
      <c r="C165" s="748" t="s">
        <v>3290</v>
      </c>
      <c r="D165" s="748" t="s">
        <v>2476</v>
      </c>
      <c r="E165" s="746">
        <v>3.3</v>
      </c>
      <c r="F165" s="747">
        <v>7</v>
      </c>
      <c r="G165" s="747">
        <f t="shared" si="0"/>
        <v>23.099999999999998</v>
      </c>
      <c r="H165" s="469">
        <f t="shared" ref="H165:J165" si="156">F165*5</f>
        <v>35</v>
      </c>
      <c r="I165" s="469">
        <f t="shared" si="156"/>
        <v>115.49999999999999</v>
      </c>
      <c r="J165" s="469">
        <f t="shared" si="156"/>
        <v>175</v>
      </c>
      <c r="K165" s="469">
        <f t="shared" si="2"/>
        <v>577.5</v>
      </c>
      <c r="L165" s="469">
        <f t="shared" si="3"/>
        <v>55</v>
      </c>
      <c r="M165" s="469">
        <f t="shared" si="4"/>
        <v>181.5</v>
      </c>
      <c r="N165" s="466" t="s">
        <v>3202</v>
      </c>
    </row>
    <row r="166" spans="1:14" ht="22.5" customHeight="1">
      <c r="A166" s="466">
        <v>154</v>
      </c>
      <c r="B166" s="466" t="s">
        <v>3108</v>
      </c>
      <c r="C166" s="748" t="s">
        <v>3291</v>
      </c>
      <c r="D166" s="748" t="s">
        <v>2478</v>
      </c>
      <c r="E166" s="746">
        <v>3.25</v>
      </c>
      <c r="F166" s="747">
        <v>7</v>
      </c>
      <c r="G166" s="747">
        <f t="shared" si="0"/>
        <v>22.75</v>
      </c>
      <c r="H166" s="469">
        <f t="shared" ref="H166:J166" si="157">F166*5</f>
        <v>35</v>
      </c>
      <c r="I166" s="469">
        <f t="shared" si="157"/>
        <v>113.75</v>
      </c>
      <c r="J166" s="469">
        <f t="shared" si="157"/>
        <v>175</v>
      </c>
      <c r="K166" s="469">
        <f t="shared" si="2"/>
        <v>568.75</v>
      </c>
      <c r="L166" s="469">
        <f t="shared" si="3"/>
        <v>55</v>
      </c>
      <c r="M166" s="469">
        <f t="shared" si="4"/>
        <v>178.75</v>
      </c>
      <c r="N166" s="466" t="s">
        <v>3202</v>
      </c>
    </row>
    <row r="167" spans="1:14" ht="22.5" customHeight="1">
      <c r="A167" s="466">
        <v>155</v>
      </c>
      <c r="B167" s="466" t="s">
        <v>3108</v>
      </c>
      <c r="C167" s="748" t="s">
        <v>3292</v>
      </c>
      <c r="D167" s="748" t="s">
        <v>2735</v>
      </c>
      <c r="E167" s="746">
        <v>3.6</v>
      </c>
      <c r="F167" s="747">
        <v>7</v>
      </c>
      <c r="G167" s="747">
        <f t="shared" si="0"/>
        <v>25.2</v>
      </c>
      <c r="H167" s="469">
        <f t="shared" ref="H167:J167" si="158">F167*5</f>
        <v>35</v>
      </c>
      <c r="I167" s="469">
        <f t="shared" si="158"/>
        <v>126</v>
      </c>
      <c r="J167" s="469">
        <f t="shared" si="158"/>
        <v>175</v>
      </c>
      <c r="K167" s="469">
        <f t="shared" si="2"/>
        <v>630</v>
      </c>
      <c r="L167" s="469">
        <f t="shared" si="3"/>
        <v>55</v>
      </c>
      <c r="M167" s="469">
        <f t="shared" si="4"/>
        <v>198</v>
      </c>
      <c r="N167" s="466" t="s">
        <v>3202</v>
      </c>
    </row>
    <row r="168" spans="1:14" ht="22.5" customHeight="1">
      <c r="A168" s="466">
        <v>156</v>
      </c>
      <c r="B168" s="466" t="s">
        <v>3108</v>
      </c>
      <c r="C168" s="748" t="s">
        <v>3293</v>
      </c>
      <c r="D168" s="748" t="s">
        <v>2663</v>
      </c>
      <c r="E168" s="746">
        <v>3.5</v>
      </c>
      <c r="F168" s="747">
        <v>7</v>
      </c>
      <c r="G168" s="747">
        <f t="shared" si="0"/>
        <v>24.5</v>
      </c>
      <c r="H168" s="469">
        <f t="shared" ref="H168:J168" si="159">F168*5</f>
        <v>35</v>
      </c>
      <c r="I168" s="469">
        <f t="shared" si="159"/>
        <v>122.5</v>
      </c>
      <c r="J168" s="469">
        <f t="shared" si="159"/>
        <v>175</v>
      </c>
      <c r="K168" s="469">
        <f t="shared" si="2"/>
        <v>612.5</v>
      </c>
      <c r="L168" s="469">
        <f t="shared" si="3"/>
        <v>55</v>
      </c>
      <c r="M168" s="469">
        <f t="shared" si="4"/>
        <v>192.5</v>
      </c>
      <c r="N168" s="466" t="s">
        <v>3202</v>
      </c>
    </row>
    <row r="169" spans="1:14" ht="22.5" customHeight="1">
      <c r="A169" s="466">
        <v>157</v>
      </c>
      <c r="B169" s="466" t="s">
        <v>3108</v>
      </c>
      <c r="C169" s="748" t="s">
        <v>3294</v>
      </c>
      <c r="D169" s="748" t="s">
        <v>3295</v>
      </c>
      <c r="E169" s="746">
        <v>3.2</v>
      </c>
      <c r="F169" s="747">
        <v>7</v>
      </c>
      <c r="G169" s="747">
        <f t="shared" si="0"/>
        <v>22.400000000000002</v>
      </c>
      <c r="H169" s="469">
        <f t="shared" ref="H169:J169" si="160">F169*5</f>
        <v>35</v>
      </c>
      <c r="I169" s="469">
        <f t="shared" si="160"/>
        <v>112.00000000000001</v>
      </c>
      <c r="J169" s="469">
        <f t="shared" si="160"/>
        <v>175</v>
      </c>
      <c r="K169" s="469">
        <f t="shared" si="2"/>
        <v>560</v>
      </c>
      <c r="L169" s="469">
        <f t="shared" si="3"/>
        <v>55</v>
      </c>
      <c r="M169" s="469">
        <f t="shared" si="4"/>
        <v>176</v>
      </c>
      <c r="N169" s="466" t="s">
        <v>3202</v>
      </c>
    </row>
    <row r="170" spans="1:14" ht="22.5" customHeight="1">
      <c r="A170" s="466">
        <v>158</v>
      </c>
      <c r="B170" s="466" t="s">
        <v>3108</v>
      </c>
      <c r="C170" s="748" t="s">
        <v>3296</v>
      </c>
      <c r="D170" s="748" t="s">
        <v>3297</v>
      </c>
      <c r="E170" s="746">
        <v>3.5</v>
      </c>
      <c r="F170" s="747">
        <v>7</v>
      </c>
      <c r="G170" s="747">
        <f t="shared" si="0"/>
        <v>24.5</v>
      </c>
      <c r="H170" s="469">
        <f t="shared" ref="H170:J170" si="161">F170*5</f>
        <v>35</v>
      </c>
      <c r="I170" s="469">
        <f t="shared" si="161"/>
        <v>122.5</v>
      </c>
      <c r="J170" s="469">
        <f t="shared" si="161"/>
        <v>175</v>
      </c>
      <c r="K170" s="469">
        <f t="shared" si="2"/>
        <v>612.5</v>
      </c>
      <c r="L170" s="469">
        <f t="shared" si="3"/>
        <v>55</v>
      </c>
      <c r="M170" s="469">
        <f t="shared" si="4"/>
        <v>192.5</v>
      </c>
      <c r="N170" s="466" t="s">
        <v>3205</v>
      </c>
    </row>
    <row r="171" spans="1:14" ht="22.5" customHeight="1">
      <c r="A171" s="466">
        <v>159</v>
      </c>
      <c r="B171" s="466" t="s">
        <v>3108</v>
      </c>
      <c r="C171" s="748" t="s">
        <v>3298</v>
      </c>
      <c r="D171" s="748" t="s">
        <v>3299</v>
      </c>
      <c r="E171" s="746">
        <v>3.5</v>
      </c>
      <c r="F171" s="747">
        <v>7</v>
      </c>
      <c r="G171" s="747">
        <f t="shared" si="0"/>
        <v>24.5</v>
      </c>
      <c r="H171" s="469">
        <f t="shared" ref="H171:J171" si="162">F171*5</f>
        <v>35</v>
      </c>
      <c r="I171" s="469">
        <f t="shared" si="162"/>
        <v>122.5</v>
      </c>
      <c r="J171" s="469">
        <f t="shared" si="162"/>
        <v>175</v>
      </c>
      <c r="K171" s="469">
        <f t="shared" si="2"/>
        <v>612.5</v>
      </c>
      <c r="L171" s="469">
        <f t="shared" si="3"/>
        <v>55</v>
      </c>
      <c r="M171" s="469">
        <f t="shared" si="4"/>
        <v>192.5</v>
      </c>
      <c r="N171" s="466" t="s">
        <v>3205</v>
      </c>
    </row>
    <row r="172" spans="1:14" ht="22.5" customHeight="1">
      <c r="A172" s="466">
        <v>160</v>
      </c>
      <c r="B172" s="466" t="s">
        <v>3108</v>
      </c>
      <c r="C172" s="748" t="s">
        <v>3300</v>
      </c>
      <c r="D172" s="748" t="s">
        <v>2476</v>
      </c>
      <c r="E172" s="746">
        <v>3.1</v>
      </c>
      <c r="F172" s="747">
        <v>7</v>
      </c>
      <c r="G172" s="747">
        <f t="shared" si="0"/>
        <v>21.7</v>
      </c>
      <c r="H172" s="469">
        <f t="shared" ref="H172:J172" si="163">F172*5</f>
        <v>35</v>
      </c>
      <c r="I172" s="469">
        <f t="shared" si="163"/>
        <v>108.5</v>
      </c>
      <c r="J172" s="469">
        <f t="shared" si="163"/>
        <v>175</v>
      </c>
      <c r="K172" s="469">
        <f t="shared" si="2"/>
        <v>542.5</v>
      </c>
      <c r="L172" s="469">
        <f t="shared" si="3"/>
        <v>55</v>
      </c>
      <c r="M172" s="469">
        <f t="shared" si="4"/>
        <v>170.5</v>
      </c>
      <c r="N172" s="466" t="s">
        <v>3205</v>
      </c>
    </row>
    <row r="173" spans="1:14" ht="22.5" customHeight="1">
      <c r="A173" s="466">
        <v>161</v>
      </c>
      <c r="B173" s="466" t="s">
        <v>3108</v>
      </c>
      <c r="C173" s="748" t="s">
        <v>3301</v>
      </c>
      <c r="D173" s="748" t="s">
        <v>3302</v>
      </c>
      <c r="E173" s="746">
        <v>3.5</v>
      </c>
      <c r="F173" s="747">
        <v>7</v>
      </c>
      <c r="G173" s="747">
        <f t="shared" si="0"/>
        <v>24.5</v>
      </c>
      <c r="H173" s="469">
        <f t="shared" ref="H173:J173" si="164">F173*5</f>
        <v>35</v>
      </c>
      <c r="I173" s="469">
        <f t="shared" si="164"/>
        <v>122.5</v>
      </c>
      <c r="J173" s="469">
        <f t="shared" si="164"/>
        <v>175</v>
      </c>
      <c r="K173" s="469">
        <f t="shared" si="2"/>
        <v>612.5</v>
      </c>
      <c r="L173" s="469">
        <f t="shared" si="3"/>
        <v>55</v>
      </c>
      <c r="M173" s="469">
        <f t="shared" si="4"/>
        <v>192.5</v>
      </c>
      <c r="N173" s="466" t="s">
        <v>3205</v>
      </c>
    </row>
    <row r="174" spans="1:14" ht="22.5" customHeight="1">
      <c r="A174" s="466">
        <v>162</v>
      </c>
      <c r="B174" s="466" t="s">
        <v>3108</v>
      </c>
      <c r="C174" s="748" t="s">
        <v>3303</v>
      </c>
      <c r="D174" s="748" t="s">
        <v>3295</v>
      </c>
      <c r="E174" s="746">
        <v>3.35</v>
      </c>
      <c r="F174" s="747">
        <v>7</v>
      </c>
      <c r="G174" s="747">
        <f t="shared" si="0"/>
        <v>23.45</v>
      </c>
      <c r="H174" s="469">
        <f t="shared" ref="H174:J174" si="165">F174*5</f>
        <v>35</v>
      </c>
      <c r="I174" s="469">
        <f t="shared" si="165"/>
        <v>117.25</v>
      </c>
      <c r="J174" s="469">
        <f t="shared" si="165"/>
        <v>175</v>
      </c>
      <c r="K174" s="469">
        <f t="shared" si="2"/>
        <v>586.25</v>
      </c>
      <c r="L174" s="469">
        <f t="shared" si="3"/>
        <v>55</v>
      </c>
      <c r="M174" s="469">
        <f t="shared" si="4"/>
        <v>184.25</v>
      </c>
      <c r="N174" s="466" t="s">
        <v>3193</v>
      </c>
    </row>
    <row r="175" spans="1:14" ht="22.5" customHeight="1">
      <c r="A175" s="466">
        <v>163</v>
      </c>
      <c r="B175" s="466" t="s">
        <v>3108</v>
      </c>
      <c r="C175" s="748" t="s">
        <v>3304</v>
      </c>
      <c r="D175" s="748" t="s">
        <v>3195</v>
      </c>
      <c r="E175" s="746">
        <v>3.4</v>
      </c>
      <c r="F175" s="747">
        <v>7</v>
      </c>
      <c r="G175" s="747">
        <f t="shared" si="0"/>
        <v>23.8</v>
      </c>
      <c r="H175" s="469">
        <f t="shared" ref="H175:J175" si="166">F175*5</f>
        <v>35</v>
      </c>
      <c r="I175" s="469">
        <f t="shared" si="166"/>
        <v>119</v>
      </c>
      <c r="J175" s="469">
        <f t="shared" si="166"/>
        <v>175</v>
      </c>
      <c r="K175" s="469">
        <f t="shared" si="2"/>
        <v>595</v>
      </c>
      <c r="L175" s="469">
        <f t="shared" si="3"/>
        <v>55</v>
      </c>
      <c r="M175" s="469">
        <f t="shared" si="4"/>
        <v>187</v>
      </c>
      <c r="N175" s="466" t="s">
        <v>3193</v>
      </c>
    </row>
    <row r="176" spans="1:14" ht="22.5" customHeight="1">
      <c r="A176" s="466">
        <v>164</v>
      </c>
      <c r="B176" s="466" t="s">
        <v>3108</v>
      </c>
      <c r="C176" s="748" t="s">
        <v>3305</v>
      </c>
      <c r="D176" s="748" t="s">
        <v>2735</v>
      </c>
      <c r="E176" s="746">
        <v>3.35</v>
      </c>
      <c r="F176" s="747">
        <v>7</v>
      </c>
      <c r="G176" s="747">
        <f t="shared" si="0"/>
        <v>23.45</v>
      </c>
      <c r="H176" s="469">
        <f t="shared" ref="H176:J176" si="167">F176*5</f>
        <v>35</v>
      </c>
      <c r="I176" s="469">
        <f t="shared" si="167"/>
        <v>117.25</v>
      </c>
      <c r="J176" s="469">
        <f t="shared" si="167"/>
        <v>175</v>
      </c>
      <c r="K176" s="469">
        <f t="shared" si="2"/>
        <v>586.25</v>
      </c>
      <c r="L176" s="469">
        <f t="shared" si="3"/>
        <v>55</v>
      </c>
      <c r="M176" s="469">
        <f t="shared" si="4"/>
        <v>184.25</v>
      </c>
      <c r="N176" s="466" t="s">
        <v>3306</v>
      </c>
    </row>
    <row r="177" spans="1:14" ht="22.5" customHeight="1">
      <c r="A177" s="466">
        <v>165</v>
      </c>
      <c r="B177" s="466" t="s">
        <v>3108</v>
      </c>
      <c r="C177" s="748" t="s">
        <v>3307</v>
      </c>
      <c r="D177" s="748" t="s">
        <v>2476</v>
      </c>
      <c r="E177" s="746">
        <v>3.3</v>
      </c>
      <c r="F177" s="747">
        <v>7</v>
      </c>
      <c r="G177" s="747">
        <f t="shared" si="0"/>
        <v>23.099999999999998</v>
      </c>
      <c r="H177" s="469">
        <f t="shared" ref="H177:J177" si="168">F177*5</f>
        <v>35</v>
      </c>
      <c r="I177" s="469">
        <f t="shared" si="168"/>
        <v>115.49999999999999</v>
      </c>
      <c r="J177" s="469">
        <f t="shared" si="168"/>
        <v>175</v>
      </c>
      <c r="K177" s="469">
        <f t="shared" si="2"/>
        <v>577.5</v>
      </c>
      <c r="L177" s="469">
        <f t="shared" si="3"/>
        <v>55</v>
      </c>
      <c r="M177" s="469">
        <f t="shared" si="4"/>
        <v>181.5</v>
      </c>
      <c r="N177" s="466" t="s">
        <v>3306</v>
      </c>
    </row>
    <row r="178" spans="1:14" ht="22.5" customHeight="1">
      <c r="A178" s="466">
        <v>166</v>
      </c>
      <c r="B178" s="466" t="s">
        <v>3108</v>
      </c>
      <c r="C178" s="748" t="s">
        <v>3308</v>
      </c>
      <c r="D178" s="748" t="s">
        <v>2478</v>
      </c>
      <c r="E178" s="746">
        <v>3.3</v>
      </c>
      <c r="F178" s="747">
        <v>7</v>
      </c>
      <c r="G178" s="747">
        <f t="shared" si="0"/>
        <v>23.099999999999998</v>
      </c>
      <c r="H178" s="469">
        <f t="shared" ref="H178:J178" si="169">F178*5</f>
        <v>35</v>
      </c>
      <c r="I178" s="469">
        <f t="shared" si="169"/>
        <v>115.49999999999999</v>
      </c>
      <c r="J178" s="469">
        <f t="shared" si="169"/>
        <v>175</v>
      </c>
      <c r="K178" s="469">
        <f t="shared" si="2"/>
        <v>577.5</v>
      </c>
      <c r="L178" s="469">
        <f t="shared" si="3"/>
        <v>55</v>
      </c>
      <c r="M178" s="469">
        <f t="shared" si="4"/>
        <v>181.5</v>
      </c>
      <c r="N178" s="466" t="s">
        <v>3167</v>
      </c>
    </row>
    <row r="179" spans="1:14" ht="22.5" customHeight="1">
      <c r="A179" s="466">
        <v>167</v>
      </c>
      <c r="B179" s="466" t="s">
        <v>3108</v>
      </c>
      <c r="C179" s="748" t="s">
        <v>3309</v>
      </c>
      <c r="D179" s="748" t="s">
        <v>2722</v>
      </c>
      <c r="E179" s="746">
        <v>3.5</v>
      </c>
      <c r="F179" s="747">
        <v>7</v>
      </c>
      <c r="G179" s="747">
        <f t="shared" si="0"/>
        <v>24.5</v>
      </c>
      <c r="H179" s="469">
        <f t="shared" ref="H179:J179" si="170">F179*5</f>
        <v>35</v>
      </c>
      <c r="I179" s="469">
        <f t="shared" si="170"/>
        <v>122.5</v>
      </c>
      <c r="J179" s="469">
        <f t="shared" si="170"/>
        <v>175</v>
      </c>
      <c r="K179" s="469">
        <f t="shared" si="2"/>
        <v>612.5</v>
      </c>
      <c r="L179" s="469">
        <f t="shared" si="3"/>
        <v>55</v>
      </c>
      <c r="M179" s="469">
        <f t="shared" si="4"/>
        <v>192.5</v>
      </c>
      <c r="N179" s="466" t="s">
        <v>3167</v>
      </c>
    </row>
    <row r="180" spans="1:14" ht="22.5" customHeight="1">
      <c r="A180" s="466">
        <v>168</v>
      </c>
      <c r="B180" s="466" t="s">
        <v>3108</v>
      </c>
      <c r="C180" s="748" t="s">
        <v>3310</v>
      </c>
      <c r="D180" s="748" t="s">
        <v>2722</v>
      </c>
      <c r="E180" s="746">
        <v>3.5</v>
      </c>
      <c r="F180" s="747">
        <v>7</v>
      </c>
      <c r="G180" s="747">
        <f t="shared" si="0"/>
        <v>24.5</v>
      </c>
      <c r="H180" s="469">
        <f t="shared" ref="H180:J180" si="171">F180*5</f>
        <v>35</v>
      </c>
      <c r="I180" s="469">
        <f t="shared" si="171"/>
        <v>122.5</v>
      </c>
      <c r="J180" s="469">
        <f t="shared" si="171"/>
        <v>175</v>
      </c>
      <c r="K180" s="469">
        <f t="shared" si="2"/>
        <v>612.5</v>
      </c>
      <c r="L180" s="469">
        <f t="shared" si="3"/>
        <v>55</v>
      </c>
      <c r="M180" s="469">
        <f t="shared" si="4"/>
        <v>192.5</v>
      </c>
      <c r="N180" s="469" t="s">
        <v>3167</v>
      </c>
    </row>
    <row r="181" spans="1:14" ht="22.5" customHeight="1">
      <c r="A181" s="466">
        <v>169</v>
      </c>
      <c r="B181" s="466" t="s">
        <v>3108</v>
      </c>
      <c r="C181" s="748" t="s">
        <v>3311</v>
      </c>
      <c r="D181" s="748" t="s">
        <v>3175</v>
      </c>
      <c r="E181" s="746">
        <v>5</v>
      </c>
      <c r="F181" s="747">
        <v>7</v>
      </c>
      <c r="G181" s="747">
        <f t="shared" si="0"/>
        <v>35</v>
      </c>
      <c r="H181" s="469">
        <f t="shared" ref="H181:J181" si="172">F181*5</f>
        <v>35</v>
      </c>
      <c r="I181" s="469">
        <f t="shared" si="172"/>
        <v>175</v>
      </c>
      <c r="J181" s="469">
        <f t="shared" si="172"/>
        <v>175</v>
      </c>
      <c r="K181" s="469">
        <f t="shared" si="2"/>
        <v>875</v>
      </c>
      <c r="L181" s="469">
        <f t="shared" si="3"/>
        <v>55</v>
      </c>
      <c r="M181" s="469">
        <f t="shared" si="4"/>
        <v>275</v>
      </c>
      <c r="N181" s="749" t="s">
        <v>3117</v>
      </c>
    </row>
    <row r="182" spans="1:14" ht="22.5" customHeight="1">
      <c r="A182" s="466">
        <v>170</v>
      </c>
      <c r="B182" s="466" t="s">
        <v>3108</v>
      </c>
      <c r="C182" s="748" t="s">
        <v>3312</v>
      </c>
      <c r="D182" s="748" t="s">
        <v>2685</v>
      </c>
      <c r="E182" s="746">
        <v>5</v>
      </c>
      <c r="F182" s="747">
        <v>7</v>
      </c>
      <c r="G182" s="747">
        <f t="shared" si="0"/>
        <v>35</v>
      </c>
      <c r="H182" s="469">
        <f t="shared" ref="H182:J182" si="173">F182*5</f>
        <v>35</v>
      </c>
      <c r="I182" s="469">
        <f t="shared" si="173"/>
        <v>175</v>
      </c>
      <c r="J182" s="469">
        <f t="shared" si="173"/>
        <v>175</v>
      </c>
      <c r="K182" s="469">
        <f t="shared" si="2"/>
        <v>875</v>
      </c>
      <c r="L182" s="469">
        <f t="shared" si="3"/>
        <v>55</v>
      </c>
      <c r="M182" s="469">
        <f t="shared" si="4"/>
        <v>275</v>
      </c>
      <c r="N182" s="749" t="s">
        <v>3110</v>
      </c>
    </row>
    <row r="183" spans="1:14" ht="22.5" customHeight="1">
      <c r="A183" s="466">
        <v>171</v>
      </c>
      <c r="B183" s="466" t="s">
        <v>3108</v>
      </c>
      <c r="C183" s="748" t="s">
        <v>3313</v>
      </c>
      <c r="D183" s="748" t="s">
        <v>3314</v>
      </c>
      <c r="E183" s="746">
        <v>5</v>
      </c>
      <c r="F183" s="747">
        <v>7</v>
      </c>
      <c r="G183" s="747">
        <f t="shared" si="0"/>
        <v>35</v>
      </c>
      <c r="H183" s="469">
        <f t="shared" ref="H183:J183" si="174">F183*5</f>
        <v>35</v>
      </c>
      <c r="I183" s="469">
        <f t="shared" si="174"/>
        <v>175</v>
      </c>
      <c r="J183" s="469">
        <f t="shared" si="174"/>
        <v>175</v>
      </c>
      <c r="K183" s="469">
        <f t="shared" si="2"/>
        <v>875</v>
      </c>
      <c r="L183" s="469">
        <f t="shared" si="3"/>
        <v>55</v>
      </c>
      <c r="M183" s="469">
        <f t="shared" si="4"/>
        <v>275</v>
      </c>
      <c r="N183" s="749" t="s">
        <v>3110</v>
      </c>
    </row>
    <row r="184" spans="1:14" ht="22.5" customHeight="1">
      <c r="A184" s="466">
        <v>172</v>
      </c>
      <c r="B184" s="466" t="s">
        <v>3108</v>
      </c>
      <c r="C184" s="748" t="s">
        <v>3315</v>
      </c>
      <c r="D184" s="748" t="s">
        <v>2761</v>
      </c>
      <c r="E184" s="746">
        <v>3.5</v>
      </c>
      <c r="F184" s="747">
        <v>7</v>
      </c>
      <c r="G184" s="747">
        <f t="shared" si="0"/>
        <v>24.5</v>
      </c>
      <c r="H184" s="469">
        <f t="shared" ref="H184:J184" si="175">F184*5</f>
        <v>35</v>
      </c>
      <c r="I184" s="469">
        <f t="shared" si="175"/>
        <v>122.5</v>
      </c>
      <c r="J184" s="469">
        <f t="shared" si="175"/>
        <v>175</v>
      </c>
      <c r="K184" s="469">
        <f t="shared" si="2"/>
        <v>612.5</v>
      </c>
      <c r="L184" s="469">
        <f t="shared" si="3"/>
        <v>55</v>
      </c>
      <c r="M184" s="469">
        <f t="shared" si="4"/>
        <v>192.5</v>
      </c>
      <c r="N184" s="749" t="s">
        <v>3110</v>
      </c>
    </row>
    <row r="185" spans="1:14" ht="22.5" customHeight="1">
      <c r="A185" s="466">
        <v>173</v>
      </c>
      <c r="B185" s="466" t="s">
        <v>3108</v>
      </c>
      <c r="C185" s="748" t="s">
        <v>3316</v>
      </c>
      <c r="D185" s="748" t="s">
        <v>2761</v>
      </c>
      <c r="E185" s="746">
        <v>3.5</v>
      </c>
      <c r="F185" s="747">
        <v>7</v>
      </c>
      <c r="G185" s="747">
        <f t="shared" si="0"/>
        <v>24.5</v>
      </c>
      <c r="H185" s="469">
        <f t="shared" ref="H185:J185" si="176">F185*5</f>
        <v>35</v>
      </c>
      <c r="I185" s="469">
        <f t="shared" si="176"/>
        <v>122.5</v>
      </c>
      <c r="J185" s="469">
        <f t="shared" si="176"/>
        <v>175</v>
      </c>
      <c r="K185" s="469">
        <f t="shared" si="2"/>
        <v>612.5</v>
      </c>
      <c r="L185" s="469">
        <f t="shared" si="3"/>
        <v>55</v>
      </c>
      <c r="M185" s="469">
        <f t="shared" si="4"/>
        <v>192.5</v>
      </c>
      <c r="N185" s="749" t="s">
        <v>3110</v>
      </c>
    </row>
    <row r="186" spans="1:14" ht="22.5" customHeight="1">
      <c r="A186" s="466">
        <v>174</v>
      </c>
      <c r="B186" s="466" t="s">
        <v>3108</v>
      </c>
      <c r="C186" s="748" t="s">
        <v>3317</v>
      </c>
      <c r="D186" s="748" t="s">
        <v>2712</v>
      </c>
      <c r="E186" s="746">
        <v>5</v>
      </c>
      <c r="F186" s="747">
        <v>7</v>
      </c>
      <c r="G186" s="747">
        <f t="shared" si="0"/>
        <v>35</v>
      </c>
      <c r="H186" s="469">
        <f t="shared" ref="H186:J186" si="177">F186*5</f>
        <v>35</v>
      </c>
      <c r="I186" s="469">
        <f t="shared" si="177"/>
        <v>175</v>
      </c>
      <c r="J186" s="469">
        <f t="shared" si="177"/>
        <v>175</v>
      </c>
      <c r="K186" s="469">
        <f t="shared" si="2"/>
        <v>875</v>
      </c>
      <c r="L186" s="469">
        <f t="shared" si="3"/>
        <v>55</v>
      </c>
      <c r="M186" s="469">
        <f t="shared" si="4"/>
        <v>275</v>
      </c>
      <c r="N186" s="749" t="s">
        <v>3110</v>
      </c>
    </row>
    <row r="187" spans="1:14" ht="22.5" customHeight="1">
      <c r="A187" s="466">
        <v>175</v>
      </c>
      <c r="B187" s="466" t="s">
        <v>3108</v>
      </c>
      <c r="C187" s="748" t="s">
        <v>3318</v>
      </c>
      <c r="D187" s="748" t="s">
        <v>3123</v>
      </c>
      <c r="E187" s="746">
        <v>5</v>
      </c>
      <c r="F187" s="747">
        <v>7</v>
      </c>
      <c r="G187" s="747">
        <f t="shared" si="0"/>
        <v>35</v>
      </c>
      <c r="H187" s="469">
        <f t="shared" ref="H187:J187" si="178">F187*5</f>
        <v>35</v>
      </c>
      <c r="I187" s="469">
        <f t="shared" si="178"/>
        <v>175</v>
      </c>
      <c r="J187" s="469">
        <f t="shared" si="178"/>
        <v>175</v>
      </c>
      <c r="K187" s="469">
        <f t="shared" si="2"/>
        <v>875</v>
      </c>
      <c r="L187" s="469">
        <f t="shared" si="3"/>
        <v>55</v>
      </c>
      <c r="M187" s="469">
        <f t="shared" si="4"/>
        <v>275</v>
      </c>
      <c r="N187" s="749" t="s">
        <v>3110</v>
      </c>
    </row>
    <row r="188" spans="1:14" ht="22.5" customHeight="1">
      <c r="A188" s="466">
        <v>176</v>
      </c>
      <c r="B188" s="466" t="s">
        <v>3108</v>
      </c>
      <c r="C188" s="748" t="s">
        <v>3319</v>
      </c>
      <c r="D188" s="748" t="s">
        <v>2722</v>
      </c>
      <c r="E188" s="746">
        <v>5</v>
      </c>
      <c r="F188" s="747">
        <v>7</v>
      </c>
      <c r="G188" s="747">
        <f t="shared" si="0"/>
        <v>35</v>
      </c>
      <c r="H188" s="469">
        <f t="shared" ref="H188:J188" si="179">F188*5</f>
        <v>35</v>
      </c>
      <c r="I188" s="469">
        <f t="shared" si="179"/>
        <v>175</v>
      </c>
      <c r="J188" s="469">
        <f t="shared" si="179"/>
        <v>175</v>
      </c>
      <c r="K188" s="469">
        <f t="shared" si="2"/>
        <v>875</v>
      </c>
      <c r="L188" s="469">
        <f t="shared" si="3"/>
        <v>55</v>
      </c>
      <c r="M188" s="469">
        <f t="shared" si="4"/>
        <v>275</v>
      </c>
      <c r="N188" s="749" t="s">
        <v>3110</v>
      </c>
    </row>
    <row r="189" spans="1:14" ht="22.5" customHeight="1">
      <c r="A189" s="466">
        <v>177</v>
      </c>
      <c r="B189" s="466" t="s">
        <v>3108</v>
      </c>
      <c r="C189" s="748" t="s">
        <v>3320</v>
      </c>
      <c r="D189" s="748" t="s">
        <v>2478</v>
      </c>
      <c r="E189" s="746">
        <v>3</v>
      </c>
      <c r="F189" s="747">
        <v>7</v>
      </c>
      <c r="G189" s="747">
        <f t="shared" si="0"/>
        <v>21</v>
      </c>
      <c r="H189" s="469">
        <f t="shared" ref="H189:J189" si="180">F189*5</f>
        <v>35</v>
      </c>
      <c r="I189" s="469">
        <f t="shared" si="180"/>
        <v>105</v>
      </c>
      <c r="J189" s="469">
        <f t="shared" si="180"/>
        <v>175</v>
      </c>
      <c r="K189" s="469">
        <f t="shared" si="2"/>
        <v>525</v>
      </c>
      <c r="L189" s="469">
        <f t="shared" si="3"/>
        <v>55</v>
      </c>
      <c r="M189" s="469">
        <f t="shared" si="4"/>
        <v>165</v>
      </c>
      <c r="N189" s="749" t="s">
        <v>3110</v>
      </c>
    </row>
    <row r="190" spans="1:14" ht="22.5" customHeight="1">
      <c r="A190" s="466">
        <v>178</v>
      </c>
      <c r="B190" s="466" t="s">
        <v>3108</v>
      </c>
      <c r="C190" s="748" t="s">
        <v>3321</v>
      </c>
      <c r="D190" s="748" t="s">
        <v>2478</v>
      </c>
      <c r="E190" s="746">
        <v>3</v>
      </c>
      <c r="F190" s="747">
        <v>7</v>
      </c>
      <c r="G190" s="747">
        <f t="shared" si="0"/>
        <v>21</v>
      </c>
      <c r="H190" s="469">
        <f t="shared" ref="H190:J190" si="181">F190*5</f>
        <v>35</v>
      </c>
      <c r="I190" s="469">
        <f t="shared" si="181"/>
        <v>105</v>
      </c>
      <c r="J190" s="469">
        <f t="shared" si="181"/>
        <v>175</v>
      </c>
      <c r="K190" s="469">
        <f t="shared" si="2"/>
        <v>525</v>
      </c>
      <c r="L190" s="469">
        <f t="shared" si="3"/>
        <v>55</v>
      </c>
      <c r="M190" s="469">
        <f t="shared" si="4"/>
        <v>165</v>
      </c>
      <c r="N190" s="749" t="s">
        <v>3110</v>
      </c>
    </row>
    <row r="191" spans="1:14" ht="22.5" customHeight="1">
      <c r="A191" s="466">
        <v>179</v>
      </c>
      <c r="B191" s="466" t="s">
        <v>3108</v>
      </c>
      <c r="C191" s="748" t="s">
        <v>3322</v>
      </c>
      <c r="D191" s="748" t="s">
        <v>3175</v>
      </c>
      <c r="E191" s="746">
        <v>3</v>
      </c>
      <c r="F191" s="747">
        <v>7</v>
      </c>
      <c r="G191" s="747">
        <f t="shared" si="0"/>
        <v>21</v>
      </c>
      <c r="H191" s="469">
        <f t="shared" ref="H191:J191" si="182">F191*5</f>
        <v>35</v>
      </c>
      <c r="I191" s="469">
        <f t="shared" si="182"/>
        <v>105</v>
      </c>
      <c r="J191" s="469">
        <f t="shared" si="182"/>
        <v>175</v>
      </c>
      <c r="K191" s="469">
        <f t="shared" si="2"/>
        <v>525</v>
      </c>
      <c r="L191" s="469">
        <f t="shared" si="3"/>
        <v>55</v>
      </c>
      <c r="M191" s="469">
        <f t="shared" si="4"/>
        <v>165</v>
      </c>
      <c r="N191" s="466" t="s">
        <v>3245</v>
      </c>
    </row>
    <row r="192" spans="1:14" ht="22.5" customHeight="1">
      <c r="A192" s="466">
        <v>180</v>
      </c>
      <c r="B192" s="466" t="s">
        <v>3108</v>
      </c>
      <c r="C192" s="748" t="s">
        <v>3323</v>
      </c>
      <c r="D192" s="748" t="s">
        <v>3175</v>
      </c>
      <c r="E192" s="746">
        <v>3</v>
      </c>
      <c r="F192" s="747">
        <v>7</v>
      </c>
      <c r="G192" s="747">
        <f t="shared" si="0"/>
        <v>21</v>
      </c>
      <c r="H192" s="469">
        <f t="shared" ref="H192:J192" si="183">F192*5</f>
        <v>35</v>
      </c>
      <c r="I192" s="469">
        <f t="shared" si="183"/>
        <v>105</v>
      </c>
      <c r="J192" s="469">
        <f t="shared" si="183"/>
        <v>175</v>
      </c>
      <c r="K192" s="469">
        <f t="shared" si="2"/>
        <v>525</v>
      </c>
      <c r="L192" s="469">
        <f t="shared" si="3"/>
        <v>55</v>
      </c>
      <c r="M192" s="469">
        <f t="shared" si="4"/>
        <v>165</v>
      </c>
      <c r="N192" s="466" t="s">
        <v>3245</v>
      </c>
    </row>
    <row r="193" spans="1:14" ht="22.5" customHeight="1">
      <c r="A193" s="466">
        <v>181</v>
      </c>
      <c r="B193" s="466" t="s">
        <v>3108</v>
      </c>
      <c r="C193" s="748" t="s">
        <v>3324</v>
      </c>
      <c r="D193" s="748" t="s">
        <v>3295</v>
      </c>
      <c r="E193" s="746">
        <v>3.2</v>
      </c>
      <c r="F193" s="747">
        <v>7</v>
      </c>
      <c r="G193" s="747">
        <f t="shared" si="0"/>
        <v>22.400000000000002</v>
      </c>
      <c r="H193" s="469">
        <f t="shared" ref="H193:J193" si="184">F193*5</f>
        <v>35</v>
      </c>
      <c r="I193" s="469">
        <f t="shared" si="184"/>
        <v>112.00000000000001</v>
      </c>
      <c r="J193" s="469">
        <f t="shared" si="184"/>
        <v>175</v>
      </c>
      <c r="K193" s="469">
        <f t="shared" si="2"/>
        <v>560</v>
      </c>
      <c r="L193" s="469">
        <f t="shared" si="3"/>
        <v>55</v>
      </c>
      <c r="M193" s="469">
        <f t="shared" si="4"/>
        <v>176</v>
      </c>
      <c r="N193" s="466" t="s">
        <v>3245</v>
      </c>
    </row>
    <row r="194" spans="1:14" ht="22.5" customHeight="1">
      <c r="A194" s="466">
        <v>182</v>
      </c>
      <c r="B194" s="466" t="s">
        <v>3108</v>
      </c>
      <c r="C194" s="748" t="s">
        <v>3325</v>
      </c>
      <c r="D194" s="748" t="s">
        <v>3295</v>
      </c>
      <c r="E194" s="746">
        <v>3.2</v>
      </c>
      <c r="F194" s="747">
        <v>7</v>
      </c>
      <c r="G194" s="747">
        <f t="shared" si="0"/>
        <v>22.400000000000002</v>
      </c>
      <c r="H194" s="469">
        <f t="shared" ref="H194:J194" si="185">F194*5</f>
        <v>35</v>
      </c>
      <c r="I194" s="469">
        <f t="shared" si="185"/>
        <v>112.00000000000001</v>
      </c>
      <c r="J194" s="469">
        <f t="shared" si="185"/>
        <v>175</v>
      </c>
      <c r="K194" s="469">
        <f t="shared" si="2"/>
        <v>560</v>
      </c>
      <c r="L194" s="469">
        <f t="shared" si="3"/>
        <v>55</v>
      </c>
      <c r="M194" s="469">
        <f t="shared" si="4"/>
        <v>176</v>
      </c>
      <c r="N194" s="466" t="s">
        <v>3245</v>
      </c>
    </row>
    <row r="195" spans="1:14" ht="22.5" customHeight="1">
      <c r="A195" s="466">
        <v>183</v>
      </c>
      <c r="B195" s="466" t="s">
        <v>3108</v>
      </c>
      <c r="C195" s="748" t="s">
        <v>3326</v>
      </c>
      <c r="D195" s="748" t="s">
        <v>2722</v>
      </c>
      <c r="E195" s="746">
        <v>3.5</v>
      </c>
      <c r="F195" s="747">
        <v>7</v>
      </c>
      <c r="G195" s="747">
        <f t="shared" si="0"/>
        <v>24.5</v>
      </c>
      <c r="H195" s="469">
        <f t="shared" ref="H195:J195" si="186">F195*5</f>
        <v>35</v>
      </c>
      <c r="I195" s="469">
        <f t="shared" si="186"/>
        <v>122.5</v>
      </c>
      <c r="J195" s="469">
        <f t="shared" si="186"/>
        <v>175</v>
      </c>
      <c r="K195" s="469">
        <f t="shared" si="2"/>
        <v>612.5</v>
      </c>
      <c r="L195" s="469">
        <f t="shared" si="3"/>
        <v>55</v>
      </c>
      <c r="M195" s="469">
        <f t="shared" si="4"/>
        <v>192.5</v>
      </c>
      <c r="N195" s="466" t="s">
        <v>3234</v>
      </c>
    </row>
    <row r="196" spans="1:14" ht="22.5" customHeight="1">
      <c r="A196" s="466">
        <v>184</v>
      </c>
      <c r="B196" s="466" t="s">
        <v>3108</v>
      </c>
      <c r="C196" s="748" t="s">
        <v>3327</v>
      </c>
      <c r="D196" s="748" t="s">
        <v>2722</v>
      </c>
      <c r="E196" s="746">
        <v>3.5</v>
      </c>
      <c r="F196" s="747">
        <v>7</v>
      </c>
      <c r="G196" s="747">
        <f t="shared" si="0"/>
        <v>24.5</v>
      </c>
      <c r="H196" s="469">
        <f t="shared" ref="H196:J196" si="187">F196*5</f>
        <v>35</v>
      </c>
      <c r="I196" s="469">
        <f t="shared" si="187"/>
        <v>122.5</v>
      </c>
      <c r="J196" s="469">
        <f t="shared" si="187"/>
        <v>175</v>
      </c>
      <c r="K196" s="469">
        <f t="shared" si="2"/>
        <v>612.5</v>
      </c>
      <c r="L196" s="469">
        <f t="shared" si="3"/>
        <v>55</v>
      </c>
      <c r="M196" s="469">
        <f t="shared" si="4"/>
        <v>192.5</v>
      </c>
      <c r="N196" s="466" t="s">
        <v>3234</v>
      </c>
    </row>
    <row r="197" spans="1:14" ht="22.5" customHeight="1">
      <c r="A197" s="466">
        <v>185</v>
      </c>
      <c r="B197" s="466" t="s">
        <v>3108</v>
      </c>
      <c r="C197" s="748" t="s">
        <v>3328</v>
      </c>
      <c r="D197" s="748" t="s">
        <v>2663</v>
      </c>
      <c r="E197" s="746">
        <v>3.5</v>
      </c>
      <c r="F197" s="747">
        <v>7</v>
      </c>
      <c r="G197" s="747">
        <f t="shared" si="0"/>
        <v>24.5</v>
      </c>
      <c r="H197" s="469">
        <f t="shared" ref="H197:J197" si="188">F197*5</f>
        <v>35</v>
      </c>
      <c r="I197" s="469">
        <f t="shared" si="188"/>
        <v>122.5</v>
      </c>
      <c r="J197" s="469">
        <f t="shared" si="188"/>
        <v>175</v>
      </c>
      <c r="K197" s="469">
        <f t="shared" si="2"/>
        <v>612.5</v>
      </c>
      <c r="L197" s="469">
        <f t="shared" si="3"/>
        <v>55</v>
      </c>
      <c r="M197" s="469">
        <f t="shared" si="4"/>
        <v>192.5</v>
      </c>
      <c r="N197" s="466" t="s">
        <v>3234</v>
      </c>
    </row>
    <row r="198" spans="1:14" ht="22.5" customHeight="1">
      <c r="A198" s="466">
        <v>186</v>
      </c>
      <c r="B198" s="466" t="s">
        <v>3108</v>
      </c>
      <c r="C198" s="748" t="s">
        <v>3329</v>
      </c>
      <c r="D198" s="748" t="s">
        <v>2663</v>
      </c>
      <c r="E198" s="746">
        <v>3.5</v>
      </c>
      <c r="F198" s="747">
        <v>7</v>
      </c>
      <c r="G198" s="747">
        <f t="shared" si="0"/>
        <v>24.5</v>
      </c>
      <c r="H198" s="469">
        <f t="shared" ref="H198:J198" si="189">F198*5</f>
        <v>35</v>
      </c>
      <c r="I198" s="469">
        <f t="shared" si="189"/>
        <v>122.5</v>
      </c>
      <c r="J198" s="469">
        <f t="shared" si="189"/>
        <v>175</v>
      </c>
      <c r="K198" s="469">
        <f t="shared" si="2"/>
        <v>612.5</v>
      </c>
      <c r="L198" s="469">
        <f t="shared" si="3"/>
        <v>55</v>
      </c>
      <c r="M198" s="469">
        <f t="shared" si="4"/>
        <v>192.5</v>
      </c>
      <c r="N198" s="466" t="s">
        <v>3234</v>
      </c>
    </row>
    <row r="199" spans="1:14" ht="22.5" customHeight="1">
      <c r="A199" s="466">
        <v>187</v>
      </c>
      <c r="B199" s="466" t="s">
        <v>3108</v>
      </c>
      <c r="C199" s="748" t="s">
        <v>3330</v>
      </c>
      <c r="D199" s="748" t="s">
        <v>2735</v>
      </c>
      <c r="E199" s="746">
        <v>2.7</v>
      </c>
      <c r="F199" s="747">
        <v>7</v>
      </c>
      <c r="G199" s="747">
        <f t="shared" si="0"/>
        <v>18.900000000000002</v>
      </c>
      <c r="H199" s="469">
        <f t="shared" ref="H199:J199" si="190">F199*5</f>
        <v>35</v>
      </c>
      <c r="I199" s="469">
        <f t="shared" si="190"/>
        <v>94.500000000000014</v>
      </c>
      <c r="J199" s="469">
        <f t="shared" si="190"/>
        <v>175</v>
      </c>
      <c r="K199" s="469">
        <f t="shared" si="2"/>
        <v>472.50000000000006</v>
      </c>
      <c r="L199" s="469">
        <f t="shared" si="3"/>
        <v>55</v>
      </c>
      <c r="M199" s="469">
        <f t="shared" si="4"/>
        <v>148.5</v>
      </c>
      <c r="N199" s="466" t="s">
        <v>3234</v>
      </c>
    </row>
    <row r="200" spans="1:14" ht="22.5" customHeight="1">
      <c r="A200" s="466">
        <v>188</v>
      </c>
      <c r="B200" s="466" t="s">
        <v>3108</v>
      </c>
      <c r="C200" s="748" t="s">
        <v>3331</v>
      </c>
      <c r="D200" s="748" t="s">
        <v>2735</v>
      </c>
      <c r="E200" s="746">
        <v>2.7</v>
      </c>
      <c r="F200" s="747">
        <v>7</v>
      </c>
      <c r="G200" s="747">
        <f t="shared" si="0"/>
        <v>18.900000000000002</v>
      </c>
      <c r="H200" s="469">
        <f t="shared" ref="H200:J200" si="191">F200*5</f>
        <v>35</v>
      </c>
      <c r="I200" s="469">
        <f t="shared" si="191"/>
        <v>94.500000000000014</v>
      </c>
      <c r="J200" s="469">
        <f t="shared" si="191"/>
        <v>175</v>
      </c>
      <c r="K200" s="469">
        <f t="shared" si="2"/>
        <v>472.50000000000006</v>
      </c>
      <c r="L200" s="469">
        <f t="shared" si="3"/>
        <v>55</v>
      </c>
      <c r="M200" s="469">
        <f t="shared" si="4"/>
        <v>148.5</v>
      </c>
      <c r="N200" s="466" t="s">
        <v>3234</v>
      </c>
    </row>
    <row r="201" spans="1:14" ht="22.5" customHeight="1">
      <c r="A201" s="466">
        <v>189</v>
      </c>
      <c r="B201" s="466" t="s">
        <v>3108</v>
      </c>
      <c r="C201" s="748" t="s">
        <v>3332</v>
      </c>
      <c r="D201" s="748" t="s">
        <v>3175</v>
      </c>
      <c r="E201" s="746">
        <v>3</v>
      </c>
      <c r="F201" s="747">
        <v>7</v>
      </c>
      <c r="G201" s="747">
        <f t="shared" si="0"/>
        <v>21</v>
      </c>
      <c r="H201" s="469">
        <f t="shared" ref="H201:J201" si="192">F201*5</f>
        <v>35</v>
      </c>
      <c r="I201" s="469">
        <f t="shared" si="192"/>
        <v>105</v>
      </c>
      <c r="J201" s="469">
        <f t="shared" si="192"/>
        <v>175</v>
      </c>
      <c r="K201" s="469">
        <f t="shared" si="2"/>
        <v>525</v>
      </c>
      <c r="L201" s="469">
        <f t="shared" si="3"/>
        <v>55</v>
      </c>
      <c r="M201" s="469">
        <f t="shared" si="4"/>
        <v>165</v>
      </c>
      <c r="N201" s="466" t="s">
        <v>3263</v>
      </c>
    </row>
    <row r="202" spans="1:14" ht="22.5" customHeight="1">
      <c r="A202" s="466">
        <v>190</v>
      </c>
      <c r="B202" s="466" t="s">
        <v>3108</v>
      </c>
      <c r="C202" s="748" t="s">
        <v>3333</v>
      </c>
      <c r="D202" s="748" t="s">
        <v>3175</v>
      </c>
      <c r="E202" s="746">
        <v>3</v>
      </c>
      <c r="F202" s="747">
        <v>7</v>
      </c>
      <c r="G202" s="747">
        <f t="shared" si="0"/>
        <v>21</v>
      </c>
      <c r="H202" s="469">
        <f t="shared" ref="H202:J202" si="193">F202*5</f>
        <v>35</v>
      </c>
      <c r="I202" s="469">
        <f t="shared" si="193"/>
        <v>105</v>
      </c>
      <c r="J202" s="469">
        <f t="shared" si="193"/>
        <v>175</v>
      </c>
      <c r="K202" s="469">
        <f t="shared" si="2"/>
        <v>525</v>
      </c>
      <c r="L202" s="469">
        <f t="shared" si="3"/>
        <v>55</v>
      </c>
      <c r="M202" s="469">
        <f t="shared" si="4"/>
        <v>165</v>
      </c>
      <c r="N202" s="466" t="s">
        <v>3263</v>
      </c>
    </row>
    <row r="203" spans="1:14" ht="22.5" customHeight="1">
      <c r="A203" s="466">
        <v>191</v>
      </c>
      <c r="B203" s="466" t="s">
        <v>3108</v>
      </c>
      <c r="C203" s="748" t="s">
        <v>3334</v>
      </c>
      <c r="D203" s="748" t="s">
        <v>2497</v>
      </c>
      <c r="E203" s="746">
        <v>3.2</v>
      </c>
      <c r="F203" s="747">
        <v>7</v>
      </c>
      <c r="G203" s="747">
        <f t="shared" si="0"/>
        <v>22.400000000000002</v>
      </c>
      <c r="H203" s="469">
        <f t="shared" ref="H203:J203" si="194">F203*5</f>
        <v>35</v>
      </c>
      <c r="I203" s="469">
        <f t="shared" si="194"/>
        <v>112.00000000000001</v>
      </c>
      <c r="J203" s="469">
        <f t="shared" si="194"/>
        <v>175</v>
      </c>
      <c r="K203" s="469">
        <f t="shared" si="2"/>
        <v>560</v>
      </c>
      <c r="L203" s="469">
        <f t="shared" si="3"/>
        <v>55</v>
      </c>
      <c r="M203" s="469">
        <f t="shared" si="4"/>
        <v>176</v>
      </c>
      <c r="N203" s="466" t="s">
        <v>3263</v>
      </c>
    </row>
    <row r="204" spans="1:14" ht="22.5" customHeight="1">
      <c r="A204" s="466">
        <v>192</v>
      </c>
      <c r="B204" s="466" t="s">
        <v>3108</v>
      </c>
      <c r="C204" s="748" t="s">
        <v>3335</v>
      </c>
      <c r="D204" s="748" t="s">
        <v>2497</v>
      </c>
      <c r="E204" s="746">
        <v>3.2</v>
      </c>
      <c r="F204" s="747">
        <v>7</v>
      </c>
      <c r="G204" s="747">
        <f t="shared" si="0"/>
        <v>22.400000000000002</v>
      </c>
      <c r="H204" s="469">
        <f t="shared" ref="H204:J204" si="195">F204*5</f>
        <v>35</v>
      </c>
      <c r="I204" s="469">
        <f t="shared" si="195"/>
        <v>112.00000000000001</v>
      </c>
      <c r="J204" s="469">
        <f t="shared" si="195"/>
        <v>175</v>
      </c>
      <c r="K204" s="469">
        <f t="shared" si="2"/>
        <v>560</v>
      </c>
      <c r="L204" s="469">
        <f t="shared" si="3"/>
        <v>55</v>
      </c>
      <c r="M204" s="469">
        <f t="shared" si="4"/>
        <v>176</v>
      </c>
      <c r="N204" s="466" t="s">
        <v>3263</v>
      </c>
    </row>
    <row r="205" spans="1:14" ht="22.5" customHeight="1">
      <c r="A205" s="466">
        <v>193</v>
      </c>
      <c r="B205" s="466" t="s">
        <v>3108</v>
      </c>
      <c r="C205" s="748" t="s">
        <v>3336</v>
      </c>
      <c r="D205" s="748" t="s">
        <v>2712</v>
      </c>
      <c r="E205" s="746">
        <v>3</v>
      </c>
      <c r="F205" s="747">
        <v>7</v>
      </c>
      <c r="G205" s="747">
        <f t="shared" si="0"/>
        <v>21</v>
      </c>
      <c r="H205" s="469">
        <f t="shared" ref="H205:J205" si="196">F205*5</f>
        <v>35</v>
      </c>
      <c r="I205" s="469">
        <f t="shared" si="196"/>
        <v>105</v>
      </c>
      <c r="J205" s="469">
        <f t="shared" si="196"/>
        <v>175</v>
      </c>
      <c r="K205" s="469">
        <f t="shared" si="2"/>
        <v>525</v>
      </c>
      <c r="L205" s="469">
        <f t="shared" si="3"/>
        <v>55</v>
      </c>
      <c r="M205" s="469">
        <f t="shared" si="4"/>
        <v>165</v>
      </c>
      <c r="N205" s="466" t="s">
        <v>3284</v>
      </c>
    </row>
    <row r="206" spans="1:14" ht="22.5" customHeight="1">
      <c r="A206" s="466">
        <v>194</v>
      </c>
      <c r="B206" s="466" t="s">
        <v>3108</v>
      </c>
      <c r="C206" s="748" t="s">
        <v>3337</v>
      </c>
      <c r="D206" s="748" t="s">
        <v>2712</v>
      </c>
      <c r="E206" s="746">
        <v>3</v>
      </c>
      <c r="F206" s="747">
        <v>7</v>
      </c>
      <c r="G206" s="747">
        <f t="shared" si="0"/>
        <v>21</v>
      </c>
      <c r="H206" s="469">
        <f t="shared" ref="H206:J206" si="197">F206*5</f>
        <v>35</v>
      </c>
      <c r="I206" s="469">
        <f t="shared" si="197"/>
        <v>105</v>
      </c>
      <c r="J206" s="469">
        <f t="shared" si="197"/>
        <v>175</v>
      </c>
      <c r="K206" s="469">
        <f t="shared" si="2"/>
        <v>525</v>
      </c>
      <c r="L206" s="469">
        <f t="shared" si="3"/>
        <v>55</v>
      </c>
      <c r="M206" s="469">
        <f t="shared" si="4"/>
        <v>165</v>
      </c>
      <c r="N206" s="466" t="s">
        <v>3284</v>
      </c>
    </row>
    <row r="207" spans="1:14" ht="22.5" customHeight="1">
      <c r="A207" s="466">
        <v>195</v>
      </c>
      <c r="B207" s="466" t="s">
        <v>3108</v>
      </c>
      <c r="C207" s="748" t="s">
        <v>3338</v>
      </c>
      <c r="D207" s="748" t="s">
        <v>2685</v>
      </c>
      <c r="E207" s="746">
        <v>3.2</v>
      </c>
      <c r="F207" s="747">
        <v>7</v>
      </c>
      <c r="G207" s="747">
        <f t="shared" si="0"/>
        <v>22.400000000000002</v>
      </c>
      <c r="H207" s="469">
        <f t="shared" ref="H207:J207" si="198">F207*5</f>
        <v>35</v>
      </c>
      <c r="I207" s="469">
        <f t="shared" si="198"/>
        <v>112.00000000000001</v>
      </c>
      <c r="J207" s="469">
        <f t="shared" si="198"/>
        <v>175</v>
      </c>
      <c r="K207" s="469">
        <f t="shared" si="2"/>
        <v>560</v>
      </c>
      <c r="L207" s="469">
        <f t="shared" si="3"/>
        <v>55</v>
      </c>
      <c r="M207" s="469">
        <f t="shared" si="4"/>
        <v>176</v>
      </c>
      <c r="N207" s="466" t="s">
        <v>3284</v>
      </c>
    </row>
    <row r="208" spans="1:14" ht="22.5" customHeight="1">
      <c r="A208" s="466">
        <v>196</v>
      </c>
      <c r="B208" s="466" t="s">
        <v>3108</v>
      </c>
      <c r="C208" s="748" t="s">
        <v>3339</v>
      </c>
      <c r="D208" s="748" t="s">
        <v>2685</v>
      </c>
      <c r="E208" s="746">
        <v>3.2</v>
      </c>
      <c r="F208" s="747">
        <v>7</v>
      </c>
      <c r="G208" s="747">
        <f t="shared" si="0"/>
        <v>22.400000000000002</v>
      </c>
      <c r="H208" s="469">
        <f t="shared" ref="H208:J208" si="199">F208*5</f>
        <v>35</v>
      </c>
      <c r="I208" s="469">
        <f t="shared" si="199"/>
        <v>112.00000000000001</v>
      </c>
      <c r="J208" s="469">
        <f t="shared" si="199"/>
        <v>175</v>
      </c>
      <c r="K208" s="469">
        <f t="shared" si="2"/>
        <v>560</v>
      </c>
      <c r="L208" s="469">
        <f t="shared" si="3"/>
        <v>55</v>
      </c>
      <c r="M208" s="469">
        <f t="shared" si="4"/>
        <v>176</v>
      </c>
      <c r="N208" s="466" t="s">
        <v>3284</v>
      </c>
    </row>
    <row r="209" spans="1:14" ht="22.5" customHeight="1">
      <c r="A209" s="466">
        <v>197</v>
      </c>
      <c r="B209" s="466" t="s">
        <v>3108</v>
      </c>
      <c r="C209" s="748" t="s">
        <v>3340</v>
      </c>
      <c r="D209" s="748" t="s">
        <v>2731</v>
      </c>
      <c r="E209" s="746">
        <v>5</v>
      </c>
      <c r="F209" s="747">
        <v>7</v>
      </c>
      <c r="G209" s="747">
        <f t="shared" si="0"/>
        <v>35</v>
      </c>
      <c r="H209" s="469">
        <f t="shared" ref="H209:J209" si="200">F209*5</f>
        <v>35</v>
      </c>
      <c r="I209" s="469">
        <f t="shared" si="200"/>
        <v>175</v>
      </c>
      <c r="J209" s="469">
        <f t="shared" si="200"/>
        <v>175</v>
      </c>
      <c r="K209" s="469">
        <f t="shared" si="2"/>
        <v>875</v>
      </c>
      <c r="L209" s="469">
        <f t="shared" si="3"/>
        <v>55</v>
      </c>
      <c r="M209" s="469">
        <f t="shared" si="4"/>
        <v>275</v>
      </c>
      <c r="N209" s="466">
        <v>7393</v>
      </c>
    </row>
    <row r="210" spans="1:14" ht="22.5" customHeight="1">
      <c r="A210" s="466">
        <v>198</v>
      </c>
      <c r="B210" s="466" t="s">
        <v>3108</v>
      </c>
      <c r="C210" s="748" t="s">
        <v>3341</v>
      </c>
      <c r="D210" s="748" t="s">
        <v>2685</v>
      </c>
      <c r="E210" s="746">
        <v>5</v>
      </c>
      <c r="F210" s="747">
        <v>7</v>
      </c>
      <c r="G210" s="747">
        <f t="shared" si="0"/>
        <v>35</v>
      </c>
      <c r="H210" s="469">
        <f t="shared" ref="H210:J210" si="201">F210*5</f>
        <v>35</v>
      </c>
      <c r="I210" s="469">
        <f t="shared" si="201"/>
        <v>175</v>
      </c>
      <c r="J210" s="469">
        <f t="shared" si="201"/>
        <v>175</v>
      </c>
      <c r="K210" s="469">
        <f t="shared" si="2"/>
        <v>875</v>
      </c>
      <c r="L210" s="469">
        <f t="shared" si="3"/>
        <v>55</v>
      </c>
      <c r="M210" s="469">
        <f t="shared" si="4"/>
        <v>275</v>
      </c>
      <c r="N210" s="466">
        <v>7393</v>
      </c>
    </row>
    <row r="211" spans="1:14" ht="22.5" customHeight="1">
      <c r="A211" s="466">
        <v>199</v>
      </c>
      <c r="B211" s="466" t="s">
        <v>3108</v>
      </c>
      <c r="C211" s="748" t="s">
        <v>3342</v>
      </c>
      <c r="D211" s="748" t="s">
        <v>2735</v>
      </c>
      <c r="E211" s="746">
        <v>5</v>
      </c>
      <c r="F211" s="747">
        <v>7</v>
      </c>
      <c r="G211" s="747">
        <f t="shared" si="0"/>
        <v>35</v>
      </c>
      <c r="H211" s="469">
        <f t="shared" ref="H211:J211" si="202">F211*5</f>
        <v>35</v>
      </c>
      <c r="I211" s="469">
        <f t="shared" si="202"/>
        <v>175</v>
      </c>
      <c r="J211" s="469">
        <f t="shared" si="202"/>
        <v>175</v>
      </c>
      <c r="K211" s="469">
        <f t="shared" si="2"/>
        <v>875</v>
      </c>
      <c r="L211" s="469">
        <f t="shared" si="3"/>
        <v>55</v>
      </c>
      <c r="M211" s="469">
        <f t="shared" si="4"/>
        <v>275</v>
      </c>
      <c r="N211" s="466">
        <v>7393</v>
      </c>
    </row>
    <row r="212" spans="1:14" ht="22.5" customHeight="1">
      <c r="A212" s="466">
        <v>200</v>
      </c>
      <c r="B212" s="466" t="s">
        <v>3108</v>
      </c>
      <c r="C212" s="748" t="s">
        <v>3343</v>
      </c>
      <c r="D212" s="748" t="s">
        <v>2497</v>
      </c>
      <c r="E212" s="746">
        <v>5</v>
      </c>
      <c r="F212" s="747">
        <v>7</v>
      </c>
      <c r="G212" s="747">
        <f t="shared" si="0"/>
        <v>35</v>
      </c>
      <c r="H212" s="469">
        <f t="shared" ref="H212:J212" si="203">F212*5</f>
        <v>35</v>
      </c>
      <c r="I212" s="469">
        <f t="shared" si="203"/>
        <v>175</v>
      </c>
      <c r="J212" s="469">
        <f t="shared" si="203"/>
        <v>175</v>
      </c>
      <c r="K212" s="469">
        <f t="shared" si="2"/>
        <v>875</v>
      </c>
      <c r="L212" s="469">
        <f t="shared" si="3"/>
        <v>55</v>
      </c>
      <c r="M212" s="469">
        <f t="shared" si="4"/>
        <v>275</v>
      </c>
      <c r="N212" s="466">
        <v>7393</v>
      </c>
    </row>
    <row r="213" spans="1:14" ht="22.5" customHeight="1">
      <c r="A213" s="466">
        <v>201</v>
      </c>
      <c r="B213" s="466" t="s">
        <v>3108</v>
      </c>
      <c r="C213" s="748" t="s">
        <v>3344</v>
      </c>
      <c r="D213" s="748" t="s">
        <v>3345</v>
      </c>
      <c r="E213" s="746">
        <v>3.5</v>
      </c>
      <c r="F213" s="747">
        <v>7</v>
      </c>
      <c r="G213" s="747">
        <v>35</v>
      </c>
      <c r="H213" s="469">
        <f t="shared" ref="H213:J213" si="204">F213*5</f>
        <v>35</v>
      </c>
      <c r="I213" s="469">
        <f t="shared" si="204"/>
        <v>175</v>
      </c>
      <c r="J213" s="469">
        <f t="shared" si="204"/>
        <v>175</v>
      </c>
      <c r="K213" s="469">
        <f t="shared" si="2"/>
        <v>612.5</v>
      </c>
      <c r="L213" s="469">
        <f t="shared" si="3"/>
        <v>55</v>
      </c>
      <c r="M213" s="469">
        <f t="shared" si="4"/>
        <v>192.5</v>
      </c>
      <c r="N213" s="469">
        <v>7393</v>
      </c>
    </row>
    <row r="214" spans="1:14" ht="13.8">
      <c r="A214" s="750"/>
      <c r="B214" s="1002" t="s">
        <v>318</v>
      </c>
      <c r="C214" s="932"/>
      <c r="D214" s="751">
        <f>COUNTA(D13:D213)</f>
        <v>201</v>
      </c>
      <c r="E214" s="751">
        <f>SUM(E12:E213)</f>
        <v>862.30000000000018</v>
      </c>
      <c r="F214" s="750"/>
      <c r="G214" s="752">
        <f>SUM(G12:G213)</f>
        <v>6046.5999999999985</v>
      </c>
      <c r="H214" s="750"/>
      <c r="I214" s="753">
        <f>SUM(I12:I213)</f>
        <v>30233</v>
      </c>
      <c r="J214" s="754"/>
      <c r="K214" s="755"/>
      <c r="L214" s="755"/>
      <c r="M214" s="755"/>
      <c r="N214" s="755"/>
    </row>
    <row r="215" spans="1:14" ht="13.8">
      <c r="A215" s="756"/>
      <c r="B215" s="741"/>
      <c r="C215" s="741"/>
      <c r="D215" s="756"/>
      <c r="E215" s="741"/>
      <c r="F215" s="756"/>
      <c r="G215" s="757"/>
      <c r="H215" s="756"/>
      <c r="I215" s="758"/>
      <c r="J215" s="759"/>
      <c r="K215" s="760"/>
      <c r="L215" s="760"/>
      <c r="M215" s="760"/>
      <c r="N215" s="760"/>
    </row>
    <row r="216" spans="1:14" ht="13.8">
      <c r="A216" s="756"/>
      <c r="B216" s="741"/>
      <c r="C216" s="741"/>
      <c r="D216" s="756"/>
      <c r="E216" s="741"/>
      <c r="F216" s="756"/>
      <c r="G216" s="757"/>
      <c r="H216" s="756"/>
      <c r="I216" s="758"/>
      <c r="J216" s="759"/>
      <c r="K216" s="760"/>
      <c r="L216" s="760"/>
      <c r="M216" s="760"/>
      <c r="N216" s="760"/>
    </row>
    <row r="217" spans="1:14" ht="44.4">
      <c r="A217" s="1000" t="s">
        <v>57</v>
      </c>
      <c r="B217" s="931"/>
      <c r="C217" s="931"/>
      <c r="D217" s="931"/>
      <c r="E217" s="931"/>
      <c r="F217" s="931"/>
      <c r="G217" s="931"/>
      <c r="H217" s="931"/>
      <c r="I217" s="931"/>
      <c r="J217" s="931"/>
      <c r="K217" s="931"/>
      <c r="L217" s="931"/>
      <c r="M217" s="931"/>
      <c r="N217" s="932"/>
    </row>
    <row r="218" spans="1:14" ht="22.5" customHeight="1">
      <c r="A218" s="473" t="s">
        <v>165</v>
      </c>
      <c r="B218" s="490" t="s">
        <v>166</v>
      </c>
      <c r="C218" s="490" t="s">
        <v>167</v>
      </c>
      <c r="D218" s="741" t="s">
        <v>168</v>
      </c>
      <c r="E218" s="741" t="s">
        <v>169</v>
      </c>
      <c r="F218" s="742" t="s">
        <v>3346</v>
      </c>
      <c r="G218" s="743" t="s">
        <v>3347</v>
      </c>
      <c r="H218" s="744" t="s">
        <v>3348</v>
      </c>
      <c r="I218" s="744" t="s">
        <v>3349</v>
      </c>
      <c r="J218" s="745" t="s">
        <v>3350</v>
      </c>
      <c r="K218" s="745" t="s">
        <v>3351</v>
      </c>
      <c r="L218" s="431" t="s">
        <v>175</v>
      </c>
      <c r="M218" s="431" t="s">
        <v>3352</v>
      </c>
      <c r="N218" s="333" t="s">
        <v>3107</v>
      </c>
    </row>
    <row r="219" spans="1:14" ht="22.5" customHeight="1">
      <c r="A219" s="761">
        <v>202</v>
      </c>
      <c r="B219" s="761" t="s">
        <v>3353</v>
      </c>
      <c r="C219" s="466" t="s">
        <v>3354</v>
      </c>
      <c r="D219" s="466" t="s">
        <v>3355</v>
      </c>
      <c r="E219" s="762">
        <v>7</v>
      </c>
      <c r="F219" s="747">
        <v>12</v>
      </c>
      <c r="G219" s="747">
        <f t="shared" ref="G219:G285" si="205">F219*E219</f>
        <v>84</v>
      </c>
      <c r="H219" s="469">
        <f t="shared" ref="H219:J219" si="206">F219*5</f>
        <v>60</v>
      </c>
      <c r="I219" s="469">
        <f t="shared" si="206"/>
        <v>420</v>
      </c>
      <c r="J219" s="469">
        <f t="shared" si="206"/>
        <v>300</v>
      </c>
      <c r="K219" s="469">
        <f t="shared" ref="K219:K285" si="207">J219*E219</f>
        <v>2100</v>
      </c>
      <c r="L219" s="469">
        <f t="shared" ref="L219:L285" si="208">H219*1.5</f>
        <v>90</v>
      </c>
      <c r="M219" s="469">
        <f t="shared" ref="M219:M285" si="209">L219*E219</f>
        <v>630</v>
      </c>
      <c r="N219" s="469"/>
    </row>
    <row r="220" spans="1:14" ht="22.5" customHeight="1">
      <c r="A220" s="761">
        <v>203</v>
      </c>
      <c r="B220" s="761" t="s">
        <v>3353</v>
      </c>
      <c r="C220" s="466" t="s">
        <v>3356</v>
      </c>
      <c r="D220" s="466" t="s">
        <v>3355</v>
      </c>
      <c r="E220" s="762">
        <v>5</v>
      </c>
      <c r="F220" s="747">
        <v>12</v>
      </c>
      <c r="G220" s="747">
        <f t="shared" si="205"/>
        <v>60</v>
      </c>
      <c r="H220" s="469">
        <f t="shared" ref="H220:J220" si="210">F220*5</f>
        <v>60</v>
      </c>
      <c r="I220" s="469">
        <f t="shared" si="210"/>
        <v>300</v>
      </c>
      <c r="J220" s="469">
        <f t="shared" si="210"/>
        <v>300</v>
      </c>
      <c r="K220" s="469">
        <f t="shared" si="207"/>
        <v>1500</v>
      </c>
      <c r="L220" s="469">
        <f t="shared" si="208"/>
        <v>90</v>
      </c>
      <c r="M220" s="469">
        <f t="shared" si="209"/>
        <v>450</v>
      </c>
      <c r="N220" s="469"/>
    </row>
    <row r="221" spans="1:14" ht="22.5" customHeight="1">
      <c r="A221" s="761">
        <v>204</v>
      </c>
      <c r="B221" s="761" t="s">
        <v>3353</v>
      </c>
      <c r="C221" s="466" t="s">
        <v>3357</v>
      </c>
      <c r="D221" s="466" t="s">
        <v>3355</v>
      </c>
      <c r="E221" s="762">
        <v>7</v>
      </c>
      <c r="F221" s="747">
        <v>12</v>
      </c>
      <c r="G221" s="747">
        <f t="shared" si="205"/>
        <v>84</v>
      </c>
      <c r="H221" s="469">
        <f t="shared" ref="H221:J221" si="211">F221*5</f>
        <v>60</v>
      </c>
      <c r="I221" s="469">
        <f t="shared" si="211"/>
        <v>420</v>
      </c>
      <c r="J221" s="469">
        <f t="shared" si="211"/>
        <v>300</v>
      </c>
      <c r="K221" s="469">
        <f t="shared" si="207"/>
        <v>2100</v>
      </c>
      <c r="L221" s="469">
        <f t="shared" si="208"/>
        <v>90</v>
      </c>
      <c r="M221" s="469">
        <f t="shared" si="209"/>
        <v>630</v>
      </c>
      <c r="N221" s="469"/>
    </row>
    <row r="222" spans="1:14" ht="22.5" customHeight="1">
      <c r="A222" s="761">
        <v>205</v>
      </c>
      <c r="B222" s="761" t="s">
        <v>3353</v>
      </c>
      <c r="C222" s="466" t="s">
        <v>3358</v>
      </c>
      <c r="D222" s="466" t="s">
        <v>3355</v>
      </c>
      <c r="E222" s="762">
        <v>7</v>
      </c>
      <c r="F222" s="747">
        <v>12</v>
      </c>
      <c r="G222" s="747">
        <f t="shared" si="205"/>
        <v>84</v>
      </c>
      <c r="H222" s="469">
        <f t="shared" ref="H222:J222" si="212">F222*5</f>
        <v>60</v>
      </c>
      <c r="I222" s="469">
        <f t="shared" si="212"/>
        <v>420</v>
      </c>
      <c r="J222" s="469">
        <f t="shared" si="212"/>
        <v>300</v>
      </c>
      <c r="K222" s="469">
        <f t="shared" si="207"/>
        <v>2100</v>
      </c>
      <c r="L222" s="469">
        <f t="shared" si="208"/>
        <v>90</v>
      </c>
      <c r="M222" s="469">
        <f t="shared" si="209"/>
        <v>630</v>
      </c>
      <c r="N222" s="469"/>
    </row>
    <row r="223" spans="1:14" ht="22.5" customHeight="1">
      <c r="A223" s="761">
        <v>206</v>
      </c>
      <c r="B223" s="761" t="s">
        <v>3353</v>
      </c>
      <c r="C223" s="466" t="s">
        <v>3359</v>
      </c>
      <c r="D223" s="466" t="s">
        <v>3355</v>
      </c>
      <c r="E223" s="762">
        <v>7</v>
      </c>
      <c r="F223" s="747">
        <v>12</v>
      </c>
      <c r="G223" s="747">
        <f t="shared" si="205"/>
        <v>84</v>
      </c>
      <c r="H223" s="469">
        <f t="shared" ref="H223:J223" si="213">F223*5</f>
        <v>60</v>
      </c>
      <c r="I223" s="469">
        <f t="shared" si="213"/>
        <v>420</v>
      </c>
      <c r="J223" s="469">
        <f t="shared" si="213"/>
        <v>300</v>
      </c>
      <c r="K223" s="469">
        <f t="shared" si="207"/>
        <v>2100</v>
      </c>
      <c r="L223" s="469">
        <f t="shared" si="208"/>
        <v>90</v>
      </c>
      <c r="M223" s="469">
        <f t="shared" si="209"/>
        <v>630</v>
      </c>
      <c r="N223" s="469"/>
    </row>
    <row r="224" spans="1:14" ht="22.5" customHeight="1">
      <c r="A224" s="761">
        <v>207</v>
      </c>
      <c r="B224" s="761" t="s">
        <v>3353</v>
      </c>
      <c r="C224" s="466" t="s">
        <v>3360</v>
      </c>
      <c r="D224" s="466" t="s">
        <v>3355</v>
      </c>
      <c r="E224" s="762">
        <v>7</v>
      </c>
      <c r="F224" s="747">
        <v>12</v>
      </c>
      <c r="G224" s="747">
        <f t="shared" si="205"/>
        <v>84</v>
      </c>
      <c r="H224" s="469">
        <f t="shared" ref="H224:J224" si="214">F224*5</f>
        <v>60</v>
      </c>
      <c r="I224" s="469">
        <f t="shared" si="214"/>
        <v>420</v>
      </c>
      <c r="J224" s="469">
        <f t="shared" si="214"/>
        <v>300</v>
      </c>
      <c r="K224" s="469">
        <f t="shared" si="207"/>
        <v>2100</v>
      </c>
      <c r="L224" s="469">
        <f t="shared" si="208"/>
        <v>90</v>
      </c>
      <c r="M224" s="469">
        <f t="shared" si="209"/>
        <v>630</v>
      </c>
      <c r="N224" s="469"/>
    </row>
    <row r="225" spans="1:14" ht="22.5" customHeight="1">
      <c r="A225" s="761">
        <v>208</v>
      </c>
      <c r="B225" s="761" t="s">
        <v>3353</v>
      </c>
      <c r="C225" s="466" t="s">
        <v>3361</v>
      </c>
      <c r="D225" s="466" t="s">
        <v>3355</v>
      </c>
      <c r="E225" s="762">
        <v>4.5</v>
      </c>
      <c r="F225" s="747">
        <v>12</v>
      </c>
      <c r="G225" s="747">
        <f t="shared" si="205"/>
        <v>54</v>
      </c>
      <c r="H225" s="469">
        <f t="shared" ref="H225:J225" si="215">F225*5</f>
        <v>60</v>
      </c>
      <c r="I225" s="469">
        <f t="shared" si="215"/>
        <v>270</v>
      </c>
      <c r="J225" s="469">
        <f t="shared" si="215"/>
        <v>300</v>
      </c>
      <c r="K225" s="469">
        <f t="shared" si="207"/>
        <v>1350</v>
      </c>
      <c r="L225" s="469">
        <f t="shared" si="208"/>
        <v>90</v>
      </c>
      <c r="M225" s="469">
        <f t="shared" si="209"/>
        <v>405</v>
      </c>
      <c r="N225" s="469"/>
    </row>
    <row r="226" spans="1:14" ht="22.5" customHeight="1">
      <c r="A226" s="761">
        <v>209</v>
      </c>
      <c r="B226" s="761" t="s">
        <v>3353</v>
      </c>
      <c r="C226" s="466" t="s">
        <v>3362</v>
      </c>
      <c r="D226" s="466" t="s">
        <v>3355</v>
      </c>
      <c r="E226" s="762">
        <v>5</v>
      </c>
      <c r="F226" s="747">
        <v>12</v>
      </c>
      <c r="G226" s="747">
        <f t="shared" si="205"/>
        <v>60</v>
      </c>
      <c r="H226" s="469">
        <f t="shared" ref="H226:J226" si="216">F226*5</f>
        <v>60</v>
      </c>
      <c r="I226" s="469">
        <f t="shared" si="216"/>
        <v>300</v>
      </c>
      <c r="J226" s="469">
        <f t="shared" si="216"/>
        <v>300</v>
      </c>
      <c r="K226" s="469">
        <f t="shared" si="207"/>
        <v>1500</v>
      </c>
      <c r="L226" s="469">
        <f t="shared" si="208"/>
        <v>90</v>
      </c>
      <c r="M226" s="469">
        <f t="shared" si="209"/>
        <v>450</v>
      </c>
      <c r="N226" s="469"/>
    </row>
    <row r="227" spans="1:14" ht="22.5" customHeight="1">
      <c r="A227" s="761">
        <v>210</v>
      </c>
      <c r="B227" s="761" t="s">
        <v>3353</v>
      </c>
      <c r="C227" s="466" t="s">
        <v>3363</v>
      </c>
      <c r="D227" s="466" t="s">
        <v>3355</v>
      </c>
      <c r="E227" s="762">
        <v>5</v>
      </c>
      <c r="F227" s="747">
        <v>12</v>
      </c>
      <c r="G227" s="747">
        <f t="shared" si="205"/>
        <v>60</v>
      </c>
      <c r="H227" s="469">
        <f t="shared" ref="H227:J227" si="217">F227*5</f>
        <v>60</v>
      </c>
      <c r="I227" s="469">
        <f t="shared" si="217"/>
        <v>300</v>
      </c>
      <c r="J227" s="469">
        <f t="shared" si="217"/>
        <v>300</v>
      </c>
      <c r="K227" s="469">
        <f t="shared" si="207"/>
        <v>1500</v>
      </c>
      <c r="L227" s="469">
        <f t="shared" si="208"/>
        <v>90</v>
      </c>
      <c r="M227" s="469">
        <f t="shared" si="209"/>
        <v>450</v>
      </c>
      <c r="N227" s="469"/>
    </row>
    <row r="228" spans="1:14" ht="22.5" customHeight="1">
      <c r="A228" s="761">
        <v>211</v>
      </c>
      <c r="B228" s="761" t="s">
        <v>3353</v>
      </c>
      <c r="C228" s="466" t="s">
        <v>3364</v>
      </c>
      <c r="D228" s="466" t="s">
        <v>3355</v>
      </c>
      <c r="E228" s="762">
        <v>5</v>
      </c>
      <c r="F228" s="747">
        <v>12</v>
      </c>
      <c r="G228" s="747">
        <f t="shared" si="205"/>
        <v>60</v>
      </c>
      <c r="H228" s="469">
        <f t="shared" ref="H228:J228" si="218">F228*5</f>
        <v>60</v>
      </c>
      <c r="I228" s="469">
        <f t="shared" si="218"/>
        <v>300</v>
      </c>
      <c r="J228" s="469">
        <f t="shared" si="218"/>
        <v>300</v>
      </c>
      <c r="K228" s="469">
        <f t="shared" si="207"/>
        <v>1500</v>
      </c>
      <c r="L228" s="469">
        <f t="shared" si="208"/>
        <v>90</v>
      </c>
      <c r="M228" s="469">
        <f t="shared" si="209"/>
        <v>450</v>
      </c>
      <c r="N228" s="469"/>
    </row>
    <row r="229" spans="1:14" ht="22.5" customHeight="1">
      <c r="A229" s="761">
        <v>212</v>
      </c>
      <c r="B229" s="761" t="s">
        <v>3353</v>
      </c>
      <c r="C229" s="466" t="s">
        <v>3365</v>
      </c>
      <c r="D229" s="466" t="s">
        <v>3355</v>
      </c>
      <c r="E229" s="762">
        <v>5</v>
      </c>
      <c r="F229" s="747">
        <v>12</v>
      </c>
      <c r="G229" s="747">
        <f t="shared" si="205"/>
        <v>60</v>
      </c>
      <c r="H229" s="469">
        <f t="shared" ref="H229:J229" si="219">F229*5</f>
        <v>60</v>
      </c>
      <c r="I229" s="469">
        <f t="shared" si="219"/>
        <v>300</v>
      </c>
      <c r="J229" s="469">
        <f t="shared" si="219"/>
        <v>300</v>
      </c>
      <c r="K229" s="469">
        <f t="shared" si="207"/>
        <v>1500</v>
      </c>
      <c r="L229" s="469">
        <f t="shared" si="208"/>
        <v>90</v>
      </c>
      <c r="M229" s="469">
        <f t="shared" si="209"/>
        <v>450</v>
      </c>
      <c r="N229" s="469"/>
    </row>
    <row r="230" spans="1:14" ht="22.5" customHeight="1">
      <c r="A230" s="761">
        <v>213</v>
      </c>
      <c r="B230" s="761" t="s">
        <v>3353</v>
      </c>
      <c r="C230" s="466" t="s">
        <v>3366</v>
      </c>
      <c r="D230" s="466" t="s">
        <v>3355</v>
      </c>
      <c r="E230" s="762">
        <v>5</v>
      </c>
      <c r="F230" s="747">
        <v>12</v>
      </c>
      <c r="G230" s="747">
        <f t="shared" si="205"/>
        <v>60</v>
      </c>
      <c r="H230" s="469">
        <f t="shared" ref="H230:J230" si="220">F230*5</f>
        <v>60</v>
      </c>
      <c r="I230" s="469">
        <f t="shared" si="220"/>
        <v>300</v>
      </c>
      <c r="J230" s="469">
        <f t="shared" si="220"/>
        <v>300</v>
      </c>
      <c r="K230" s="469">
        <f t="shared" si="207"/>
        <v>1500</v>
      </c>
      <c r="L230" s="469">
        <f t="shared" si="208"/>
        <v>90</v>
      </c>
      <c r="M230" s="469">
        <f t="shared" si="209"/>
        <v>450</v>
      </c>
      <c r="N230" s="469"/>
    </row>
    <row r="231" spans="1:14" ht="22.5" customHeight="1">
      <c r="A231" s="761">
        <v>214</v>
      </c>
      <c r="B231" s="761" t="s">
        <v>3353</v>
      </c>
      <c r="C231" s="466" t="s">
        <v>3367</v>
      </c>
      <c r="D231" s="466" t="s">
        <v>3355</v>
      </c>
      <c r="E231" s="762">
        <v>5</v>
      </c>
      <c r="F231" s="747">
        <v>12</v>
      </c>
      <c r="G231" s="747">
        <f t="shared" si="205"/>
        <v>60</v>
      </c>
      <c r="H231" s="469">
        <f t="shared" ref="H231:J231" si="221">F231*5</f>
        <v>60</v>
      </c>
      <c r="I231" s="469">
        <f t="shared" si="221"/>
        <v>300</v>
      </c>
      <c r="J231" s="469">
        <f t="shared" si="221"/>
        <v>300</v>
      </c>
      <c r="K231" s="469">
        <f t="shared" si="207"/>
        <v>1500</v>
      </c>
      <c r="L231" s="469">
        <f t="shared" si="208"/>
        <v>90</v>
      </c>
      <c r="M231" s="469">
        <f t="shared" si="209"/>
        <v>450</v>
      </c>
      <c r="N231" s="469"/>
    </row>
    <row r="232" spans="1:14" ht="22.5" customHeight="1">
      <c r="A232" s="761">
        <v>215</v>
      </c>
      <c r="B232" s="761" t="s">
        <v>3353</v>
      </c>
      <c r="C232" s="466" t="s">
        <v>3368</v>
      </c>
      <c r="D232" s="466" t="s">
        <v>3355</v>
      </c>
      <c r="E232" s="762">
        <v>5</v>
      </c>
      <c r="F232" s="747">
        <v>12</v>
      </c>
      <c r="G232" s="747">
        <f t="shared" si="205"/>
        <v>60</v>
      </c>
      <c r="H232" s="469">
        <f t="shared" ref="H232:J232" si="222">F232*5</f>
        <v>60</v>
      </c>
      <c r="I232" s="469">
        <f t="shared" si="222"/>
        <v>300</v>
      </c>
      <c r="J232" s="469">
        <f t="shared" si="222"/>
        <v>300</v>
      </c>
      <c r="K232" s="469">
        <f t="shared" si="207"/>
        <v>1500</v>
      </c>
      <c r="L232" s="469">
        <f t="shared" si="208"/>
        <v>90</v>
      </c>
      <c r="M232" s="469">
        <f t="shared" si="209"/>
        <v>450</v>
      </c>
      <c r="N232" s="469"/>
    </row>
    <row r="233" spans="1:14" ht="22.5" customHeight="1">
      <c r="A233" s="761">
        <v>216</v>
      </c>
      <c r="B233" s="761" t="s">
        <v>3353</v>
      </c>
      <c r="C233" s="466" t="s">
        <v>3369</v>
      </c>
      <c r="D233" s="466" t="s">
        <v>3355</v>
      </c>
      <c r="E233" s="762">
        <v>5</v>
      </c>
      <c r="F233" s="747">
        <v>12</v>
      </c>
      <c r="G233" s="747">
        <f t="shared" si="205"/>
        <v>60</v>
      </c>
      <c r="H233" s="469">
        <f t="shared" ref="H233:J233" si="223">F233*5</f>
        <v>60</v>
      </c>
      <c r="I233" s="469">
        <f t="shared" si="223"/>
        <v>300</v>
      </c>
      <c r="J233" s="469">
        <f t="shared" si="223"/>
        <v>300</v>
      </c>
      <c r="K233" s="469">
        <f t="shared" si="207"/>
        <v>1500</v>
      </c>
      <c r="L233" s="469">
        <f t="shared" si="208"/>
        <v>90</v>
      </c>
      <c r="M233" s="469">
        <f t="shared" si="209"/>
        <v>450</v>
      </c>
      <c r="N233" s="469"/>
    </row>
    <row r="234" spans="1:14" ht="22.5" customHeight="1">
      <c r="A234" s="761">
        <v>217</v>
      </c>
      <c r="B234" s="761" t="s">
        <v>3353</v>
      </c>
      <c r="C234" s="466" t="s">
        <v>3370</v>
      </c>
      <c r="D234" s="466" t="s">
        <v>3355</v>
      </c>
      <c r="E234" s="762">
        <v>5</v>
      </c>
      <c r="F234" s="747">
        <v>12</v>
      </c>
      <c r="G234" s="747">
        <f t="shared" si="205"/>
        <v>60</v>
      </c>
      <c r="H234" s="469">
        <f t="shared" ref="H234:J234" si="224">F234*5</f>
        <v>60</v>
      </c>
      <c r="I234" s="469">
        <f t="shared" si="224"/>
        <v>300</v>
      </c>
      <c r="J234" s="469">
        <f t="shared" si="224"/>
        <v>300</v>
      </c>
      <c r="K234" s="469">
        <f t="shared" si="207"/>
        <v>1500</v>
      </c>
      <c r="L234" s="469">
        <f t="shared" si="208"/>
        <v>90</v>
      </c>
      <c r="M234" s="469">
        <f t="shared" si="209"/>
        <v>450</v>
      </c>
      <c r="N234" s="469"/>
    </row>
    <row r="235" spans="1:14" ht="22.5" customHeight="1">
      <c r="A235" s="761">
        <v>218</v>
      </c>
      <c r="B235" s="761" t="s">
        <v>3353</v>
      </c>
      <c r="C235" s="466" t="s">
        <v>3371</v>
      </c>
      <c r="D235" s="466" t="s">
        <v>3355</v>
      </c>
      <c r="E235" s="762">
        <v>5</v>
      </c>
      <c r="F235" s="747">
        <v>12</v>
      </c>
      <c r="G235" s="747">
        <f t="shared" si="205"/>
        <v>60</v>
      </c>
      <c r="H235" s="469">
        <f t="shared" ref="H235:J235" si="225">F235*5</f>
        <v>60</v>
      </c>
      <c r="I235" s="469">
        <f t="shared" si="225"/>
        <v>300</v>
      </c>
      <c r="J235" s="469">
        <f t="shared" si="225"/>
        <v>300</v>
      </c>
      <c r="K235" s="469">
        <f t="shared" si="207"/>
        <v>1500</v>
      </c>
      <c r="L235" s="469">
        <f t="shared" si="208"/>
        <v>90</v>
      </c>
      <c r="M235" s="469">
        <f t="shared" si="209"/>
        <v>450</v>
      </c>
      <c r="N235" s="469"/>
    </row>
    <row r="236" spans="1:14" ht="22.5" customHeight="1">
      <c r="A236" s="761">
        <v>219</v>
      </c>
      <c r="B236" s="761" t="s">
        <v>3353</v>
      </c>
      <c r="C236" s="466" t="s">
        <v>3372</v>
      </c>
      <c r="D236" s="466" t="s">
        <v>3355</v>
      </c>
      <c r="E236" s="762">
        <v>5</v>
      </c>
      <c r="F236" s="747">
        <v>12</v>
      </c>
      <c r="G236" s="747">
        <f t="shared" si="205"/>
        <v>60</v>
      </c>
      <c r="H236" s="469">
        <f t="shared" ref="H236:J236" si="226">F236*5</f>
        <v>60</v>
      </c>
      <c r="I236" s="469">
        <f t="shared" si="226"/>
        <v>300</v>
      </c>
      <c r="J236" s="469">
        <f t="shared" si="226"/>
        <v>300</v>
      </c>
      <c r="K236" s="469">
        <f t="shared" si="207"/>
        <v>1500</v>
      </c>
      <c r="L236" s="469">
        <f t="shared" si="208"/>
        <v>90</v>
      </c>
      <c r="M236" s="469">
        <f t="shared" si="209"/>
        <v>450</v>
      </c>
      <c r="N236" s="469"/>
    </row>
    <row r="237" spans="1:14" ht="22.5" customHeight="1">
      <c r="A237" s="761">
        <v>220</v>
      </c>
      <c r="B237" s="761" t="s">
        <v>3353</v>
      </c>
      <c r="C237" s="466" t="s">
        <v>3373</v>
      </c>
      <c r="D237" s="466" t="s">
        <v>3355</v>
      </c>
      <c r="E237" s="762">
        <v>5</v>
      </c>
      <c r="F237" s="747">
        <v>12</v>
      </c>
      <c r="G237" s="747">
        <f t="shared" si="205"/>
        <v>60</v>
      </c>
      <c r="H237" s="469">
        <f t="shared" ref="H237:J237" si="227">F237*5</f>
        <v>60</v>
      </c>
      <c r="I237" s="469">
        <f t="shared" si="227"/>
        <v>300</v>
      </c>
      <c r="J237" s="469">
        <f t="shared" si="227"/>
        <v>300</v>
      </c>
      <c r="K237" s="469">
        <f t="shared" si="207"/>
        <v>1500</v>
      </c>
      <c r="L237" s="469">
        <f t="shared" si="208"/>
        <v>90</v>
      </c>
      <c r="M237" s="469">
        <f t="shared" si="209"/>
        <v>450</v>
      </c>
      <c r="N237" s="469"/>
    </row>
    <row r="238" spans="1:14" ht="22.5" customHeight="1">
      <c r="A238" s="761">
        <v>221</v>
      </c>
      <c r="B238" s="761" t="s">
        <v>3353</v>
      </c>
      <c r="C238" s="466" t="s">
        <v>3374</v>
      </c>
      <c r="D238" s="466" t="s">
        <v>3355</v>
      </c>
      <c r="E238" s="762">
        <v>5</v>
      </c>
      <c r="F238" s="747">
        <v>12</v>
      </c>
      <c r="G238" s="747">
        <f t="shared" si="205"/>
        <v>60</v>
      </c>
      <c r="H238" s="469">
        <f t="shared" ref="H238:J238" si="228">F238*5</f>
        <v>60</v>
      </c>
      <c r="I238" s="469">
        <f t="shared" si="228"/>
        <v>300</v>
      </c>
      <c r="J238" s="469">
        <f t="shared" si="228"/>
        <v>300</v>
      </c>
      <c r="K238" s="469">
        <f t="shared" si="207"/>
        <v>1500</v>
      </c>
      <c r="L238" s="469">
        <f t="shared" si="208"/>
        <v>90</v>
      </c>
      <c r="M238" s="469">
        <f t="shared" si="209"/>
        <v>450</v>
      </c>
      <c r="N238" s="469"/>
    </row>
    <row r="239" spans="1:14" ht="22.5" customHeight="1">
      <c r="A239" s="761">
        <v>222</v>
      </c>
      <c r="B239" s="761" t="s">
        <v>3353</v>
      </c>
      <c r="C239" s="466" t="s">
        <v>3375</v>
      </c>
      <c r="D239" s="466" t="s">
        <v>3355</v>
      </c>
      <c r="E239" s="762">
        <v>3</v>
      </c>
      <c r="F239" s="747">
        <v>12</v>
      </c>
      <c r="G239" s="747">
        <f t="shared" si="205"/>
        <v>36</v>
      </c>
      <c r="H239" s="469">
        <f t="shared" ref="H239:J239" si="229">F239*5</f>
        <v>60</v>
      </c>
      <c r="I239" s="469">
        <f t="shared" si="229"/>
        <v>180</v>
      </c>
      <c r="J239" s="469">
        <f t="shared" si="229"/>
        <v>300</v>
      </c>
      <c r="K239" s="469">
        <f t="shared" si="207"/>
        <v>900</v>
      </c>
      <c r="L239" s="469">
        <f t="shared" si="208"/>
        <v>90</v>
      </c>
      <c r="M239" s="469">
        <f t="shared" si="209"/>
        <v>270</v>
      </c>
      <c r="N239" s="469"/>
    </row>
    <row r="240" spans="1:14" ht="22.5" customHeight="1">
      <c r="A240" s="761">
        <v>223</v>
      </c>
      <c r="B240" s="761" t="s">
        <v>3353</v>
      </c>
      <c r="C240" s="466" t="s">
        <v>3376</v>
      </c>
      <c r="D240" s="466" t="s">
        <v>3355</v>
      </c>
      <c r="E240" s="762">
        <v>5</v>
      </c>
      <c r="F240" s="747">
        <v>12</v>
      </c>
      <c r="G240" s="747">
        <f t="shared" si="205"/>
        <v>60</v>
      </c>
      <c r="H240" s="469">
        <f t="shared" ref="H240:J240" si="230">F240*5</f>
        <v>60</v>
      </c>
      <c r="I240" s="469">
        <f t="shared" si="230"/>
        <v>300</v>
      </c>
      <c r="J240" s="469">
        <f t="shared" si="230"/>
        <v>300</v>
      </c>
      <c r="K240" s="469">
        <f t="shared" si="207"/>
        <v>1500</v>
      </c>
      <c r="L240" s="469">
        <f t="shared" si="208"/>
        <v>90</v>
      </c>
      <c r="M240" s="469">
        <f t="shared" si="209"/>
        <v>450</v>
      </c>
      <c r="N240" s="469"/>
    </row>
    <row r="241" spans="1:14" ht="22.5" customHeight="1">
      <c r="A241" s="761">
        <v>224</v>
      </c>
      <c r="B241" s="761" t="s">
        <v>3353</v>
      </c>
      <c r="C241" s="466" t="s">
        <v>3377</v>
      </c>
      <c r="D241" s="466" t="s">
        <v>3355</v>
      </c>
      <c r="E241" s="762">
        <v>5</v>
      </c>
      <c r="F241" s="747">
        <v>12</v>
      </c>
      <c r="G241" s="747">
        <f t="shared" si="205"/>
        <v>60</v>
      </c>
      <c r="H241" s="469">
        <f t="shared" ref="H241:J241" si="231">F241*5</f>
        <v>60</v>
      </c>
      <c r="I241" s="469">
        <f t="shared" si="231"/>
        <v>300</v>
      </c>
      <c r="J241" s="469">
        <f t="shared" si="231"/>
        <v>300</v>
      </c>
      <c r="K241" s="469">
        <f t="shared" si="207"/>
        <v>1500</v>
      </c>
      <c r="L241" s="469">
        <f t="shared" si="208"/>
        <v>90</v>
      </c>
      <c r="M241" s="469">
        <f t="shared" si="209"/>
        <v>450</v>
      </c>
      <c r="N241" s="469"/>
    </row>
    <row r="242" spans="1:14" ht="22.5" customHeight="1">
      <c r="A242" s="761">
        <v>225</v>
      </c>
      <c r="B242" s="761" t="s">
        <v>3353</v>
      </c>
      <c r="C242" s="466" t="s">
        <v>3378</v>
      </c>
      <c r="D242" s="466" t="s">
        <v>3355</v>
      </c>
      <c r="E242" s="762">
        <v>5</v>
      </c>
      <c r="F242" s="747">
        <v>12</v>
      </c>
      <c r="G242" s="747">
        <f t="shared" si="205"/>
        <v>60</v>
      </c>
      <c r="H242" s="469">
        <f t="shared" ref="H242:J242" si="232">F242*5</f>
        <v>60</v>
      </c>
      <c r="I242" s="469">
        <f t="shared" si="232"/>
        <v>300</v>
      </c>
      <c r="J242" s="469">
        <f t="shared" si="232"/>
        <v>300</v>
      </c>
      <c r="K242" s="469">
        <f t="shared" si="207"/>
        <v>1500</v>
      </c>
      <c r="L242" s="469">
        <f t="shared" si="208"/>
        <v>90</v>
      </c>
      <c r="M242" s="469">
        <f t="shared" si="209"/>
        <v>450</v>
      </c>
      <c r="N242" s="469"/>
    </row>
    <row r="243" spans="1:14" ht="22.5" customHeight="1">
      <c r="A243" s="761">
        <v>226</v>
      </c>
      <c r="B243" s="761" t="s">
        <v>3353</v>
      </c>
      <c r="C243" s="466" t="s">
        <v>3379</v>
      </c>
      <c r="D243" s="466" t="s">
        <v>3355</v>
      </c>
      <c r="E243" s="762">
        <v>5</v>
      </c>
      <c r="F243" s="747">
        <v>12</v>
      </c>
      <c r="G243" s="747">
        <f t="shared" si="205"/>
        <v>60</v>
      </c>
      <c r="H243" s="469">
        <f t="shared" ref="H243:J243" si="233">F243*5</f>
        <v>60</v>
      </c>
      <c r="I243" s="469">
        <f t="shared" si="233"/>
        <v>300</v>
      </c>
      <c r="J243" s="469">
        <f t="shared" si="233"/>
        <v>300</v>
      </c>
      <c r="K243" s="469">
        <f t="shared" si="207"/>
        <v>1500</v>
      </c>
      <c r="L243" s="469">
        <f t="shared" si="208"/>
        <v>90</v>
      </c>
      <c r="M243" s="469">
        <f t="shared" si="209"/>
        <v>450</v>
      </c>
      <c r="N243" s="469"/>
    </row>
    <row r="244" spans="1:14" ht="22.5" customHeight="1">
      <c r="A244" s="761">
        <v>227</v>
      </c>
      <c r="B244" s="761" t="s">
        <v>3353</v>
      </c>
      <c r="C244" s="466" t="s">
        <v>3380</v>
      </c>
      <c r="D244" s="466" t="s">
        <v>3355</v>
      </c>
      <c r="E244" s="762">
        <v>5</v>
      </c>
      <c r="F244" s="747">
        <v>12</v>
      </c>
      <c r="G244" s="747">
        <f t="shared" si="205"/>
        <v>60</v>
      </c>
      <c r="H244" s="469">
        <f t="shared" ref="H244:J244" si="234">F244*5</f>
        <v>60</v>
      </c>
      <c r="I244" s="469">
        <f t="shared" si="234"/>
        <v>300</v>
      </c>
      <c r="J244" s="469">
        <f t="shared" si="234"/>
        <v>300</v>
      </c>
      <c r="K244" s="469">
        <f t="shared" si="207"/>
        <v>1500</v>
      </c>
      <c r="L244" s="469">
        <f t="shared" si="208"/>
        <v>90</v>
      </c>
      <c r="M244" s="469">
        <f t="shared" si="209"/>
        <v>450</v>
      </c>
      <c r="N244" s="469"/>
    </row>
    <row r="245" spans="1:14" ht="22.5" customHeight="1">
      <c r="A245" s="761">
        <v>228</v>
      </c>
      <c r="B245" s="761" t="s">
        <v>3353</v>
      </c>
      <c r="C245" s="466" t="s">
        <v>3381</v>
      </c>
      <c r="D245" s="466" t="s">
        <v>3355</v>
      </c>
      <c r="E245" s="762">
        <v>5</v>
      </c>
      <c r="F245" s="747">
        <v>12</v>
      </c>
      <c r="G245" s="747">
        <f t="shared" si="205"/>
        <v>60</v>
      </c>
      <c r="H245" s="469">
        <f t="shared" ref="H245:J245" si="235">F245*5</f>
        <v>60</v>
      </c>
      <c r="I245" s="469">
        <f t="shared" si="235"/>
        <v>300</v>
      </c>
      <c r="J245" s="469">
        <f t="shared" si="235"/>
        <v>300</v>
      </c>
      <c r="K245" s="469">
        <f t="shared" si="207"/>
        <v>1500</v>
      </c>
      <c r="L245" s="469">
        <f t="shared" si="208"/>
        <v>90</v>
      </c>
      <c r="M245" s="469">
        <f t="shared" si="209"/>
        <v>450</v>
      </c>
      <c r="N245" s="469"/>
    </row>
    <row r="246" spans="1:14" ht="22.5" customHeight="1">
      <c r="A246" s="761">
        <v>229</v>
      </c>
      <c r="B246" s="761" t="s">
        <v>3353</v>
      </c>
      <c r="C246" s="466" t="s">
        <v>3382</v>
      </c>
      <c r="D246" s="466" t="s">
        <v>3355</v>
      </c>
      <c r="E246" s="762">
        <v>5</v>
      </c>
      <c r="F246" s="747">
        <v>12</v>
      </c>
      <c r="G246" s="747">
        <f t="shared" si="205"/>
        <v>60</v>
      </c>
      <c r="H246" s="469">
        <f t="shared" ref="H246:J246" si="236">F246*5</f>
        <v>60</v>
      </c>
      <c r="I246" s="469">
        <f t="shared" si="236"/>
        <v>300</v>
      </c>
      <c r="J246" s="469">
        <f t="shared" si="236"/>
        <v>300</v>
      </c>
      <c r="K246" s="469">
        <f t="shared" si="207"/>
        <v>1500</v>
      </c>
      <c r="L246" s="469">
        <f t="shared" si="208"/>
        <v>90</v>
      </c>
      <c r="M246" s="469">
        <f t="shared" si="209"/>
        <v>450</v>
      </c>
      <c r="N246" s="469"/>
    </row>
    <row r="247" spans="1:14" ht="22.5" customHeight="1">
      <c r="A247" s="761">
        <v>230</v>
      </c>
      <c r="B247" s="761" t="s">
        <v>3353</v>
      </c>
      <c r="C247" s="466" t="s">
        <v>3383</v>
      </c>
      <c r="D247" s="466" t="s">
        <v>3355</v>
      </c>
      <c r="E247" s="762">
        <v>5</v>
      </c>
      <c r="F247" s="747">
        <v>12</v>
      </c>
      <c r="G247" s="747">
        <f t="shared" si="205"/>
        <v>60</v>
      </c>
      <c r="H247" s="469">
        <f t="shared" ref="H247:J247" si="237">F247*5</f>
        <v>60</v>
      </c>
      <c r="I247" s="469">
        <f t="shared" si="237"/>
        <v>300</v>
      </c>
      <c r="J247" s="469">
        <f t="shared" si="237"/>
        <v>300</v>
      </c>
      <c r="K247" s="469">
        <f t="shared" si="207"/>
        <v>1500</v>
      </c>
      <c r="L247" s="469">
        <f t="shared" si="208"/>
        <v>90</v>
      </c>
      <c r="M247" s="469">
        <f t="shared" si="209"/>
        <v>450</v>
      </c>
      <c r="N247" s="469"/>
    </row>
    <row r="248" spans="1:14" ht="22.5" customHeight="1">
      <c r="A248" s="761">
        <v>231</v>
      </c>
      <c r="B248" s="761" t="s">
        <v>3353</v>
      </c>
      <c r="C248" s="466" t="s">
        <v>3384</v>
      </c>
      <c r="D248" s="466" t="s">
        <v>3355</v>
      </c>
      <c r="E248" s="762">
        <v>5</v>
      </c>
      <c r="F248" s="747">
        <v>12</v>
      </c>
      <c r="G248" s="747">
        <f t="shared" si="205"/>
        <v>60</v>
      </c>
      <c r="H248" s="469">
        <f t="shared" ref="H248:J248" si="238">F248*5</f>
        <v>60</v>
      </c>
      <c r="I248" s="469">
        <f t="shared" si="238"/>
        <v>300</v>
      </c>
      <c r="J248" s="469">
        <f t="shared" si="238"/>
        <v>300</v>
      </c>
      <c r="K248" s="469">
        <f t="shared" si="207"/>
        <v>1500</v>
      </c>
      <c r="L248" s="469">
        <f t="shared" si="208"/>
        <v>90</v>
      </c>
      <c r="M248" s="469">
        <f t="shared" si="209"/>
        <v>450</v>
      </c>
      <c r="N248" s="469"/>
    </row>
    <row r="249" spans="1:14" ht="22.5" customHeight="1">
      <c r="A249" s="761">
        <v>232</v>
      </c>
      <c r="B249" s="761" t="s">
        <v>3353</v>
      </c>
      <c r="C249" s="466" t="s">
        <v>3385</v>
      </c>
      <c r="D249" s="466" t="s">
        <v>3355</v>
      </c>
      <c r="E249" s="762">
        <v>5</v>
      </c>
      <c r="F249" s="747">
        <v>12</v>
      </c>
      <c r="G249" s="747">
        <f t="shared" si="205"/>
        <v>60</v>
      </c>
      <c r="H249" s="469">
        <f t="shared" ref="H249:J249" si="239">F249*5</f>
        <v>60</v>
      </c>
      <c r="I249" s="469">
        <f t="shared" si="239"/>
        <v>300</v>
      </c>
      <c r="J249" s="469">
        <f t="shared" si="239"/>
        <v>300</v>
      </c>
      <c r="K249" s="469">
        <f t="shared" si="207"/>
        <v>1500</v>
      </c>
      <c r="L249" s="469">
        <f t="shared" si="208"/>
        <v>90</v>
      </c>
      <c r="M249" s="469">
        <f t="shared" si="209"/>
        <v>450</v>
      </c>
      <c r="N249" s="469"/>
    </row>
    <row r="250" spans="1:14" ht="22.5" customHeight="1">
      <c r="A250" s="761">
        <v>233</v>
      </c>
      <c r="B250" s="761" t="s">
        <v>3353</v>
      </c>
      <c r="C250" s="466" t="s">
        <v>3386</v>
      </c>
      <c r="D250" s="466" t="s">
        <v>3355</v>
      </c>
      <c r="E250" s="762">
        <v>5</v>
      </c>
      <c r="F250" s="747">
        <v>12</v>
      </c>
      <c r="G250" s="747">
        <f t="shared" si="205"/>
        <v>60</v>
      </c>
      <c r="H250" s="469">
        <f t="shared" ref="H250:J250" si="240">F250*5</f>
        <v>60</v>
      </c>
      <c r="I250" s="469">
        <f t="shared" si="240"/>
        <v>300</v>
      </c>
      <c r="J250" s="469">
        <f t="shared" si="240"/>
        <v>300</v>
      </c>
      <c r="K250" s="469">
        <f t="shared" si="207"/>
        <v>1500</v>
      </c>
      <c r="L250" s="469">
        <f t="shared" si="208"/>
        <v>90</v>
      </c>
      <c r="M250" s="469">
        <f t="shared" si="209"/>
        <v>450</v>
      </c>
      <c r="N250" s="469" t="s">
        <v>3387</v>
      </c>
    </row>
    <row r="251" spans="1:14" ht="22.5" customHeight="1">
      <c r="A251" s="761">
        <v>234</v>
      </c>
      <c r="B251" s="761" t="s">
        <v>3353</v>
      </c>
      <c r="C251" s="466" t="s">
        <v>3388</v>
      </c>
      <c r="D251" s="466" t="s">
        <v>3355</v>
      </c>
      <c r="E251" s="762">
        <v>5</v>
      </c>
      <c r="F251" s="747">
        <v>12</v>
      </c>
      <c r="G251" s="747">
        <f t="shared" si="205"/>
        <v>60</v>
      </c>
      <c r="H251" s="469">
        <f t="shared" ref="H251:J251" si="241">F251*5</f>
        <v>60</v>
      </c>
      <c r="I251" s="469">
        <f t="shared" si="241"/>
        <v>300</v>
      </c>
      <c r="J251" s="469">
        <f t="shared" si="241"/>
        <v>300</v>
      </c>
      <c r="K251" s="469">
        <f t="shared" si="207"/>
        <v>1500</v>
      </c>
      <c r="L251" s="469">
        <f t="shared" si="208"/>
        <v>90</v>
      </c>
      <c r="M251" s="469">
        <f t="shared" si="209"/>
        <v>450</v>
      </c>
      <c r="N251" s="469" t="s">
        <v>3387</v>
      </c>
    </row>
    <row r="252" spans="1:14" ht="22.5" customHeight="1">
      <c r="A252" s="761">
        <v>235</v>
      </c>
      <c r="B252" s="761" t="s">
        <v>3353</v>
      </c>
      <c r="C252" s="466" t="s">
        <v>3389</v>
      </c>
      <c r="D252" s="466" t="s">
        <v>3355</v>
      </c>
      <c r="E252" s="762">
        <v>5</v>
      </c>
      <c r="F252" s="747">
        <v>12</v>
      </c>
      <c r="G252" s="747">
        <f t="shared" si="205"/>
        <v>60</v>
      </c>
      <c r="H252" s="469">
        <f t="shared" ref="H252:J252" si="242">F252*5</f>
        <v>60</v>
      </c>
      <c r="I252" s="469">
        <f t="shared" si="242"/>
        <v>300</v>
      </c>
      <c r="J252" s="469">
        <f t="shared" si="242"/>
        <v>300</v>
      </c>
      <c r="K252" s="469">
        <f t="shared" si="207"/>
        <v>1500</v>
      </c>
      <c r="L252" s="469">
        <f t="shared" si="208"/>
        <v>90</v>
      </c>
      <c r="M252" s="469">
        <f t="shared" si="209"/>
        <v>450</v>
      </c>
      <c r="N252" s="469" t="s">
        <v>3390</v>
      </c>
    </row>
    <row r="253" spans="1:14" ht="22.5" customHeight="1">
      <c r="A253" s="761">
        <v>236</v>
      </c>
      <c r="B253" s="761" t="s">
        <v>3353</v>
      </c>
      <c r="C253" s="466" t="s">
        <v>3391</v>
      </c>
      <c r="D253" s="466" t="s">
        <v>3355</v>
      </c>
      <c r="E253" s="762">
        <v>5</v>
      </c>
      <c r="F253" s="747">
        <v>12</v>
      </c>
      <c r="G253" s="747">
        <f t="shared" si="205"/>
        <v>60</v>
      </c>
      <c r="H253" s="469">
        <f t="shared" ref="H253:J253" si="243">F253*5</f>
        <v>60</v>
      </c>
      <c r="I253" s="469">
        <f t="shared" si="243"/>
        <v>300</v>
      </c>
      <c r="J253" s="469">
        <f t="shared" si="243"/>
        <v>300</v>
      </c>
      <c r="K253" s="469">
        <f t="shared" si="207"/>
        <v>1500</v>
      </c>
      <c r="L253" s="469">
        <f t="shared" si="208"/>
        <v>90</v>
      </c>
      <c r="M253" s="469">
        <f t="shared" si="209"/>
        <v>450</v>
      </c>
      <c r="N253" s="469" t="s">
        <v>3390</v>
      </c>
    </row>
    <row r="254" spans="1:14" ht="22.5" customHeight="1">
      <c r="A254" s="761">
        <v>237</v>
      </c>
      <c r="B254" s="761" t="s">
        <v>3353</v>
      </c>
      <c r="C254" s="466" t="s">
        <v>3392</v>
      </c>
      <c r="D254" s="466" t="s">
        <v>3355</v>
      </c>
      <c r="E254" s="762">
        <v>5</v>
      </c>
      <c r="F254" s="747">
        <v>12</v>
      </c>
      <c r="G254" s="747">
        <f t="shared" si="205"/>
        <v>60</v>
      </c>
      <c r="H254" s="469">
        <f t="shared" ref="H254:J254" si="244">F254*5</f>
        <v>60</v>
      </c>
      <c r="I254" s="469">
        <f t="shared" si="244"/>
        <v>300</v>
      </c>
      <c r="J254" s="469">
        <f t="shared" si="244"/>
        <v>300</v>
      </c>
      <c r="K254" s="469">
        <f t="shared" si="207"/>
        <v>1500</v>
      </c>
      <c r="L254" s="469">
        <f t="shared" si="208"/>
        <v>90</v>
      </c>
      <c r="M254" s="469">
        <f t="shared" si="209"/>
        <v>450</v>
      </c>
      <c r="N254" s="469" t="s">
        <v>3390</v>
      </c>
    </row>
    <row r="255" spans="1:14" ht="22.5" customHeight="1">
      <c r="A255" s="761">
        <v>238</v>
      </c>
      <c r="B255" s="761" t="s">
        <v>3353</v>
      </c>
      <c r="C255" s="466" t="s">
        <v>3393</v>
      </c>
      <c r="D255" s="466" t="s">
        <v>3355</v>
      </c>
      <c r="E255" s="762">
        <v>5</v>
      </c>
      <c r="F255" s="747">
        <v>12</v>
      </c>
      <c r="G255" s="747">
        <f t="shared" si="205"/>
        <v>60</v>
      </c>
      <c r="H255" s="469">
        <f t="shared" ref="H255:J255" si="245">F255*5</f>
        <v>60</v>
      </c>
      <c r="I255" s="469">
        <f t="shared" si="245"/>
        <v>300</v>
      </c>
      <c r="J255" s="469">
        <f t="shared" si="245"/>
        <v>300</v>
      </c>
      <c r="K255" s="469">
        <f t="shared" si="207"/>
        <v>1500</v>
      </c>
      <c r="L255" s="469">
        <f t="shared" si="208"/>
        <v>90</v>
      </c>
      <c r="M255" s="469">
        <f t="shared" si="209"/>
        <v>450</v>
      </c>
      <c r="N255" s="469" t="s">
        <v>3390</v>
      </c>
    </row>
    <row r="256" spans="1:14" ht="22.5" customHeight="1">
      <c r="A256" s="761">
        <v>239</v>
      </c>
      <c r="B256" s="761" t="s">
        <v>3353</v>
      </c>
      <c r="C256" s="466" t="s">
        <v>3394</v>
      </c>
      <c r="D256" s="466" t="s">
        <v>3355</v>
      </c>
      <c r="E256" s="762">
        <v>5</v>
      </c>
      <c r="F256" s="747">
        <v>12</v>
      </c>
      <c r="G256" s="747">
        <f t="shared" si="205"/>
        <v>60</v>
      </c>
      <c r="H256" s="469">
        <f t="shared" ref="H256:J256" si="246">F256*5</f>
        <v>60</v>
      </c>
      <c r="I256" s="469">
        <f t="shared" si="246"/>
        <v>300</v>
      </c>
      <c r="J256" s="469">
        <f t="shared" si="246"/>
        <v>300</v>
      </c>
      <c r="K256" s="469">
        <f t="shared" si="207"/>
        <v>1500</v>
      </c>
      <c r="L256" s="469">
        <f t="shared" si="208"/>
        <v>90</v>
      </c>
      <c r="M256" s="469">
        <f t="shared" si="209"/>
        <v>450</v>
      </c>
      <c r="N256" s="469" t="s">
        <v>3395</v>
      </c>
    </row>
    <row r="257" spans="1:14" ht="22.5" customHeight="1">
      <c r="A257" s="761">
        <v>240</v>
      </c>
      <c r="B257" s="761" t="s">
        <v>3353</v>
      </c>
      <c r="C257" s="466" t="s">
        <v>3396</v>
      </c>
      <c r="D257" s="466" t="s">
        <v>3355</v>
      </c>
      <c r="E257" s="762">
        <v>5</v>
      </c>
      <c r="F257" s="747">
        <v>12</v>
      </c>
      <c r="G257" s="747">
        <f t="shared" si="205"/>
        <v>60</v>
      </c>
      <c r="H257" s="469">
        <f t="shared" ref="H257:J257" si="247">F257*5</f>
        <v>60</v>
      </c>
      <c r="I257" s="469">
        <f t="shared" si="247"/>
        <v>300</v>
      </c>
      <c r="J257" s="469">
        <f t="shared" si="247"/>
        <v>300</v>
      </c>
      <c r="K257" s="469">
        <f t="shared" si="207"/>
        <v>1500</v>
      </c>
      <c r="L257" s="469">
        <f t="shared" si="208"/>
        <v>90</v>
      </c>
      <c r="M257" s="469">
        <f t="shared" si="209"/>
        <v>450</v>
      </c>
      <c r="N257" s="469" t="s">
        <v>3397</v>
      </c>
    </row>
    <row r="258" spans="1:14" ht="22.5" customHeight="1">
      <c r="A258" s="761">
        <v>241</v>
      </c>
      <c r="B258" s="761" t="s">
        <v>3353</v>
      </c>
      <c r="C258" s="466" t="s">
        <v>3398</v>
      </c>
      <c r="D258" s="466" t="s">
        <v>3355</v>
      </c>
      <c r="E258" s="762">
        <v>5</v>
      </c>
      <c r="F258" s="747">
        <v>12</v>
      </c>
      <c r="G258" s="747">
        <f t="shared" si="205"/>
        <v>60</v>
      </c>
      <c r="H258" s="469">
        <f t="shared" ref="H258:J258" si="248">F258*5</f>
        <v>60</v>
      </c>
      <c r="I258" s="469">
        <f t="shared" si="248"/>
        <v>300</v>
      </c>
      <c r="J258" s="469">
        <f t="shared" si="248"/>
        <v>300</v>
      </c>
      <c r="K258" s="469">
        <f t="shared" si="207"/>
        <v>1500</v>
      </c>
      <c r="L258" s="469">
        <f t="shared" si="208"/>
        <v>90</v>
      </c>
      <c r="M258" s="469">
        <f t="shared" si="209"/>
        <v>450</v>
      </c>
      <c r="N258" s="469" t="s">
        <v>3399</v>
      </c>
    </row>
    <row r="259" spans="1:14" ht="22.5" customHeight="1">
      <c r="A259" s="761">
        <v>242</v>
      </c>
      <c r="B259" s="761" t="s">
        <v>3353</v>
      </c>
      <c r="C259" s="466" t="s">
        <v>3400</v>
      </c>
      <c r="D259" s="466" t="s">
        <v>3355</v>
      </c>
      <c r="E259" s="762">
        <v>5</v>
      </c>
      <c r="F259" s="747">
        <v>12</v>
      </c>
      <c r="G259" s="747">
        <f t="shared" si="205"/>
        <v>60</v>
      </c>
      <c r="H259" s="469">
        <f t="shared" ref="H259:J259" si="249">F259*5</f>
        <v>60</v>
      </c>
      <c r="I259" s="469">
        <f t="shared" si="249"/>
        <v>300</v>
      </c>
      <c r="J259" s="469">
        <f t="shared" si="249"/>
        <v>300</v>
      </c>
      <c r="K259" s="469">
        <f t="shared" si="207"/>
        <v>1500</v>
      </c>
      <c r="L259" s="469">
        <f t="shared" si="208"/>
        <v>90</v>
      </c>
      <c r="M259" s="469">
        <f t="shared" si="209"/>
        <v>450</v>
      </c>
      <c r="N259" s="469" t="s">
        <v>3401</v>
      </c>
    </row>
    <row r="260" spans="1:14" ht="22.5" customHeight="1">
      <c r="A260" s="761">
        <v>243</v>
      </c>
      <c r="B260" s="761" t="s">
        <v>3353</v>
      </c>
      <c r="C260" s="466" t="s">
        <v>3402</v>
      </c>
      <c r="D260" s="466" t="s">
        <v>3355</v>
      </c>
      <c r="E260" s="762">
        <v>5</v>
      </c>
      <c r="F260" s="747">
        <v>12</v>
      </c>
      <c r="G260" s="747">
        <f t="shared" si="205"/>
        <v>60</v>
      </c>
      <c r="H260" s="469">
        <f t="shared" ref="H260:J260" si="250">F260*5</f>
        <v>60</v>
      </c>
      <c r="I260" s="469">
        <f t="shared" si="250"/>
        <v>300</v>
      </c>
      <c r="J260" s="469">
        <f t="shared" si="250"/>
        <v>300</v>
      </c>
      <c r="K260" s="469">
        <f t="shared" si="207"/>
        <v>1500</v>
      </c>
      <c r="L260" s="469">
        <f t="shared" si="208"/>
        <v>90</v>
      </c>
      <c r="M260" s="469">
        <f t="shared" si="209"/>
        <v>450</v>
      </c>
      <c r="N260" s="469" t="s">
        <v>3403</v>
      </c>
    </row>
    <row r="261" spans="1:14" ht="22.5" customHeight="1">
      <c r="A261" s="761">
        <v>244</v>
      </c>
      <c r="B261" s="761" t="s">
        <v>3353</v>
      </c>
      <c r="C261" s="466" t="s">
        <v>3404</v>
      </c>
      <c r="D261" s="466" t="s">
        <v>3355</v>
      </c>
      <c r="E261" s="762">
        <v>5</v>
      </c>
      <c r="F261" s="747">
        <v>12</v>
      </c>
      <c r="G261" s="747">
        <f t="shared" si="205"/>
        <v>60</v>
      </c>
      <c r="H261" s="469">
        <f t="shared" ref="H261:J261" si="251">F261*5</f>
        <v>60</v>
      </c>
      <c r="I261" s="469">
        <f t="shared" si="251"/>
        <v>300</v>
      </c>
      <c r="J261" s="469">
        <f t="shared" si="251"/>
        <v>300</v>
      </c>
      <c r="K261" s="469">
        <f t="shared" si="207"/>
        <v>1500</v>
      </c>
      <c r="L261" s="469">
        <f t="shared" si="208"/>
        <v>90</v>
      </c>
      <c r="M261" s="469">
        <f t="shared" si="209"/>
        <v>450</v>
      </c>
      <c r="N261" s="469" t="s">
        <v>3405</v>
      </c>
    </row>
    <row r="262" spans="1:14" ht="22.5" customHeight="1">
      <c r="A262" s="761">
        <v>245</v>
      </c>
      <c r="B262" s="761" t="s">
        <v>3353</v>
      </c>
      <c r="C262" s="466" t="s">
        <v>3406</v>
      </c>
      <c r="D262" s="466" t="s">
        <v>3355</v>
      </c>
      <c r="E262" s="762">
        <v>5</v>
      </c>
      <c r="F262" s="747">
        <v>12</v>
      </c>
      <c r="G262" s="747">
        <f t="shared" si="205"/>
        <v>60</v>
      </c>
      <c r="H262" s="469">
        <f t="shared" ref="H262:J262" si="252">F262*5</f>
        <v>60</v>
      </c>
      <c r="I262" s="469">
        <f t="shared" si="252"/>
        <v>300</v>
      </c>
      <c r="J262" s="469">
        <f t="shared" si="252"/>
        <v>300</v>
      </c>
      <c r="K262" s="469">
        <f t="shared" si="207"/>
        <v>1500</v>
      </c>
      <c r="L262" s="469">
        <f t="shared" si="208"/>
        <v>90</v>
      </c>
      <c r="M262" s="469">
        <f t="shared" si="209"/>
        <v>450</v>
      </c>
      <c r="N262" s="469" t="s">
        <v>3407</v>
      </c>
    </row>
    <row r="263" spans="1:14" ht="22.5" customHeight="1">
      <c r="A263" s="761">
        <v>246</v>
      </c>
      <c r="B263" s="761" t="s">
        <v>3353</v>
      </c>
      <c r="C263" s="466" t="s">
        <v>3408</v>
      </c>
      <c r="D263" s="466" t="s">
        <v>3355</v>
      </c>
      <c r="E263" s="762">
        <v>5</v>
      </c>
      <c r="F263" s="747">
        <v>12</v>
      </c>
      <c r="G263" s="747">
        <f t="shared" si="205"/>
        <v>60</v>
      </c>
      <c r="H263" s="469">
        <f t="shared" ref="H263:J263" si="253">F263*5</f>
        <v>60</v>
      </c>
      <c r="I263" s="469">
        <f t="shared" si="253"/>
        <v>300</v>
      </c>
      <c r="J263" s="469">
        <f t="shared" si="253"/>
        <v>300</v>
      </c>
      <c r="K263" s="469">
        <f t="shared" si="207"/>
        <v>1500</v>
      </c>
      <c r="L263" s="469">
        <f t="shared" si="208"/>
        <v>90</v>
      </c>
      <c r="M263" s="469">
        <f t="shared" si="209"/>
        <v>450</v>
      </c>
      <c r="N263" s="469" t="s">
        <v>3409</v>
      </c>
    </row>
    <row r="264" spans="1:14" ht="22.5" customHeight="1">
      <c r="A264" s="761">
        <v>247</v>
      </c>
      <c r="B264" s="761" t="s">
        <v>3353</v>
      </c>
      <c r="C264" s="466" t="s">
        <v>3410</v>
      </c>
      <c r="D264" s="466" t="s">
        <v>3355</v>
      </c>
      <c r="E264" s="762">
        <v>5</v>
      </c>
      <c r="F264" s="747">
        <v>12</v>
      </c>
      <c r="G264" s="747">
        <f t="shared" si="205"/>
        <v>60</v>
      </c>
      <c r="H264" s="469">
        <f t="shared" ref="H264:J264" si="254">F264*5</f>
        <v>60</v>
      </c>
      <c r="I264" s="469">
        <f t="shared" si="254"/>
        <v>300</v>
      </c>
      <c r="J264" s="469">
        <f t="shared" si="254"/>
        <v>300</v>
      </c>
      <c r="K264" s="469">
        <f t="shared" si="207"/>
        <v>1500</v>
      </c>
      <c r="L264" s="469">
        <f t="shared" si="208"/>
        <v>90</v>
      </c>
      <c r="M264" s="469">
        <f t="shared" si="209"/>
        <v>450</v>
      </c>
      <c r="N264" s="469" t="s">
        <v>3411</v>
      </c>
    </row>
    <row r="265" spans="1:14" ht="22.5" customHeight="1">
      <c r="A265" s="761">
        <v>248</v>
      </c>
      <c r="B265" s="761" t="s">
        <v>3353</v>
      </c>
      <c r="C265" s="466" t="s">
        <v>57</v>
      </c>
      <c r="D265" s="466" t="s">
        <v>3355</v>
      </c>
      <c r="E265" s="762">
        <v>5</v>
      </c>
      <c r="F265" s="747">
        <v>12</v>
      </c>
      <c r="G265" s="747">
        <f t="shared" si="205"/>
        <v>60</v>
      </c>
      <c r="H265" s="469">
        <f t="shared" ref="H265:J265" si="255">F265*5</f>
        <v>60</v>
      </c>
      <c r="I265" s="469">
        <f t="shared" si="255"/>
        <v>300</v>
      </c>
      <c r="J265" s="469">
        <f t="shared" si="255"/>
        <v>300</v>
      </c>
      <c r="K265" s="469">
        <f t="shared" si="207"/>
        <v>1500</v>
      </c>
      <c r="L265" s="469">
        <f t="shared" si="208"/>
        <v>90</v>
      </c>
      <c r="M265" s="469">
        <f t="shared" si="209"/>
        <v>450</v>
      </c>
      <c r="N265" s="469" t="s">
        <v>3412</v>
      </c>
    </row>
    <row r="266" spans="1:14" ht="22.5" customHeight="1">
      <c r="A266" s="761">
        <v>249</v>
      </c>
      <c r="B266" s="761" t="s">
        <v>3353</v>
      </c>
      <c r="C266" s="466" t="s">
        <v>3413</v>
      </c>
      <c r="D266" s="466" t="s">
        <v>3355</v>
      </c>
      <c r="E266" s="762">
        <v>5</v>
      </c>
      <c r="F266" s="747">
        <v>12</v>
      </c>
      <c r="G266" s="747">
        <f t="shared" si="205"/>
        <v>60</v>
      </c>
      <c r="H266" s="469">
        <f t="shared" ref="H266:J266" si="256">F266*5</f>
        <v>60</v>
      </c>
      <c r="I266" s="469">
        <f t="shared" si="256"/>
        <v>300</v>
      </c>
      <c r="J266" s="469">
        <f t="shared" si="256"/>
        <v>300</v>
      </c>
      <c r="K266" s="469">
        <f t="shared" si="207"/>
        <v>1500</v>
      </c>
      <c r="L266" s="469">
        <f t="shared" si="208"/>
        <v>90</v>
      </c>
      <c r="M266" s="469">
        <f t="shared" si="209"/>
        <v>450</v>
      </c>
      <c r="N266" s="469" t="s">
        <v>3414</v>
      </c>
    </row>
    <row r="267" spans="1:14" ht="22.5" customHeight="1">
      <c r="A267" s="761">
        <v>250</v>
      </c>
      <c r="B267" s="761" t="s">
        <v>3353</v>
      </c>
      <c r="C267" s="466" t="s">
        <v>3415</v>
      </c>
      <c r="D267" s="466" t="s">
        <v>3355</v>
      </c>
      <c r="E267" s="762">
        <v>5</v>
      </c>
      <c r="F267" s="747">
        <v>12</v>
      </c>
      <c r="G267" s="747">
        <f t="shared" si="205"/>
        <v>60</v>
      </c>
      <c r="H267" s="469">
        <f t="shared" ref="H267:J267" si="257">F267*5</f>
        <v>60</v>
      </c>
      <c r="I267" s="469">
        <f t="shared" si="257"/>
        <v>300</v>
      </c>
      <c r="J267" s="469">
        <f t="shared" si="257"/>
        <v>300</v>
      </c>
      <c r="K267" s="469">
        <f t="shared" si="207"/>
        <v>1500</v>
      </c>
      <c r="L267" s="469">
        <f t="shared" si="208"/>
        <v>90</v>
      </c>
      <c r="M267" s="469">
        <f t="shared" si="209"/>
        <v>450</v>
      </c>
      <c r="N267" s="469" t="s">
        <v>3416</v>
      </c>
    </row>
    <row r="268" spans="1:14" ht="22.5" customHeight="1">
      <c r="A268" s="761">
        <v>251</v>
      </c>
      <c r="B268" s="761" t="s">
        <v>3353</v>
      </c>
      <c r="C268" s="466" t="s">
        <v>3417</v>
      </c>
      <c r="D268" s="466" t="s">
        <v>3355</v>
      </c>
      <c r="E268" s="762">
        <v>3.5</v>
      </c>
      <c r="F268" s="747">
        <v>12</v>
      </c>
      <c r="G268" s="747">
        <f t="shared" si="205"/>
        <v>42</v>
      </c>
      <c r="H268" s="469">
        <f t="shared" ref="H268:J268" si="258">F268*5</f>
        <v>60</v>
      </c>
      <c r="I268" s="469">
        <f t="shared" si="258"/>
        <v>210</v>
      </c>
      <c r="J268" s="469">
        <f t="shared" si="258"/>
        <v>300</v>
      </c>
      <c r="K268" s="469">
        <f t="shared" si="207"/>
        <v>1050</v>
      </c>
      <c r="L268" s="469">
        <f t="shared" si="208"/>
        <v>90</v>
      </c>
      <c r="M268" s="469">
        <f t="shared" si="209"/>
        <v>315</v>
      </c>
      <c r="N268" s="469"/>
    </row>
    <row r="269" spans="1:14" ht="22.5" customHeight="1">
      <c r="A269" s="761">
        <v>252</v>
      </c>
      <c r="B269" s="761" t="s">
        <v>3353</v>
      </c>
      <c r="C269" s="466" t="s">
        <v>3418</v>
      </c>
      <c r="D269" s="466" t="s">
        <v>3355</v>
      </c>
      <c r="E269" s="762">
        <v>5</v>
      </c>
      <c r="F269" s="747">
        <v>12</v>
      </c>
      <c r="G269" s="747">
        <f t="shared" si="205"/>
        <v>60</v>
      </c>
      <c r="H269" s="469">
        <f t="shared" ref="H269:J269" si="259">F269*5</f>
        <v>60</v>
      </c>
      <c r="I269" s="469">
        <f t="shared" si="259"/>
        <v>300</v>
      </c>
      <c r="J269" s="469">
        <f t="shared" si="259"/>
        <v>300</v>
      </c>
      <c r="K269" s="469">
        <f t="shared" si="207"/>
        <v>1500</v>
      </c>
      <c r="L269" s="469">
        <f t="shared" si="208"/>
        <v>90</v>
      </c>
      <c r="M269" s="469">
        <f t="shared" si="209"/>
        <v>450</v>
      </c>
      <c r="N269" s="469" t="s">
        <v>3419</v>
      </c>
    </row>
    <row r="270" spans="1:14" ht="22.5" customHeight="1">
      <c r="A270" s="761">
        <v>253</v>
      </c>
      <c r="B270" s="761" t="s">
        <v>3353</v>
      </c>
      <c r="C270" s="466" t="s">
        <v>3420</v>
      </c>
      <c r="D270" s="466" t="s">
        <v>3355</v>
      </c>
      <c r="E270" s="762">
        <v>5</v>
      </c>
      <c r="F270" s="747">
        <v>12</v>
      </c>
      <c r="G270" s="747">
        <f t="shared" si="205"/>
        <v>60</v>
      </c>
      <c r="H270" s="469">
        <f t="shared" ref="H270:J270" si="260">F270*5</f>
        <v>60</v>
      </c>
      <c r="I270" s="469">
        <f t="shared" si="260"/>
        <v>300</v>
      </c>
      <c r="J270" s="469">
        <f t="shared" si="260"/>
        <v>300</v>
      </c>
      <c r="K270" s="469">
        <f t="shared" si="207"/>
        <v>1500</v>
      </c>
      <c r="L270" s="469">
        <f t="shared" si="208"/>
        <v>90</v>
      </c>
      <c r="M270" s="469">
        <f t="shared" si="209"/>
        <v>450</v>
      </c>
      <c r="N270" s="469" t="s">
        <v>3421</v>
      </c>
    </row>
    <row r="271" spans="1:14" ht="22.5" customHeight="1">
      <c r="A271" s="761">
        <v>254</v>
      </c>
      <c r="B271" s="761" t="s">
        <v>3353</v>
      </c>
      <c r="C271" s="466" t="s">
        <v>3422</v>
      </c>
      <c r="D271" s="466" t="s">
        <v>3355</v>
      </c>
      <c r="E271" s="762">
        <v>5</v>
      </c>
      <c r="F271" s="747">
        <v>12</v>
      </c>
      <c r="G271" s="747">
        <f t="shared" si="205"/>
        <v>60</v>
      </c>
      <c r="H271" s="469">
        <f t="shared" ref="H271:J271" si="261">F271*5</f>
        <v>60</v>
      </c>
      <c r="I271" s="469">
        <f t="shared" si="261"/>
        <v>300</v>
      </c>
      <c r="J271" s="469">
        <f t="shared" si="261"/>
        <v>300</v>
      </c>
      <c r="K271" s="469">
        <f t="shared" si="207"/>
        <v>1500</v>
      </c>
      <c r="L271" s="469">
        <f t="shared" si="208"/>
        <v>90</v>
      </c>
      <c r="M271" s="469">
        <f t="shared" si="209"/>
        <v>450</v>
      </c>
      <c r="N271" s="469" t="s">
        <v>3423</v>
      </c>
    </row>
    <row r="272" spans="1:14" ht="22.5" customHeight="1">
      <c r="A272" s="761">
        <v>255</v>
      </c>
      <c r="B272" s="761" t="s">
        <v>3353</v>
      </c>
      <c r="C272" s="466" t="s">
        <v>3424</v>
      </c>
      <c r="D272" s="466" t="s">
        <v>3355</v>
      </c>
      <c r="E272" s="762">
        <v>5</v>
      </c>
      <c r="F272" s="747">
        <v>12</v>
      </c>
      <c r="G272" s="747">
        <f t="shared" si="205"/>
        <v>60</v>
      </c>
      <c r="H272" s="469">
        <f t="shared" ref="H272:J272" si="262">F272*5</f>
        <v>60</v>
      </c>
      <c r="I272" s="469">
        <f t="shared" si="262"/>
        <v>300</v>
      </c>
      <c r="J272" s="469">
        <f t="shared" si="262"/>
        <v>300</v>
      </c>
      <c r="K272" s="469">
        <f t="shared" si="207"/>
        <v>1500</v>
      </c>
      <c r="L272" s="469">
        <f t="shared" si="208"/>
        <v>90</v>
      </c>
      <c r="M272" s="469">
        <f t="shared" si="209"/>
        <v>450</v>
      </c>
      <c r="N272" s="469" t="s">
        <v>3425</v>
      </c>
    </row>
    <row r="273" spans="1:14" ht="22.5" customHeight="1">
      <c r="A273" s="761">
        <v>256</v>
      </c>
      <c r="B273" s="761" t="s">
        <v>3353</v>
      </c>
      <c r="C273" s="466" t="s">
        <v>3426</v>
      </c>
      <c r="D273" s="466" t="s">
        <v>3355</v>
      </c>
      <c r="E273" s="762">
        <v>5</v>
      </c>
      <c r="F273" s="747">
        <v>12</v>
      </c>
      <c r="G273" s="747">
        <f t="shared" si="205"/>
        <v>60</v>
      </c>
      <c r="H273" s="469">
        <f t="shared" ref="H273:J273" si="263">F273*5</f>
        <v>60</v>
      </c>
      <c r="I273" s="469">
        <f t="shared" si="263"/>
        <v>300</v>
      </c>
      <c r="J273" s="469">
        <f t="shared" si="263"/>
        <v>300</v>
      </c>
      <c r="K273" s="469">
        <f t="shared" si="207"/>
        <v>1500</v>
      </c>
      <c r="L273" s="469">
        <f t="shared" si="208"/>
        <v>90</v>
      </c>
      <c r="M273" s="469">
        <f t="shared" si="209"/>
        <v>450</v>
      </c>
      <c r="N273" s="469" t="s">
        <v>3427</v>
      </c>
    </row>
    <row r="274" spans="1:14" ht="22.5" customHeight="1">
      <c r="A274" s="761">
        <v>257</v>
      </c>
      <c r="B274" s="761" t="s">
        <v>3353</v>
      </c>
      <c r="C274" s="466" t="s">
        <v>3428</v>
      </c>
      <c r="D274" s="466" t="s">
        <v>3355</v>
      </c>
      <c r="E274" s="762">
        <v>5</v>
      </c>
      <c r="F274" s="747">
        <v>12</v>
      </c>
      <c r="G274" s="747">
        <f t="shared" si="205"/>
        <v>60</v>
      </c>
      <c r="H274" s="469">
        <f t="shared" ref="H274:J274" si="264">F274*5</f>
        <v>60</v>
      </c>
      <c r="I274" s="469">
        <f t="shared" si="264"/>
        <v>300</v>
      </c>
      <c r="J274" s="469">
        <f t="shared" si="264"/>
        <v>300</v>
      </c>
      <c r="K274" s="469">
        <f t="shared" si="207"/>
        <v>1500</v>
      </c>
      <c r="L274" s="469">
        <f t="shared" si="208"/>
        <v>90</v>
      </c>
      <c r="M274" s="469">
        <f t="shared" si="209"/>
        <v>450</v>
      </c>
      <c r="N274" s="469" t="s">
        <v>3429</v>
      </c>
    </row>
    <row r="275" spans="1:14" ht="22.5" customHeight="1">
      <c r="A275" s="761">
        <v>258</v>
      </c>
      <c r="B275" s="761" t="s">
        <v>3353</v>
      </c>
      <c r="C275" s="466" t="s">
        <v>3430</v>
      </c>
      <c r="D275" s="466" t="s">
        <v>3355</v>
      </c>
      <c r="E275" s="762">
        <v>5</v>
      </c>
      <c r="F275" s="747">
        <v>12</v>
      </c>
      <c r="G275" s="747">
        <f t="shared" si="205"/>
        <v>60</v>
      </c>
      <c r="H275" s="469">
        <f t="shared" ref="H275:J275" si="265">F275*5</f>
        <v>60</v>
      </c>
      <c r="I275" s="469">
        <f t="shared" si="265"/>
        <v>300</v>
      </c>
      <c r="J275" s="469">
        <f t="shared" si="265"/>
        <v>300</v>
      </c>
      <c r="K275" s="469">
        <f t="shared" si="207"/>
        <v>1500</v>
      </c>
      <c r="L275" s="469">
        <f t="shared" si="208"/>
        <v>90</v>
      </c>
      <c r="M275" s="469">
        <f t="shared" si="209"/>
        <v>450</v>
      </c>
      <c r="N275" s="469" t="s">
        <v>3431</v>
      </c>
    </row>
    <row r="276" spans="1:14" ht="22.5" customHeight="1">
      <c r="A276" s="761">
        <v>259</v>
      </c>
      <c r="B276" s="761" t="s">
        <v>3353</v>
      </c>
      <c r="C276" s="466" t="s">
        <v>3432</v>
      </c>
      <c r="D276" s="466" t="s">
        <v>3355</v>
      </c>
      <c r="E276" s="762">
        <v>5</v>
      </c>
      <c r="F276" s="747">
        <v>12</v>
      </c>
      <c r="G276" s="747">
        <f t="shared" si="205"/>
        <v>60</v>
      </c>
      <c r="H276" s="469">
        <f t="shared" ref="H276:J276" si="266">F276*5</f>
        <v>60</v>
      </c>
      <c r="I276" s="469">
        <f t="shared" si="266"/>
        <v>300</v>
      </c>
      <c r="J276" s="469">
        <f t="shared" si="266"/>
        <v>300</v>
      </c>
      <c r="K276" s="469">
        <f t="shared" si="207"/>
        <v>1500</v>
      </c>
      <c r="L276" s="469">
        <f t="shared" si="208"/>
        <v>90</v>
      </c>
      <c r="M276" s="469">
        <f t="shared" si="209"/>
        <v>450</v>
      </c>
      <c r="N276" s="469" t="s">
        <v>3433</v>
      </c>
    </row>
    <row r="277" spans="1:14" ht="22.5" customHeight="1">
      <c r="A277" s="761">
        <v>260</v>
      </c>
      <c r="B277" s="761" t="s">
        <v>3353</v>
      </c>
      <c r="C277" s="466" t="s">
        <v>3434</v>
      </c>
      <c r="D277" s="466" t="s">
        <v>3355</v>
      </c>
      <c r="E277" s="762">
        <v>5</v>
      </c>
      <c r="F277" s="747">
        <v>12</v>
      </c>
      <c r="G277" s="747">
        <f t="shared" si="205"/>
        <v>60</v>
      </c>
      <c r="H277" s="469">
        <f t="shared" ref="H277:J277" si="267">F277*5</f>
        <v>60</v>
      </c>
      <c r="I277" s="469">
        <f t="shared" si="267"/>
        <v>300</v>
      </c>
      <c r="J277" s="469">
        <f t="shared" si="267"/>
        <v>300</v>
      </c>
      <c r="K277" s="469">
        <f t="shared" si="207"/>
        <v>1500</v>
      </c>
      <c r="L277" s="469">
        <f t="shared" si="208"/>
        <v>90</v>
      </c>
      <c r="M277" s="469">
        <f t="shared" si="209"/>
        <v>450</v>
      </c>
      <c r="N277" s="469" t="s">
        <v>3435</v>
      </c>
    </row>
    <row r="278" spans="1:14" ht="22.5" customHeight="1">
      <c r="A278" s="761">
        <v>261</v>
      </c>
      <c r="B278" s="761" t="s">
        <v>3353</v>
      </c>
      <c r="C278" s="466" t="s">
        <v>3436</v>
      </c>
      <c r="D278" s="466" t="s">
        <v>3355</v>
      </c>
      <c r="E278" s="762">
        <v>5</v>
      </c>
      <c r="F278" s="747">
        <v>12</v>
      </c>
      <c r="G278" s="747">
        <f t="shared" si="205"/>
        <v>60</v>
      </c>
      <c r="H278" s="469">
        <f t="shared" ref="H278:J278" si="268">F278*5</f>
        <v>60</v>
      </c>
      <c r="I278" s="469">
        <f t="shared" si="268"/>
        <v>300</v>
      </c>
      <c r="J278" s="469">
        <f t="shared" si="268"/>
        <v>300</v>
      </c>
      <c r="K278" s="469">
        <f t="shared" si="207"/>
        <v>1500</v>
      </c>
      <c r="L278" s="469">
        <f t="shared" si="208"/>
        <v>90</v>
      </c>
      <c r="M278" s="469">
        <f t="shared" si="209"/>
        <v>450</v>
      </c>
      <c r="N278" s="469" t="s">
        <v>3437</v>
      </c>
    </row>
    <row r="279" spans="1:14" ht="22.5" customHeight="1">
      <c r="A279" s="761">
        <v>262</v>
      </c>
      <c r="B279" s="761" t="s">
        <v>3353</v>
      </c>
      <c r="C279" s="466" t="s">
        <v>3438</v>
      </c>
      <c r="D279" s="466" t="s">
        <v>3355</v>
      </c>
      <c r="E279" s="762">
        <v>5</v>
      </c>
      <c r="F279" s="747">
        <v>12</v>
      </c>
      <c r="G279" s="747">
        <f t="shared" si="205"/>
        <v>60</v>
      </c>
      <c r="H279" s="469">
        <f t="shared" ref="H279:J279" si="269">F279*5</f>
        <v>60</v>
      </c>
      <c r="I279" s="469">
        <f t="shared" si="269"/>
        <v>300</v>
      </c>
      <c r="J279" s="469">
        <f t="shared" si="269"/>
        <v>300</v>
      </c>
      <c r="K279" s="469">
        <f t="shared" si="207"/>
        <v>1500</v>
      </c>
      <c r="L279" s="469">
        <f t="shared" si="208"/>
        <v>90</v>
      </c>
      <c r="M279" s="469">
        <f t="shared" si="209"/>
        <v>450</v>
      </c>
      <c r="N279" s="469" t="s">
        <v>3439</v>
      </c>
    </row>
    <row r="280" spans="1:14" ht="22.5" customHeight="1">
      <c r="A280" s="761">
        <v>263</v>
      </c>
      <c r="B280" s="761" t="s">
        <v>3353</v>
      </c>
      <c r="C280" s="466" t="s">
        <v>3440</v>
      </c>
      <c r="D280" s="466" t="s">
        <v>3355</v>
      </c>
      <c r="E280" s="762">
        <v>5</v>
      </c>
      <c r="F280" s="747">
        <v>12</v>
      </c>
      <c r="G280" s="747">
        <f t="shared" si="205"/>
        <v>60</v>
      </c>
      <c r="H280" s="469">
        <f t="shared" ref="H280:J280" si="270">F280*5</f>
        <v>60</v>
      </c>
      <c r="I280" s="469">
        <f t="shared" si="270"/>
        <v>300</v>
      </c>
      <c r="J280" s="469">
        <f t="shared" si="270"/>
        <v>300</v>
      </c>
      <c r="K280" s="469">
        <f t="shared" si="207"/>
        <v>1500</v>
      </c>
      <c r="L280" s="469">
        <f t="shared" si="208"/>
        <v>90</v>
      </c>
      <c r="M280" s="469">
        <f t="shared" si="209"/>
        <v>450</v>
      </c>
      <c r="N280" s="469" t="s">
        <v>3441</v>
      </c>
    </row>
    <row r="281" spans="1:14" ht="22.5" customHeight="1">
      <c r="A281" s="761">
        <v>264</v>
      </c>
      <c r="B281" s="761" t="s">
        <v>3353</v>
      </c>
      <c r="C281" s="466" t="s">
        <v>3442</v>
      </c>
      <c r="D281" s="466" t="s">
        <v>3355</v>
      </c>
      <c r="E281" s="762">
        <v>5</v>
      </c>
      <c r="F281" s="747">
        <v>12</v>
      </c>
      <c r="G281" s="747">
        <f t="shared" si="205"/>
        <v>60</v>
      </c>
      <c r="H281" s="469">
        <f t="shared" ref="H281:J281" si="271">F281*5</f>
        <v>60</v>
      </c>
      <c r="I281" s="469">
        <f t="shared" si="271"/>
        <v>300</v>
      </c>
      <c r="J281" s="469">
        <f t="shared" si="271"/>
        <v>300</v>
      </c>
      <c r="K281" s="469">
        <f t="shared" si="207"/>
        <v>1500</v>
      </c>
      <c r="L281" s="469">
        <f t="shared" si="208"/>
        <v>90</v>
      </c>
      <c r="M281" s="469">
        <f t="shared" si="209"/>
        <v>450</v>
      </c>
      <c r="N281" s="469" t="s">
        <v>3441</v>
      </c>
    </row>
    <row r="282" spans="1:14" ht="22.5" customHeight="1">
      <c r="A282" s="761">
        <v>265</v>
      </c>
      <c r="B282" s="761" t="s">
        <v>3353</v>
      </c>
      <c r="C282" s="466" t="s">
        <v>3443</v>
      </c>
      <c r="D282" s="466" t="s">
        <v>3355</v>
      </c>
      <c r="E282" s="762">
        <v>5</v>
      </c>
      <c r="F282" s="747">
        <v>12</v>
      </c>
      <c r="G282" s="747">
        <f t="shared" si="205"/>
        <v>60</v>
      </c>
      <c r="H282" s="469">
        <f t="shared" ref="H282:J282" si="272">F282*5</f>
        <v>60</v>
      </c>
      <c r="I282" s="469">
        <f t="shared" si="272"/>
        <v>300</v>
      </c>
      <c r="J282" s="469">
        <f t="shared" si="272"/>
        <v>300</v>
      </c>
      <c r="K282" s="469">
        <f t="shared" si="207"/>
        <v>1500</v>
      </c>
      <c r="L282" s="469">
        <f t="shared" si="208"/>
        <v>90</v>
      </c>
      <c r="M282" s="469">
        <f t="shared" si="209"/>
        <v>450</v>
      </c>
      <c r="N282" s="469" t="s">
        <v>3444</v>
      </c>
    </row>
    <row r="283" spans="1:14" ht="22.5" customHeight="1">
      <c r="A283" s="761">
        <v>266</v>
      </c>
      <c r="B283" s="761" t="s">
        <v>3353</v>
      </c>
      <c r="C283" s="466" t="s">
        <v>3445</v>
      </c>
      <c r="D283" s="466" t="s">
        <v>3355</v>
      </c>
      <c r="E283" s="762">
        <v>5</v>
      </c>
      <c r="F283" s="747">
        <v>12</v>
      </c>
      <c r="G283" s="747">
        <f t="shared" si="205"/>
        <v>60</v>
      </c>
      <c r="H283" s="469">
        <f t="shared" ref="H283:J283" si="273">F283*5</f>
        <v>60</v>
      </c>
      <c r="I283" s="469">
        <f t="shared" si="273"/>
        <v>300</v>
      </c>
      <c r="J283" s="469">
        <f t="shared" si="273"/>
        <v>300</v>
      </c>
      <c r="K283" s="469">
        <f t="shared" si="207"/>
        <v>1500</v>
      </c>
      <c r="L283" s="469">
        <f t="shared" si="208"/>
        <v>90</v>
      </c>
      <c r="M283" s="469">
        <f t="shared" si="209"/>
        <v>450</v>
      </c>
      <c r="N283" s="469" t="s">
        <v>3446</v>
      </c>
    </row>
    <row r="284" spans="1:14" ht="22.5" customHeight="1">
      <c r="A284" s="761">
        <v>267</v>
      </c>
      <c r="B284" s="761" t="s">
        <v>3353</v>
      </c>
      <c r="C284" s="466" t="s">
        <v>3447</v>
      </c>
      <c r="D284" s="466" t="s">
        <v>3355</v>
      </c>
      <c r="E284" s="762">
        <v>5</v>
      </c>
      <c r="F284" s="747">
        <v>12</v>
      </c>
      <c r="G284" s="747">
        <f t="shared" si="205"/>
        <v>60</v>
      </c>
      <c r="H284" s="469">
        <f t="shared" ref="H284:J284" si="274">F284*5</f>
        <v>60</v>
      </c>
      <c r="I284" s="469">
        <f t="shared" si="274"/>
        <v>300</v>
      </c>
      <c r="J284" s="469">
        <f t="shared" si="274"/>
        <v>300</v>
      </c>
      <c r="K284" s="469">
        <f t="shared" si="207"/>
        <v>1500</v>
      </c>
      <c r="L284" s="469">
        <f t="shared" si="208"/>
        <v>90</v>
      </c>
      <c r="M284" s="469">
        <f t="shared" si="209"/>
        <v>450</v>
      </c>
      <c r="N284" s="469" t="s">
        <v>3448</v>
      </c>
    </row>
    <row r="285" spans="1:14" ht="22.5" customHeight="1">
      <c r="A285" s="761">
        <v>268</v>
      </c>
      <c r="B285" s="761" t="s">
        <v>3353</v>
      </c>
      <c r="C285" s="466" t="s">
        <v>3449</v>
      </c>
      <c r="D285" s="466" t="s">
        <v>3355</v>
      </c>
      <c r="E285" s="763">
        <v>5</v>
      </c>
      <c r="F285" s="764">
        <v>12</v>
      </c>
      <c r="G285" s="764">
        <f t="shared" si="205"/>
        <v>60</v>
      </c>
      <c r="H285" s="469">
        <f t="shared" ref="H285:J285" si="275">F285*5</f>
        <v>60</v>
      </c>
      <c r="I285" s="469">
        <f t="shared" si="275"/>
        <v>300</v>
      </c>
      <c r="J285" s="469">
        <f t="shared" si="275"/>
        <v>300</v>
      </c>
      <c r="K285" s="469">
        <f t="shared" si="207"/>
        <v>1500</v>
      </c>
      <c r="L285" s="469">
        <f t="shared" si="208"/>
        <v>90</v>
      </c>
      <c r="M285" s="469">
        <f t="shared" si="209"/>
        <v>450</v>
      </c>
      <c r="N285" s="469" t="s">
        <v>3450</v>
      </c>
    </row>
    <row r="286" spans="1:14" ht="22.5" customHeight="1">
      <c r="A286" s="1002" t="s">
        <v>318</v>
      </c>
      <c r="B286" s="931"/>
      <c r="C286" s="932"/>
      <c r="D286" s="751">
        <f>COUNTA(D219:D285)</f>
        <v>67</v>
      </c>
      <c r="E286" s="765">
        <f>SUM(E219:E285)</f>
        <v>341</v>
      </c>
      <c r="F286" s="750"/>
      <c r="G286" s="752">
        <f>SUM(G219:G285)</f>
        <v>4092</v>
      </c>
      <c r="H286" s="755"/>
      <c r="I286" s="753">
        <f>SUM(I219:I285)</f>
        <v>20460</v>
      </c>
      <c r="J286" s="755"/>
      <c r="K286" s="755"/>
      <c r="L286" s="755"/>
      <c r="M286" s="755"/>
      <c r="N286" s="755"/>
    </row>
    <row r="287" spans="1:14" ht="13.8">
      <c r="A287" s="756"/>
      <c r="B287" s="741"/>
      <c r="C287" s="741"/>
      <c r="D287" s="756"/>
      <c r="E287" s="741"/>
      <c r="F287" s="756"/>
      <c r="G287" s="757"/>
      <c r="H287" s="756"/>
      <c r="I287" s="758"/>
      <c r="J287" s="759"/>
      <c r="K287" s="760"/>
      <c r="L287" s="760"/>
      <c r="M287" s="760"/>
      <c r="N287" s="760"/>
    </row>
    <row r="288" spans="1:14" ht="13.8">
      <c r="A288" s="756"/>
      <c r="B288" s="741"/>
      <c r="C288" s="741"/>
      <c r="D288" s="756"/>
      <c r="E288" s="741"/>
      <c r="F288" s="756"/>
      <c r="G288" s="757"/>
      <c r="H288" s="756"/>
      <c r="I288" s="758"/>
      <c r="J288" s="759"/>
      <c r="K288" s="760"/>
      <c r="L288" s="760"/>
      <c r="M288" s="760"/>
      <c r="N288" s="760"/>
    </row>
    <row r="289" spans="1:14" ht="13.2">
      <c r="A289" s="1003" t="s">
        <v>58</v>
      </c>
      <c r="B289" s="931"/>
      <c r="C289" s="931"/>
      <c r="D289" s="931"/>
      <c r="E289" s="931"/>
      <c r="F289" s="931"/>
      <c r="G289" s="931"/>
      <c r="H289" s="931"/>
      <c r="I289" s="931"/>
      <c r="J289" s="931"/>
      <c r="K289" s="931"/>
      <c r="L289" s="931"/>
      <c r="M289" s="931"/>
      <c r="N289" s="932"/>
    </row>
    <row r="290" spans="1:14" ht="22.5" customHeight="1">
      <c r="A290" s="473" t="s">
        <v>165</v>
      </c>
      <c r="B290" s="490" t="s">
        <v>166</v>
      </c>
      <c r="C290" s="490" t="s">
        <v>167</v>
      </c>
      <c r="D290" s="741" t="s">
        <v>168</v>
      </c>
      <c r="E290" s="490" t="s">
        <v>169</v>
      </c>
      <c r="F290" s="742" t="s">
        <v>3451</v>
      </c>
      <c r="G290" s="743" t="s">
        <v>3452</v>
      </c>
      <c r="H290" s="744" t="s">
        <v>3453</v>
      </c>
      <c r="I290" s="744" t="s">
        <v>3454</v>
      </c>
      <c r="J290" s="745" t="s">
        <v>3455</v>
      </c>
      <c r="K290" s="745" t="s">
        <v>3456</v>
      </c>
      <c r="L290" s="431" t="s">
        <v>175</v>
      </c>
      <c r="M290" s="431" t="s">
        <v>3457</v>
      </c>
      <c r="N290" s="333" t="s">
        <v>3107</v>
      </c>
    </row>
    <row r="291" spans="1:14" ht="27.6">
      <c r="A291" s="333">
        <v>269</v>
      </c>
      <c r="B291" s="333" t="s">
        <v>3458</v>
      </c>
      <c r="C291" s="333" t="s">
        <v>3459</v>
      </c>
      <c r="D291" s="333" t="s">
        <v>3460</v>
      </c>
      <c r="E291" s="401">
        <v>7</v>
      </c>
      <c r="F291" s="766">
        <v>24</v>
      </c>
      <c r="G291" s="766">
        <f t="shared" ref="G291:G345" si="276">F291*E291</f>
        <v>168</v>
      </c>
      <c r="H291" s="385">
        <f t="shared" ref="H291:H345" si="277">F291*5</f>
        <v>120</v>
      </c>
      <c r="I291" s="385">
        <f t="shared" ref="I291:I345" si="278">H291*E291</f>
        <v>840</v>
      </c>
      <c r="J291" s="766">
        <f t="shared" ref="J291:J345" si="279">H291*5</f>
        <v>600</v>
      </c>
      <c r="K291" s="385">
        <f t="shared" ref="K291:K345" si="280">J291*E291</f>
        <v>4200</v>
      </c>
      <c r="L291" s="385">
        <f t="shared" ref="L291:L330" si="281">H291+20</f>
        <v>140</v>
      </c>
      <c r="M291" s="385">
        <f t="shared" ref="M291:M345" si="282">L291*E291</f>
        <v>980</v>
      </c>
      <c r="N291" s="385" t="s">
        <v>3461</v>
      </c>
    </row>
    <row r="292" spans="1:14" ht="41.4">
      <c r="A292" s="333">
        <v>270</v>
      </c>
      <c r="B292" s="333" t="s">
        <v>3458</v>
      </c>
      <c r="C292" s="333" t="s">
        <v>3462</v>
      </c>
      <c r="D292" s="333" t="s">
        <v>3460</v>
      </c>
      <c r="E292" s="401">
        <v>5</v>
      </c>
      <c r="F292" s="766">
        <v>24</v>
      </c>
      <c r="G292" s="766">
        <f t="shared" si="276"/>
        <v>120</v>
      </c>
      <c r="H292" s="385">
        <f t="shared" si="277"/>
        <v>120</v>
      </c>
      <c r="I292" s="385">
        <f t="shared" si="278"/>
        <v>600</v>
      </c>
      <c r="J292" s="766">
        <f t="shared" si="279"/>
        <v>600</v>
      </c>
      <c r="K292" s="385">
        <f t="shared" si="280"/>
        <v>3000</v>
      </c>
      <c r="L292" s="385">
        <f t="shared" si="281"/>
        <v>140</v>
      </c>
      <c r="M292" s="385">
        <f t="shared" si="282"/>
        <v>700</v>
      </c>
      <c r="N292" s="385" t="s">
        <v>3463</v>
      </c>
    </row>
    <row r="293" spans="1:14" ht="27.6">
      <c r="A293" s="333">
        <v>271</v>
      </c>
      <c r="B293" s="333" t="s">
        <v>3458</v>
      </c>
      <c r="C293" s="333" t="s">
        <v>3464</v>
      </c>
      <c r="D293" s="333" t="s">
        <v>3460</v>
      </c>
      <c r="E293" s="401">
        <v>4.5</v>
      </c>
      <c r="F293" s="766">
        <v>24</v>
      </c>
      <c r="G293" s="766">
        <f t="shared" si="276"/>
        <v>108</v>
      </c>
      <c r="H293" s="385">
        <f t="shared" si="277"/>
        <v>120</v>
      </c>
      <c r="I293" s="385">
        <f t="shared" si="278"/>
        <v>540</v>
      </c>
      <c r="J293" s="766">
        <f t="shared" si="279"/>
        <v>600</v>
      </c>
      <c r="K293" s="385">
        <f t="shared" si="280"/>
        <v>2700</v>
      </c>
      <c r="L293" s="385">
        <f t="shared" si="281"/>
        <v>140</v>
      </c>
      <c r="M293" s="385">
        <f t="shared" si="282"/>
        <v>630</v>
      </c>
      <c r="N293" s="385" t="s">
        <v>3465</v>
      </c>
    </row>
    <row r="294" spans="1:14" ht="13.8">
      <c r="A294" s="333">
        <v>272</v>
      </c>
      <c r="B294" s="333" t="s">
        <v>3458</v>
      </c>
      <c r="C294" s="333" t="s">
        <v>3466</v>
      </c>
      <c r="D294" s="333" t="s">
        <v>3460</v>
      </c>
      <c r="E294" s="401">
        <v>5</v>
      </c>
      <c r="F294" s="766">
        <v>24</v>
      </c>
      <c r="G294" s="766">
        <f t="shared" si="276"/>
        <v>120</v>
      </c>
      <c r="H294" s="385">
        <f t="shared" si="277"/>
        <v>120</v>
      </c>
      <c r="I294" s="385">
        <f t="shared" si="278"/>
        <v>600</v>
      </c>
      <c r="J294" s="766">
        <f t="shared" si="279"/>
        <v>600</v>
      </c>
      <c r="K294" s="385">
        <f t="shared" si="280"/>
        <v>3000</v>
      </c>
      <c r="L294" s="385">
        <f t="shared" si="281"/>
        <v>140</v>
      </c>
      <c r="M294" s="385">
        <f t="shared" si="282"/>
        <v>700</v>
      </c>
      <c r="N294" s="385" t="s">
        <v>3467</v>
      </c>
    </row>
    <row r="295" spans="1:14" ht="13.8">
      <c r="A295" s="333">
        <v>273</v>
      </c>
      <c r="B295" s="333" t="s">
        <v>3458</v>
      </c>
      <c r="C295" s="333" t="s">
        <v>3468</v>
      </c>
      <c r="D295" s="333" t="s">
        <v>3460</v>
      </c>
      <c r="E295" s="401">
        <v>5</v>
      </c>
      <c r="F295" s="766">
        <v>24</v>
      </c>
      <c r="G295" s="766">
        <f t="shared" si="276"/>
        <v>120</v>
      </c>
      <c r="H295" s="385">
        <f t="shared" si="277"/>
        <v>120</v>
      </c>
      <c r="I295" s="385">
        <f t="shared" si="278"/>
        <v>600</v>
      </c>
      <c r="J295" s="766">
        <f t="shared" si="279"/>
        <v>600</v>
      </c>
      <c r="K295" s="385">
        <f t="shared" si="280"/>
        <v>3000</v>
      </c>
      <c r="L295" s="385">
        <f t="shared" si="281"/>
        <v>140</v>
      </c>
      <c r="M295" s="385">
        <f t="shared" si="282"/>
        <v>700</v>
      </c>
      <c r="N295" s="385" t="s">
        <v>3469</v>
      </c>
    </row>
    <row r="296" spans="1:14" ht="13.8">
      <c r="A296" s="333">
        <v>274</v>
      </c>
      <c r="B296" s="333" t="s">
        <v>3458</v>
      </c>
      <c r="C296" s="333" t="s">
        <v>3470</v>
      </c>
      <c r="D296" s="333" t="s">
        <v>3460</v>
      </c>
      <c r="E296" s="401">
        <v>5</v>
      </c>
      <c r="F296" s="766">
        <v>24</v>
      </c>
      <c r="G296" s="766">
        <f t="shared" si="276"/>
        <v>120</v>
      </c>
      <c r="H296" s="385">
        <f t="shared" si="277"/>
        <v>120</v>
      </c>
      <c r="I296" s="385">
        <f t="shared" si="278"/>
        <v>600</v>
      </c>
      <c r="J296" s="766">
        <f t="shared" si="279"/>
        <v>600</v>
      </c>
      <c r="K296" s="385">
        <f t="shared" si="280"/>
        <v>3000</v>
      </c>
      <c r="L296" s="385">
        <f t="shared" si="281"/>
        <v>140</v>
      </c>
      <c r="M296" s="385">
        <f t="shared" si="282"/>
        <v>700</v>
      </c>
      <c r="N296" s="385" t="s">
        <v>3471</v>
      </c>
    </row>
    <row r="297" spans="1:14" ht="13.8">
      <c r="A297" s="333">
        <v>275</v>
      </c>
      <c r="B297" s="333" t="s">
        <v>3458</v>
      </c>
      <c r="C297" s="333" t="s">
        <v>3472</v>
      </c>
      <c r="D297" s="333" t="s">
        <v>3460</v>
      </c>
      <c r="E297" s="401">
        <v>3.8</v>
      </c>
      <c r="F297" s="766">
        <v>24</v>
      </c>
      <c r="G297" s="766">
        <f t="shared" si="276"/>
        <v>91.199999999999989</v>
      </c>
      <c r="H297" s="385">
        <f t="shared" si="277"/>
        <v>120</v>
      </c>
      <c r="I297" s="385">
        <f t="shared" si="278"/>
        <v>456</v>
      </c>
      <c r="J297" s="766">
        <f t="shared" si="279"/>
        <v>600</v>
      </c>
      <c r="K297" s="385">
        <f t="shared" si="280"/>
        <v>2280</v>
      </c>
      <c r="L297" s="385">
        <f t="shared" si="281"/>
        <v>140</v>
      </c>
      <c r="M297" s="385">
        <f t="shared" si="282"/>
        <v>532</v>
      </c>
      <c r="N297" s="385" t="s">
        <v>3473</v>
      </c>
    </row>
    <row r="298" spans="1:14" ht="13.8">
      <c r="A298" s="333">
        <v>276</v>
      </c>
      <c r="B298" s="333" t="s">
        <v>3458</v>
      </c>
      <c r="C298" s="333" t="s">
        <v>3474</v>
      </c>
      <c r="D298" s="333" t="s">
        <v>3460</v>
      </c>
      <c r="E298" s="401">
        <v>7.8</v>
      </c>
      <c r="F298" s="766">
        <v>24</v>
      </c>
      <c r="G298" s="766">
        <f t="shared" si="276"/>
        <v>187.2</v>
      </c>
      <c r="H298" s="385">
        <f t="shared" si="277"/>
        <v>120</v>
      </c>
      <c r="I298" s="385">
        <f t="shared" si="278"/>
        <v>936</v>
      </c>
      <c r="J298" s="766">
        <f t="shared" si="279"/>
        <v>600</v>
      </c>
      <c r="K298" s="385">
        <f t="shared" si="280"/>
        <v>4680</v>
      </c>
      <c r="L298" s="385">
        <f t="shared" si="281"/>
        <v>140</v>
      </c>
      <c r="M298" s="385">
        <f t="shared" si="282"/>
        <v>1092</v>
      </c>
      <c r="N298" s="385" t="s">
        <v>3475</v>
      </c>
    </row>
    <row r="299" spans="1:14" ht="13.8">
      <c r="A299" s="333">
        <v>277</v>
      </c>
      <c r="B299" s="333" t="s">
        <v>3458</v>
      </c>
      <c r="C299" s="333" t="s">
        <v>3476</v>
      </c>
      <c r="D299" s="333" t="s">
        <v>3460</v>
      </c>
      <c r="E299" s="401">
        <v>5.6</v>
      </c>
      <c r="F299" s="766">
        <v>24</v>
      </c>
      <c r="G299" s="766">
        <f t="shared" si="276"/>
        <v>134.39999999999998</v>
      </c>
      <c r="H299" s="385">
        <f t="shared" si="277"/>
        <v>120</v>
      </c>
      <c r="I299" s="385">
        <f t="shared" si="278"/>
        <v>672</v>
      </c>
      <c r="J299" s="766">
        <f t="shared" si="279"/>
        <v>600</v>
      </c>
      <c r="K299" s="385">
        <f t="shared" si="280"/>
        <v>3360</v>
      </c>
      <c r="L299" s="385">
        <f t="shared" si="281"/>
        <v>140</v>
      </c>
      <c r="M299" s="385">
        <f t="shared" si="282"/>
        <v>784</v>
      </c>
      <c r="N299" s="385" t="s">
        <v>3477</v>
      </c>
    </row>
    <row r="300" spans="1:14" ht="13.8">
      <c r="A300" s="333">
        <v>278</v>
      </c>
      <c r="B300" s="333" t="s">
        <v>3458</v>
      </c>
      <c r="C300" s="333" t="s">
        <v>3478</v>
      </c>
      <c r="D300" s="333" t="s">
        <v>3460</v>
      </c>
      <c r="E300" s="401">
        <v>8</v>
      </c>
      <c r="F300" s="766">
        <v>24</v>
      </c>
      <c r="G300" s="766">
        <f t="shared" si="276"/>
        <v>192</v>
      </c>
      <c r="H300" s="385">
        <f t="shared" si="277"/>
        <v>120</v>
      </c>
      <c r="I300" s="385">
        <f t="shared" si="278"/>
        <v>960</v>
      </c>
      <c r="J300" s="766">
        <f t="shared" si="279"/>
        <v>600</v>
      </c>
      <c r="K300" s="385">
        <f t="shared" si="280"/>
        <v>4800</v>
      </c>
      <c r="L300" s="385">
        <f t="shared" si="281"/>
        <v>140</v>
      </c>
      <c r="M300" s="385">
        <f t="shared" si="282"/>
        <v>1120</v>
      </c>
      <c r="N300" s="385" t="s">
        <v>3479</v>
      </c>
    </row>
    <row r="301" spans="1:14" ht="13.8">
      <c r="A301" s="333">
        <v>279</v>
      </c>
      <c r="B301" s="333" t="s">
        <v>3458</v>
      </c>
      <c r="C301" s="333" t="s">
        <v>3480</v>
      </c>
      <c r="D301" s="333" t="s">
        <v>3460</v>
      </c>
      <c r="E301" s="401">
        <v>5</v>
      </c>
      <c r="F301" s="766">
        <v>24</v>
      </c>
      <c r="G301" s="766">
        <f t="shared" si="276"/>
        <v>120</v>
      </c>
      <c r="H301" s="385">
        <f t="shared" si="277"/>
        <v>120</v>
      </c>
      <c r="I301" s="385">
        <f t="shared" si="278"/>
        <v>600</v>
      </c>
      <c r="J301" s="766">
        <f t="shared" si="279"/>
        <v>600</v>
      </c>
      <c r="K301" s="385">
        <f t="shared" si="280"/>
        <v>3000</v>
      </c>
      <c r="L301" s="385">
        <f t="shared" si="281"/>
        <v>140</v>
      </c>
      <c r="M301" s="385">
        <f t="shared" si="282"/>
        <v>700</v>
      </c>
      <c r="N301" s="385" t="s">
        <v>3481</v>
      </c>
    </row>
    <row r="302" spans="1:14" ht="41.4">
      <c r="A302" s="333">
        <v>280</v>
      </c>
      <c r="B302" s="333" t="s">
        <v>3458</v>
      </c>
      <c r="C302" s="333" t="s">
        <v>3482</v>
      </c>
      <c r="D302" s="333" t="s">
        <v>3460</v>
      </c>
      <c r="E302" s="401">
        <v>5</v>
      </c>
      <c r="F302" s="766">
        <v>24</v>
      </c>
      <c r="G302" s="766">
        <f t="shared" si="276"/>
        <v>120</v>
      </c>
      <c r="H302" s="385">
        <f t="shared" si="277"/>
        <v>120</v>
      </c>
      <c r="I302" s="385">
        <f t="shared" si="278"/>
        <v>600</v>
      </c>
      <c r="J302" s="766">
        <f t="shared" si="279"/>
        <v>600</v>
      </c>
      <c r="K302" s="385">
        <f t="shared" si="280"/>
        <v>3000</v>
      </c>
      <c r="L302" s="385">
        <f t="shared" si="281"/>
        <v>140</v>
      </c>
      <c r="M302" s="385">
        <f t="shared" si="282"/>
        <v>700</v>
      </c>
      <c r="N302" s="385" t="s">
        <v>3483</v>
      </c>
    </row>
    <row r="303" spans="1:14" ht="13.8">
      <c r="A303" s="333">
        <v>281</v>
      </c>
      <c r="B303" s="333" t="s">
        <v>3458</v>
      </c>
      <c r="C303" s="333" t="s">
        <v>3484</v>
      </c>
      <c r="D303" s="333" t="s">
        <v>3460</v>
      </c>
      <c r="E303" s="401">
        <v>5</v>
      </c>
      <c r="F303" s="766">
        <v>24</v>
      </c>
      <c r="G303" s="766">
        <f t="shared" si="276"/>
        <v>120</v>
      </c>
      <c r="H303" s="385">
        <f t="shared" si="277"/>
        <v>120</v>
      </c>
      <c r="I303" s="385">
        <f t="shared" si="278"/>
        <v>600</v>
      </c>
      <c r="J303" s="766">
        <f t="shared" si="279"/>
        <v>600</v>
      </c>
      <c r="K303" s="385">
        <f t="shared" si="280"/>
        <v>3000</v>
      </c>
      <c r="L303" s="385">
        <f t="shared" si="281"/>
        <v>140</v>
      </c>
      <c r="M303" s="385">
        <f t="shared" si="282"/>
        <v>700</v>
      </c>
      <c r="N303" s="385" t="s">
        <v>3485</v>
      </c>
    </row>
    <row r="304" spans="1:14" ht="13.8">
      <c r="A304" s="333">
        <v>282</v>
      </c>
      <c r="B304" s="333" t="s">
        <v>3458</v>
      </c>
      <c r="C304" s="333" t="s">
        <v>3486</v>
      </c>
      <c r="D304" s="333" t="s">
        <v>3460</v>
      </c>
      <c r="E304" s="401">
        <v>5</v>
      </c>
      <c r="F304" s="766">
        <v>24</v>
      </c>
      <c r="G304" s="766">
        <f t="shared" si="276"/>
        <v>120</v>
      </c>
      <c r="H304" s="385">
        <f t="shared" si="277"/>
        <v>120</v>
      </c>
      <c r="I304" s="385">
        <f t="shared" si="278"/>
        <v>600</v>
      </c>
      <c r="J304" s="766">
        <f t="shared" si="279"/>
        <v>600</v>
      </c>
      <c r="K304" s="385">
        <f t="shared" si="280"/>
        <v>3000</v>
      </c>
      <c r="L304" s="385">
        <f t="shared" si="281"/>
        <v>140</v>
      </c>
      <c r="M304" s="385">
        <f t="shared" si="282"/>
        <v>700</v>
      </c>
      <c r="N304" s="385" t="s">
        <v>3487</v>
      </c>
    </row>
    <row r="305" spans="1:14" ht="13.8">
      <c r="A305" s="333">
        <v>283</v>
      </c>
      <c r="B305" s="333" t="s">
        <v>3458</v>
      </c>
      <c r="C305" s="333" t="s">
        <v>3488</v>
      </c>
      <c r="D305" s="333" t="s">
        <v>3460</v>
      </c>
      <c r="E305" s="401">
        <v>5</v>
      </c>
      <c r="F305" s="766">
        <v>24</v>
      </c>
      <c r="G305" s="766">
        <f t="shared" si="276"/>
        <v>120</v>
      </c>
      <c r="H305" s="385">
        <f t="shared" si="277"/>
        <v>120</v>
      </c>
      <c r="I305" s="385">
        <f t="shared" si="278"/>
        <v>600</v>
      </c>
      <c r="J305" s="766">
        <f t="shared" si="279"/>
        <v>600</v>
      </c>
      <c r="K305" s="385">
        <f t="shared" si="280"/>
        <v>3000</v>
      </c>
      <c r="L305" s="385">
        <f t="shared" si="281"/>
        <v>140</v>
      </c>
      <c r="M305" s="385">
        <f t="shared" si="282"/>
        <v>700</v>
      </c>
      <c r="N305" s="385" t="s">
        <v>3489</v>
      </c>
    </row>
    <row r="306" spans="1:14" ht="13.8">
      <c r="A306" s="333">
        <v>284</v>
      </c>
      <c r="B306" s="333" t="s">
        <v>3458</v>
      </c>
      <c r="C306" s="333" t="s">
        <v>3490</v>
      </c>
      <c r="D306" s="333" t="s">
        <v>3460</v>
      </c>
      <c r="E306" s="401">
        <v>5</v>
      </c>
      <c r="F306" s="766">
        <v>24</v>
      </c>
      <c r="G306" s="766">
        <f t="shared" si="276"/>
        <v>120</v>
      </c>
      <c r="H306" s="385">
        <f t="shared" si="277"/>
        <v>120</v>
      </c>
      <c r="I306" s="385">
        <f t="shared" si="278"/>
        <v>600</v>
      </c>
      <c r="J306" s="766">
        <f t="shared" si="279"/>
        <v>600</v>
      </c>
      <c r="K306" s="385">
        <f t="shared" si="280"/>
        <v>3000</v>
      </c>
      <c r="L306" s="385">
        <f t="shared" si="281"/>
        <v>140</v>
      </c>
      <c r="M306" s="385">
        <f t="shared" si="282"/>
        <v>700</v>
      </c>
      <c r="N306" s="385" t="s">
        <v>3439</v>
      </c>
    </row>
    <row r="307" spans="1:14" ht="13.8">
      <c r="A307" s="333">
        <v>285</v>
      </c>
      <c r="B307" s="333" t="s">
        <v>3458</v>
      </c>
      <c r="C307" s="333" t="s">
        <v>3491</v>
      </c>
      <c r="D307" s="333" t="s">
        <v>3460</v>
      </c>
      <c r="E307" s="401">
        <v>5</v>
      </c>
      <c r="F307" s="766">
        <v>24</v>
      </c>
      <c r="G307" s="766">
        <f t="shared" si="276"/>
        <v>120</v>
      </c>
      <c r="H307" s="385">
        <f t="shared" si="277"/>
        <v>120</v>
      </c>
      <c r="I307" s="385">
        <f t="shared" si="278"/>
        <v>600</v>
      </c>
      <c r="J307" s="766">
        <f t="shared" si="279"/>
        <v>600</v>
      </c>
      <c r="K307" s="385">
        <f t="shared" si="280"/>
        <v>3000</v>
      </c>
      <c r="L307" s="385">
        <f t="shared" si="281"/>
        <v>140</v>
      </c>
      <c r="M307" s="385">
        <f t="shared" si="282"/>
        <v>700</v>
      </c>
      <c r="N307" s="469"/>
    </row>
    <row r="308" spans="1:14" ht="27.6">
      <c r="A308" s="333">
        <v>286</v>
      </c>
      <c r="B308" s="333" t="s">
        <v>3458</v>
      </c>
      <c r="C308" s="333" t="s">
        <v>3492</v>
      </c>
      <c r="D308" s="333" t="s">
        <v>3460</v>
      </c>
      <c r="E308" s="401">
        <v>5</v>
      </c>
      <c r="F308" s="766">
        <v>24</v>
      </c>
      <c r="G308" s="766">
        <f t="shared" si="276"/>
        <v>120</v>
      </c>
      <c r="H308" s="385">
        <f t="shared" si="277"/>
        <v>120</v>
      </c>
      <c r="I308" s="385">
        <f t="shared" si="278"/>
        <v>600</v>
      </c>
      <c r="J308" s="766">
        <f t="shared" si="279"/>
        <v>600</v>
      </c>
      <c r="K308" s="385">
        <f t="shared" si="280"/>
        <v>3000</v>
      </c>
      <c r="L308" s="385">
        <f t="shared" si="281"/>
        <v>140</v>
      </c>
      <c r="M308" s="385">
        <f t="shared" si="282"/>
        <v>700</v>
      </c>
      <c r="N308" s="385" t="s">
        <v>3493</v>
      </c>
    </row>
    <row r="309" spans="1:14" ht="27.6">
      <c r="A309" s="333">
        <v>287</v>
      </c>
      <c r="B309" s="333" t="s">
        <v>3458</v>
      </c>
      <c r="C309" s="333" t="s">
        <v>3494</v>
      </c>
      <c r="D309" s="333" t="s">
        <v>3460</v>
      </c>
      <c r="E309" s="401">
        <v>5</v>
      </c>
      <c r="F309" s="766">
        <v>24</v>
      </c>
      <c r="G309" s="766">
        <f t="shared" si="276"/>
        <v>120</v>
      </c>
      <c r="H309" s="385">
        <f t="shared" si="277"/>
        <v>120</v>
      </c>
      <c r="I309" s="385">
        <f t="shared" si="278"/>
        <v>600</v>
      </c>
      <c r="J309" s="766">
        <f t="shared" si="279"/>
        <v>600</v>
      </c>
      <c r="K309" s="385">
        <f t="shared" si="280"/>
        <v>3000</v>
      </c>
      <c r="L309" s="385">
        <f t="shared" si="281"/>
        <v>140</v>
      </c>
      <c r="M309" s="385">
        <f t="shared" si="282"/>
        <v>700</v>
      </c>
      <c r="N309" s="376" t="s">
        <v>3495</v>
      </c>
    </row>
    <row r="310" spans="1:14" ht="41.4">
      <c r="A310" s="333">
        <v>288</v>
      </c>
      <c r="B310" s="333" t="s">
        <v>3458</v>
      </c>
      <c r="C310" s="333" t="s">
        <v>3496</v>
      </c>
      <c r="D310" s="333" t="s">
        <v>3460</v>
      </c>
      <c r="E310" s="401">
        <v>5</v>
      </c>
      <c r="F310" s="766">
        <v>24</v>
      </c>
      <c r="G310" s="766">
        <f t="shared" si="276"/>
        <v>120</v>
      </c>
      <c r="H310" s="385">
        <f t="shared" si="277"/>
        <v>120</v>
      </c>
      <c r="I310" s="385">
        <f t="shared" si="278"/>
        <v>600</v>
      </c>
      <c r="J310" s="766">
        <f t="shared" si="279"/>
        <v>600</v>
      </c>
      <c r="K310" s="385">
        <f t="shared" si="280"/>
        <v>3000</v>
      </c>
      <c r="L310" s="385">
        <f t="shared" si="281"/>
        <v>140</v>
      </c>
      <c r="M310" s="385">
        <f t="shared" si="282"/>
        <v>700</v>
      </c>
      <c r="N310" s="385" t="s">
        <v>3497</v>
      </c>
    </row>
    <row r="311" spans="1:14" ht="13.8">
      <c r="A311" s="333">
        <v>289</v>
      </c>
      <c r="B311" s="333" t="s">
        <v>3458</v>
      </c>
      <c r="C311" s="333" t="s">
        <v>3498</v>
      </c>
      <c r="D311" s="333" t="s">
        <v>3460</v>
      </c>
      <c r="E311" s="401">
        <v>5</v>
      </c>
      <c r="F311" s="766">
        <v>24</v>
      </c>
      <c r="G311" s="766">
        <f t="shared" si="276"/>
        <v>120</v>
      </c>
      <c r="H311" s="385">
        <f t="shared" si="277"/>
        <v>120</v>
      </c>
      <c r="I311" s="385">
        <f t="shared" si="278"/>
        <v>600</v>
      </c>
      <c r="J311" s="766">
        <f t="shared" si="279"/>
        <v>600</v>
      </c>
      <c r="K311" s="385">
        <f t="shared" si="280"/>
        <v>3000</v>
      </c>
      <c r="L311" s="385">
        <f t="shared" si="281"/>
        <v>140</v>
      </c>
      <c r="M311" s="385">
        <f t="shared" si="282"/>
        <v>700</v>
      </c>
      <c r="N311" s="385" t="s">
        <v>3499</v>
      </c>
    </row>
    <row r="312" spans="1:14" ht="13.8">
      <c r="A312" s="333">
        <v>290</v>
      </c>
      <c r="B312" s="333" t="s">
        <v>3458</v>
      </c>
      <c r="C312" s="333" t="s">
        <v>3500</v>
      </c>
      <c r="D312" s="333" t="s">
        <v>3460</v>
      </c>
      <c r="E312" s="401">
        <v>5</v>
      </c>
      <c r="F312" s="766">
        <v>24</v>
      </c>
      <c r="G312" s="766">
        <f t="shared" si="276"/>
        <v>120</v>
      </c>
      <c r="H312" s="385">
        <f t="shared" si="277"/>
        <v>120</v>
      </c>
      <c r="I312" s="385">
        <f t="shared" si="278"/>
        <v>600</v>
      </c>
      <c r="J312" s="766">
        <f t="shared" si="279"/>
        <v>600</v>
      </c>
      <c r="K312" s="385">
        <f t="shared" si="280"/>
        <v>3000</v>
      </c>
      <c r="L312" s="385">
        <f t="shared" si="281"/>
        <v>140</v>
      </c>
      <c r="M312" s="385">
        <f t="shared" si="282"/>
        <v>700</v>
      </c>
      <c r="N312" s="469"/>
    </row>
    <row r="313" spans="1:14" ht="27.6">
      <c r="A313" s="333">
        <v>291</v>
      </c>
      <c r="B313" s="333" t="s">
        <v>3458</v>
      </c>
      <c r="C313" s="333" t="s">
        <v>3501</v>
      </c>
      <c r="D313" s="333" t="s">
        <v>3460</v>
      </c>
      <c r="E313" s="401">
        <v>7</v>
      </c>
      <c r="F313" s="766">
        <v>24</v>
      </c>
      <c r="G313" s="766">
        <f t="shared" si="276"/>
        <v>168</v>
      </c>
      <c r="H313" s="385">
        <f t="shared" si="277"/>
        <v>120</v>
      </c>
      <c r="I313" s="385">
        <f t="shared" si="278"/>
        <v>840</v>
      </c>
      <c r="J313" s="766">
        <f t="shared" si="279"/>
        <v>600</v>
      </c>
      <c r="K313" s="385">
        <f t="shared" si="280"/>
        <v>4200</v>
      </c>
      <c r="L313" s="385">
        <f t="shared" si="281"/>
        <v>140</v>
      </c>
      <c r="M313" s="385">
        <f t="shared" si="282"/>
        <v>980</v>
      </c>
      <c r="N313" s="385" t="s">
        <v>3502</v>
      </c>
    </row>
    <row r="314" spans="1:14" ht="13.8">
      <c r="A314" s="333">
        <v>292</v>
      </c>
      <c r="B314" s="333" t="s">
        <v>3458</v>
      </c>
      <c r="C314" s="333" t="s">
        <v>3503</v>
      </c>
      <c r="D314" s="333" t="s">
        <v>3460</v>
      </c>
      <c r="E314" s="401">
        <v>5</v>
      </c>
      <c r="F314" s="766">
        <v>24</v>
      </c>
      <c r="G314" s="766">
        <f t="shared" si="276"/>
        <v>120</v>
      </c>
      <c r="H314" s="385">
        <f t="shared" si="277"/>
        <v>120</v>
      </c>
      <c r="I314" s="385">
        <f t="shared" si="278"/>
        <v>600</v>
      </c>
      <c r="J314" s="766">
        <f t="shared" si="279"/>
        <v>600</v>
      </c>
      <c r="K314" s="385">
        <f t="shared" si="280"/>
        <v>3000</v>
      </c>
      <c r="L314" s="385">
        <f t="shared" si="281"/>
        <v>140</v>
      </c>
      <c r="M314" s="385">
        <f t="shared" si="282"/>
        <v>700</v>
      </c>
      <c r="N314" s="385" t="s">
        <v>3504</v>
      </c>
    </row>
    <row r="315" spans="1:14" ht="13.8">
      <c r="A315" s="333">
        <v>293</v>
      </c>
      <c r="B315" s="333" t="s">
        <v>3458</v>
      </c>
      <c r="C315" s="333" t="s">
        <v>3505</v>
      </c>
      <c r="D315" s="333" t="s">
        <v>3460</v>
      </c>
      <c r="E315" s="401">
        <v>5</v>
      </c>
      <c r="F315" s="766">
        <v>24</v>
      </c>
      <c r="G315" s="766">
        <f t="shared" si="276"/>
        <v>120</v>
      </c>
      <c r="H315" s="385">
        <f t="shared" si="277"/>
        <v>120</v>
      </c>
      <c r="I315" s="385">
        <f t="shared" si="278"/>
        <v>600</v>
      </c>
      <c r="J315" s="766">
        <f t="shared" si="279"/>
        <v>600</v>
      </c>
      <c r="K315" s="385">
        <f t="shared" si="280"/>
        <v>3000</v>
      </c>
      <c r="L315" s="385">
        <f t="shared" si="281"/>
        <v>140</v>
      </c>
      <c r="M315" s="385">
        <f t="shared" si="282"/>
        <v>700</v>
      </c>
      <c r="N315" s="385" t="s">
        <v>3506</v>
      </c>
    </row>
    <row r="316" spans="1:14" ht="13.8">
      <c r="A316" s="333">
        <v>294</v>
      </c>
      <c r="B316" s="333" t="s">
        <v>3458</v>
      </c>
      <c r="C316" s="333" t="s">
        <v>3507</v>
      </c>
      <c r="D316" s="333" t="s">
        <v>3460</v>
      </c>
      <c r="E316" s="401">
        <v>5</v>
      </c>
      <c r="F316" s="766">
        <v>24</v>
      </c>
      <c r="G316" s="766">
        <f t="shared" si="276"/>
        <v>120</v>
      </c>
      <c r="H316" s="385">
        <f t="shared" si="277"/>
        <v>120</v>
      </c>
      <c r="I316" s="385">
        <f t="shared" si="278"/>
        <v>600</v>
      </c>
      <c r="J316" s="766">
        <f t="shared" si="279"/>
        <v>600</v>
      </c>
      <c r="K316" s="385">
        <f t="shared" si="280"/>
        <v>3000</v>
      </c>
      <c r="L316" s="385">
        <f t="shared" si="281"/>
        <v>140</v>
      </c>
      <c r="M316" s="385">
        <f t="shared" si="282"/>
        <v>700</v>
      </c>
      <c r="N316" s="376" t="s">
        <v>3508</v>
      </c>
    </row>
    <row r="317" spans="1:14" ht="13.8">
      <c r="A317" s="333">
        <v>295</v>
      </c>
      <c r="B317" s="333" t="s">
        <v>3458</v>
      </c>
      <c r="C317" s="333" t="s">
        <v>3509</v>
      </c>
      <c r="D317" s="333" t="s">
        <v>3460</v>
      </c>
      <c r="E317" s="401">
        <v>5</v>
      </c>
      <c r="F317" s="766">
        <v>24</v>
      </c>
      <c r="G317" s="766">
        <f t="shared" si="276"/>
        <v>120</v>
      </c>
      <c r="H317" s="385">
        <f t="shared" si="277"/>
        <v>120</v>
      </c>
      <c r="I317" s="385">
        <f t="shared" si="278"/>
        <v>600</v>
      </c>
      <c r="J317" s="766">
        <f t="shared" si="279"/>
        <v>600</v>
      </c>
      <c r="K317" s="385">
        <f t="shared" si="280"/>
        <v>3000</v>
      </c>
      <c r="L317" s="385">
        <f t="shared" si="281"/>
        <v>140</v>
      </c>
      <c r="M317" s="385">
        <f t="shared" si="282"/>
        <v>700</v>
      </c>
      <c r="N317" s="385" t="s">
        <v>3510</v>
      </c>
    </row>
    <row r="318" spans="1:14" ht="13.8">
      <c r="A318" s="333">
        <v>296</v>
      </c>
      <c r="B318" s="333" t="s">
        <v>3458</v>
      </c>
      <c r="C318" s="333" t="s">
        <v>3511</v>
      </c>
      <c r="D318" s="333" t="s">
        <v>3460</v>
      </c>
      <c r="E318" s="401">
        <v>5</v>
      </c>
      <c r="F318" s="766">
        <v>24</v>
      </c>
      <c r="G318" s="766">
        <f t="shared" si="276"/>
        <v>120</v>
      </c>
      <c r="H318" s="385">
        <f t="shared" si="277"/>
        <v>120</v>
      </c>
      <c r="I318" s="385">
        <f t="shared" si="278"/>
        <v>600</v>
      </c>
      <c r="J318" s="766">
        <f t="shared" si="279"/>
        <v>600</v>
      </c>
      <c r="K318" s="385">
        <f t="shared" si="280"/>
        <v>3000</v>
      </c>
      <c r="L318" s="385">
        <f t="shared" si="281"/>
        <v>140</v>
      </c>
      <c r="M318" s="385">
        <f t="shared" si="282"/>
        <v>700</v>
      </c>
      <c r="N318" s="376" t="s">
        <v>3512</v>
      </c>
    </row>
    <row r="319" spans="1:14" ht="13.8">
      <c r="A319" s="333">
        <v>297</v>
      </c>
      <c r="B319" s="333" t="s">
        <v>3458</v>
      </c>
      <c r="C319" s="333" t="s">
        <v>3513</v>
      </c>
      <c r="D319" s="333" t="s">
        <v>3460</v>
      </c>
      <c r="E319" s="401">
        <v>5</v>
      </c>
      <c r="F319" s="766">
        <v>24</v>
      </c>
      <c r="G319" s="766">
        <f t="shared" si="276"/>
        <v>120</v>
      </c>
      <c r="H319" s="385">
        <f t="shared" si="277"/>
        <v>120</v>
      </c>
      <c r="I319" s="385">
        <f t="shared" si="278"/>
        <v>600</v>
      </c>
      <c r="J319" s="766">
        <f t="shared" si="279"/>
        <v>600</v>
      </c>
      <c r="K319" s="385">
        <f t="shared" si="280"/>
        <v>3000</v>
      </c>
      <c r="L319" s="385">
        <f t="shared" si="281"/>
        <v>140</v>
      </c>
      <c r="M319" s="385">
        <f t="shared" si="282"/>
        <v>700</v>
      </c>
      <c r="N319" s="385" t="s">
        <v>3514</v>
      </c>
    </row>
    <row r="320" spans="1:14" ht="27.6">
      <c r="A320" s="333">
        <v>298</v>
      </c>
      <c r="B320" s="333" t="s">
        <v>3458</v>
      </c>
      <c r="C320" s="333" t="s">
        <v>3515</v>
      </c>
      <c r="D320" s="333" t="s">
        <v>3460</v>
      </c>
      <c r="E320" s="401">
        <v>5</v>
      </c>
      <c r="F320" s="766">
        <v>24</v>
      </c>
      <c r="G320" s="766">
        <f t="shared" si="276"/>
        <v>120</v>
      </c>
      <c r="H320" s="385">
        <f t="shared" si="277"/>
        <v>120</v>
      </c>
      <c r="I320" s="385">
        <f t="shared" si="278"/>
        <v>600</v>
      </c>
      <c r="J320" s="766">
        <f t="shared" si="279"/>
        <v>600</v>
      </c>
      <c r="K320" s="385">
        <f t="shared" si="280"/>
        <v>3000</v>
      </c>
      <c r="L320" s="385">
        <f t="shared" si="281"/>
        <v>140</v>
      </c>
      <c r="M320" s="385">
        <f t="shared" si="282"/>
        <v>700</v>
      </c>
      <c r="N320" s="385" t="s">
        <v>3516</v>
      </c>
    </row>
    <row r="321" spans="1:14" ht="13.8">
      <c r="A321" s="333">
        <v>299</v>
      </c>
      <c r="B321" s="333" t="s">
        <v>3458</v>
      </c>
      <c r="C321" s="333" t="s">
        <v>3517</v>
      </c>
      <c r="D321" s="333" t="s">
        <v>3460</v>
      </c>
      <c r="E321" s="401">
        <v>4.8</v>
      </c>
      <c r="F321" s="766">
        <v>24</v>
      </c>
      <c r="G321" s="766">
        <f t="shared" si="276"/>
        <v>115.19999999999999</v>
      </c>
      <c r="H321" s="385">
        <f t="shared" si="277"/>
        <v>120</v>
      </c>
      <c r="I321" s="385">
        <f t="shared" si="278"/>
        <v>576</v>
      </c>
      <c r="J321" s="766">
        <f t="shared" si="279"/>
        <v>600</v>
      </c>
      <c r="K321" s="385">
        <f t="shared" si="280"/>
        <v>2880</v>
      </c>
      <c r="L321" s="385">
        <f t="shared" si="281"/>
        <v>140</v>
      </c>
      <c r="M321" s="385">
        <f t="shared" si="282"/>
        <v>672</v>
      </c>
      <c r="N321" s="385" t="s">
        <v>3518</v>
      </c>
    </row>
    <row r="322" spans="1:14" ht="13.8">
      <c r="A322" s="333">
        <v>300</v>
      </c>
      <c r="B322" s="333" t="s">
        <v>3458</v>
      </c>
      <c r="C322" s="333" t="s">
        <v>3519</v>
      </c>
      <c r="D322" s="333" t="s">
        <v>3460</v>
      </c>
      <c r="E322" s="401">
        <v>5</v>
      </c>
      <c r="F322" s="766">
        <v>24</v>
      </c>
      <c r="G322" s="766">
        <f t="shared" si="276"/>
        <v>120</v>
      </c>
      <c r="H322" s="385">
        <f t="shared" si="277"/>
        <v>120</v>
      </c>
      <c r="I322" s="385">
        <f t="shared" si="278"/>
        <v>600</v>
      </c>
      <c r="J322" s="766">
        <f t="shared" si="279"/>
        <v>600</v>
      </c>
      <c r="K322" s="385">
        <f t="shared" si="280"/>
        <v>3000</v>
      </c>
      <c r="L322" s="385">
        <f t="shared" si="281"/>
        <v>140</v>
      </c>
      <c r="M322" s="385">
        <f t="shared" si="282"/>
        <v>700</v>
      </c>
      <c r="N322" s="469"/>
    </row>
    <row r="323" spans="1:14" ht="13.8">
      <c r="A323" s="333">
        <v>301</v>
      </c>
      <c r="B323" s="333" t="s">
        <v>3458</v>
      </c>
      <c r="C323" s="333" t="s">
        <v>3520</v>
      </c>
      <c r="D323" s="333" t="s">
        <v>3460</v>
      </c>
      <c r="E323" s="401">
        <v>5</v>
      </c>
      <c r="F323" s="766">
        <v>24</v>
      </c>
      <c r="G323" s="766">
        <f t="shared" si="276"/>
        <v>120</v>
      </c>
      <c r="H323" s="385">
        <f t="shared" si="277"/>
        <v>120</v>
      </c>
      <c r="I323" s="385">
        <f t="shared" si="278"/>
        <v>600</v>
      </c>
      <c r="J323" s="766">
        <f t="shared" si="279"/>
        <v>600</v>
      </c>
      <c r="K323" s="385">
        <f t="shared" si="280"/>
        <v>3000</v>
      </c>
      <c r="L323" s="385">
        <f t="shared" si="281"/>
        <v>140</v>
      </c>
      <c r="M323" s="385">
        <f t="shared" si="282"/>
        <v>700</v>
      </c>
      <c r="N323" s="385" t="s">
        <v>3521</v>
      </c>
    </row>
    <row r="324" spans="1:14" ht="13.8">
      <c r="A324" s="333">
        <v>302</v>
      </c>
      <c r="B324" s="333" t="s">
        <v>3458</v>
      </c>
      <c r="C324" s="333" t="s">
        <v>3522</v>
      </c>
      <c r="D324" s="333" t="s">
        <v>3460</v>
      </c>
      <c r="E324" s="401">
        <v>5</v>
      </c>
      <c r="F324" s="766">
        <v>24</v>
      </c>
      <c r="G324" s="766">
        <f t="shared" si="276"/>
        <v>120</v>
      </c>
      <c r="H324" s="385">
        <f t="shared" si="277"/>
        <v>120</v>
      </c>
      <c r="I324" s="385">
        <f t="shared" si="278"/>
        <v>600</v>
      </c>
      <c r="J324" s="766">
        <f t="shared" si="279"/>
        <v>600</v>
      </c>
      <c r="K324" s="385">
        <f t="shared" si="280"/>
        <v>3000</v>
      </c>
      <c r="L324" s="385">
        <f t="shared" si="281"/>
        <v>140</v>
      </c>
      <c r="M324" s="385">
        <f t="shared" si="282"/>
        <v>700</v>
      </c>
      <c r="N324" s="385" t="s">
        <v>3523</v>
      </c>
    </row>
    <row r="325" spans="1:14" ht="13.8">
      <c r="A325" s="333">
        <v>303</v>
      </c>
      <c r="B325" s="333" t="s">
        <v>3458</v>
      </c>
      <c r="C325" s="333" t="s">
        <v>3524</v>
      </c>
      <c r="D325" s="333" t="s">
        <v>3460</v>
      </c>
      <c r="E325" s="401">
        <v>5</v>
      </c>
      <c r="F325" s="766">
        <v>24</v>
      </c>
      <c r="G325" s="766">
        <f t="shared" si="276"/>
        <v>120</v>
      </c>
      <c r="H325" s="385">
        <f t="shared" si="277"/>
        <v>120</v>
      </c>
      <c r="I325" s="385">
        <f t="shared" si="278"/>
        <v>600</v>
      </c>
      <c r="J325" s="766">
        <f t="shared" si="279"/>
        <v>600</v>
      </c>
      <c r="K325" s="385">
        <f t="shared" si="280"/>
        <v>3000</v>
      </c>
      <c r="L325" s="385">
        <f t="shared" si="281"/>
        <v>140</v>
      </c>
      <c r="M325" s="385">
        <f t="shared" si="282"/>
        <v>700</v>
      </c>
      <c r="N325" s="385" t="s">
        <v>3525</v>
      </c>
    </row>
    <row r="326" spans="1:14" ht="13.8">
      <c r="A326" s="333">
        <v>304</v>
      </c>
      <c r="B326" s="333" t="s">
        <v>3458</v>
      </c>
      <c r="C326" s="333" t="s">
        <v>3526</v>
      </c>
      <c r="D326" s="333" t="s">
        <v>3460</v>
      </c>
      <c r="E326" s="401">
        <v>5</v>
      </c>
      <c r="F326" s="766">
        <v>24</v>
      </c>
      <c r="G326" s="766">
        <f t="shared" si="276"/>
        <v>120</v>
      </c>
      <c r="H326" s="385">
        <f t="shared" si="277"/>
        <v>120</v>
      </c>
      <c r="I326" s="385">
        <f t="shared" si="278"/>
        <v>600</v>
      </c>
      <c r="J326" s="766">
        <f t="shared" si="279"/>
        <v>600</v>
      </c>
      <c r="K326" s="385">
        <f t="shared" si="280"/>
        <v>3000</v>
      </c>
      <c r="L326" s="385">
        <f t="shared" si="281"/>
        <v>140</v>
      </c>
      <c r="M326" s="385">
        <f t="shared" si="282"/>
        <v>700</v>
      </c>
      <c r="N326" s="385" t="s">
        <v>3527</v>
      </c>
    </row>
    <row r="327" spans="1:14" ht="13.8">
      <c r="A327" s="333">
        <v>305</v>
      </c>
      <c r="B327" s="333" t="s">
        <v>3458</v>
      </c>
      <c r="C327" s="333" t="s">
        <v>3528</v>
      </c>
      <c r="D327" s="333" t="s">
        <v>3460</v>
      </c>
      <c r="E327" s="401">
        <v>5</v>
      </c>
      <c r="F327" s="766">
        <v>24</v>
      </c>
      <c r="G327" s="766">
        <f t="shared" si="276"/>
        <v>120</v>
      </c>
      <c r="H327" s="385">
        <f t="shared" si="277"/>
        <v>120</v>
      </c>
      <c r="I327" s="385">
        <f t="shared" si="278"/>
        <v>600</v>
      </c>
      <c r="J327" s="766">
        <f t="shared" si="279"/>
        <v>600</v>
      </c>
      <c r="K327" s="385">
        <f t="shared" si="280"/>
        <v>3000</v>
      </c>
      <c r="L327" s="385">
        <f t="shared" si="281"/>
        <v>140</v>
      </c>
      <c r="M327" s="385">
        <f t="shared" si="282"/>
        <v>700</v>
      </c>
      <c r="N327" s="385" t="s">
        <v>3529</v>
      </c>
    </row>
    <row r="328" spans="1:14" ht="13.8">
      <c r="A328" s="333">
        <v>306</v>
      </c>
      <c r="B328" s="333" t="s">
        <v>3458</v>
      </c>
      <c r="C328" s="333" t="s">
        <v>3530</v>
      </c>
      <c r="D328" s="333" t="s">
        <v>3460</v>
      </c>
      <c r="E328" s="401">
        <v>5</v>
      </c>
      <c r="F328" s="766">
        <v>24</v>
      </c>
      <c r="G328" s="766">
        <f t="shared" si="276"/>
        <v>120</v>
      </c>
      <c r="H328" s="385">
        <f t="shared" si="277"/>
        <v>120</v>
      </c>
      <c r="I328" s="385">
        <f t="shared" si="278"/>
        <v>600</v>
      </c>
      <c r="J328" s="766">
        <f t="shared" si="279"/>
        <v>600</v>
      </c>
      <c r="K328" s="385">
        <f t="shared" si="280"/>
        <v>3000</v>
      </c>
      <c r="L328" s="385">
        <f t="shared" si="281"/>
        <v>140</v>
      </c>
      <c r="M328" s="385">
        <f t="shared" si="282"/>
        <v>700</v>
      </c>
      <c r="N328" s="385" t="s">
        <v>3531</v>
      </c>
    </row>
    <row r="329" spans="1:14" ht="13.8">
      <c r="A329" s="333">
        <v>307</v>
      </c>
      <c r="B329" s="333" t="s">
        <v>3458</v>
      </c>
      <c r="C329" s="333" t="s">
        <v>3532</v>
      </c>
      <c r="D329" s="333" t="s">
        <v>3460</v>
      </c>
      <c r="E329" s="401">
        <v>4.8</v>
      </c>
      <c r="F329" s="766">
        <v>24</v>
      </c>
      <c r="G329" s="766">
        <f t="shared" si="276"/>
        <v>115.19999999999999</v>
      </c>
      <c r="H329" s="385">
        <f t="shared" si="277"/>
        <v>120</v>
      </c>
      <c r="I329" s="385">
        <f t="shared" si="278"/>
        <v>576</v>
      </c>
      <c r="J329" s="766">
        <f t="shared" si="279"/>
        <v>600</v>
      </c>
      <c r="K329" s="385">
        <f t="shared" si="280"/>
        <v>2880</v>
      </c>
      <c r="L329" s="385">
        <f t="shared" si="281"/>
        <v>140</v>
      </c>
      <c r="M329" s="385">
        <f t="shared" si="282"/>
        <v>672</v>
      </c>
      <c r="N329" s="385" t="s">
        <v>3533</v>
      </c>
    </row>
    <row r="330" spans="1:14" ht="13.8">
      <c r="A330" s="333">
        <v>308</v>
      </c>
      <c r="B330" s="333" t="s">
        <v>3458</v>
      </c>
      <c r="C330" s="333" t="s">
        <v>3534</v>
      </c>
      <c r="D330" s="333" t="s">
        <v>3460</v>
      </c>
      <c r="E330" s="401">
        <v>5</v>
      </c>
      <c r="F330" s="766">
        <v>24</v>
      </c>
      <c r="G330" s="766">
        <f t="shared" si="276"/>
        <v>120</v>
      </c>
      <c r="H330" s="385">
        <f t="shared" si="277"/>
        <v>120</v>
      </c>
      <c r="I330" s="385">
        <f t="shared" si="278"/>
        <v>600</v>
      </c>
      <c r="J330" s="766">
        <f t="shared" si="279"/>
        <v>600</v>
      </c>
      <c r="K330" s="385">
        <f t="shared" si="280"/>
        <v>3000</v>
      </c>
      <c r="L330" s="385">
        <f t="shared" si="281"/>
        <v>140</v>
      </c>
      <c r="M330" s="385">
        <f t="shared" si="282"/>
        <v>700</v>
      </c>
      <c r="N330" s="385" t="s">
        <v>3535</v>
      </c>
    </row>
    <row r="331" spans="1:14" ht="27.6">
      <c r="A331" s="333">
        <v>309</v>
      </c>
      <c r="B331" s="333" t="s">
        <v>3458</v>
      </c>
      <c r="C331" s="333" t="s">
        <v>3536</v>
      </c>
      <c r="D331" s="333" t="s">
        <v>3537</v>
      </c>
      <c r="E331" s="401">
        <v>4</v>
      </c>
      <c r="F331" s="766">
        <v>11</v>
      </c>
      <c r="G331" s="766">
        <f t="shared" si="276"/>
        <v>44</v>
      </c>
      <c r="H331" s="385">
        <f t="shared" si="277"/>
        <v>55</v>
      </c>
      <c r="I331" s="385">
        <f t="shared" si="278"/>
        <v>220</v>
      </c>
      <c r="J331" s="766">
        <f t="shared" si="279"/>
        <v>275</v>
      </c>
      <c r="K331" s="385">
        <f t="shared" si="280"/>
        <v>1100</v>
      </c>
      <c r="L331" s="385">
        <v>140</v>
      </c>
      <c r="M331" s="385">
        <f t="shared" si="282"/>
        <v>560</v>
      </c>
      <c r="N331" s="385" t="s">
        <v>3538</v>
      </c>
    </row>
    <row r="332" spans="1:14" ht="27.6">
      <c r="A332" s="333">
        <v>310</v>
      </c>
      <c r="B332" s="333" t="s">
        <v>3458</v>
      </c>
      <c r="C332" s="333" t="s">
        <v>3539</v>
      </c>
      <c r="D332" s="333" t="s">
        <v>3537</v>
      </c>
      <c r="E332" s="401">
        <v>4</v>
      </c>
      <c r="F332" s="766">
        <v>11</v>
      </c>
      <c r="G332" s="766">
        <f t="shared" si="276"/>
        <v>44</v>
      </c>
      <c r="H332" s="385">
        <f t="shared" si="277"/>
        <v>55</v>
      </c>
      <c r="I332" s="385">
        <f t="shared" si="278"/>
        <v>220</v>
      </c>
      <c r="J332" s="766">
        <f t="shared" si="279"/>
        <v>275</v>
      </c>
      <c r="K332" s="385">
        <f t="shared" si="280"/>
        <v>1100</v>
      </c>
      <c r="L332" s="385">
        <v>140</v>
      </c>
      <c r="M332" s="385">
        <f t="shared" si="282"/>
        <v>560</v>
      </c>
      <c r="N332" s="385" t="s">
        <v>3538</v>
      </c>
    </row>
    <row r="333" spans="1:14" ht="27.6">
      <c r="A333" s="333">
        <v>311</v>
      </c>
      <c r="B333" s="333" t="s">
        <v>3458</v>
      </c>
      <c r="C333" s="333" t="s">
        <v>3540</v>
      </c>
      <c r="D333" s="333" t="s">
        <v>3537</v>
      </c>
      <c r="E333" s="401">
        <v>4</v>
      </c>
      <c r="F333" s="766">
        <v>11</v>
      </c>
      <c r="G333" s="766">
        <f t="shared" si="276"/>
        <v>44</v>
      </c>
      <c r="H333" s="385">
        <f t="shared" si="277"/>
        <v>55</v>
      </c>
      <c r="I333" s="385">
        <f t="shared" si="278"/>
        <v>220</v>
      </c>
      <c r="J333" s="766">
        <f t="shared" si="279"/>
        <v>275</v>
      </c>
      <c r="K333" s="385">
        <f t="shared" si="280"/>
        <v>1100</v>
      </c>
      <c r="L333" s="385">
        <v>140</v>
      </c>
      <c r="M333" s="385">
        <f t="shared" si="282"/>
        <v>560</v>
      </c>
      <c r="N333" s="385" t="s">
        <v>3541</v>
      </c>
    </row>
    <row r="334" spans="1:14" ht="27.6">
      <c r="A334" s="333">
        <v>312</v>
      </c>
      <c r="B334" s="333" t="s">
        <v>3458</v>
      </c>
      <c r="C334" s="333" t="s">
        <v>3542</v>
      </c>
      <c r="D334" s="333" t="s">
        <v>3537</v>
      </c>
      <c r="E334" s="401">
        <v>4</v>
      </c>
      <c r="F334" s="766">
        <v>11</v>
      </c>
      <c r="G334" s="766">
        <f t="shared" si="276"/>
        <v>44</v>
      </c>
      <c r="H334" s="385">
        <f t="shared" si="277"/>
        <v>55</v>
      </c>
      <c r="I334" s="385">
        <f t="shared" si="278"/>
        <v>220</v>
      </c>
      <c r="J334" s="766">
        <f t="shared" si="279"/>
        <v>275</v>
      </c>
      <c r="K334" s="385">
        <f t="shared" si="280"/>
        <v>1100</v>
      </c>
      <c r="L334" s="385">
        <v>140</v>
      </c>
      <c r="M334" s="385">
        <f t="shared" si="282"/>
        <v>560</v>
      </c>
      <c r="N334" s="385" t="s">
        <v>3543</v>
      </c>
    </row>
    <row r="335" spans="1:14" ht="27.6">
      <c r="A335" s="333">
        <v>313</v>
      </c>
      <c r="B335" s="333" t="s">
        <v>3458</v>
      </c>
      <c r="C335" s="333" t="s">
        <v>3544</v>
      </c>
      <c r="D335" s="333" t="s">
        <v>3537</v>
      </c>
      <c r="E335" s="401">
        <v>4</v>
      </c>
      <c r="F335" s="766">
        <v>11</v>
      </c>
      <c r="G335" s="766">
        <f t="shared" si="276"/>
        <v>44</v>
      </c>
      <c r="H335" s="385">
        <f t="shared" si="277"/>
        <v>55</v>
      </c>
      <c r="I335" s="385">
        <f t="shared" si="278"/>
        <v>220</v>
      </c>
      <c r="J335" s="766">
        <f t="shared" si="279"/>
        <v>275</v>
      </c>
      <c r="K335" s="385">
        <f t="shared" si="280"/>
        <v>1100</v>
      </c>
      <c r="L335" s="385">
        <v>140</v>
      </c>
      <c r="M335" s="385">
        <f t="shared" si="282"/>
        <v>560</v>
      </c>
      <c r="N335" s="385" t="s">
        <v>3543</v>
      </c>
    </row>
    <row r="336" spans="1:14" ht="27.6">
      <c r="A336" s="333">
        <v>314</v>
      </c>
      <c r="B336" s="333" t="s">
        <v>3458</v>
      </c>
      <c r="C336" s="333" t="s">
        <v>3545</v>
      </c>
      <c r="D336" s="333" t="s">
        <v>3537</v>
      </c>
      <c r="E336" s="401">
        <v>4</v>
      </c>
      <c r="F336" s="766">
        <v>11</v>
      </c>
      <c r="G336" s="766">
        <f t="shared" si="276"/>
        <v>44</v>
      </c>
      <c r="H336" s="385">
        <f t="shared" si="277"/>
        <v>55</v>
      </c>
      <c r="I336" s="385">
        <f t="shared" si="278"/>
        <v>220</v>
      </c>
      <c r="J336" s="766">
        <f t="shared" si="279"/>
        <v>275</v>
      </c>
      <c r="K336" s="385">
        <f t="shared" si="280"/>
        <v>1100</v>
      </c>
      <c r="L336" s="385">
        <v>140</v>
      </c>
      <c r="M336" s="385">
        <f t="shared" si="282"/>
        <v>560</v>
      </c>
      <c r="N336" s="385" t="s">
        <v>3546</v>
      </c>
    </row>
    <row r="337" spans="1:14" ht="27.6">
      <c r="A337" s="333">
        <v>315</v>
      </c>
      <c r="B337" s="333" t="s">
        <v>3458</v>
      </c>
      <c r="C337" s="333" t="s">
        <v>3547</v>
      </c>
      <c r="D337" s="333" t="s">
        <v>3537</v>
      </c>
      <c r="E337" s="401">
        <v>4</v>
      </c>
      <c r="F337" s="766">
        <v>11</v>
      </c>
      <c r="G337" s="766">
        <f t="shared" si="276"/>
        <v>44</v>
      </c>
      <c r="H337" s="385">
        <f t="shared" si="277"/>
        <v>55</v>
      </c>
      <c r="I337" s="385">
        <f t="shared" si="278"/>
        <v>220</v>
      </c>
      <c r="J337" s="766">
        <f t="shared" si="279"/>
        <v>275</v>
      </c>
      <c r="K337" s="385">
        <f t="shared" si="280"/>
        <v>1100</v>
      </c>
      <c r="L337" s="385">
        <v>140</v>
      </c>
      <c r="M337" s="385">
        <f t="shared" si="282"/>
        <v>560</v>
      </c>
      <c r="N337" s="385" t="s">
        <v>3546</v>
      </c>
    </row>
    <row r="338" spans="1:14" ht="27.6">
      <c r="A338" s="333">
        <v>316</v>
      </c>
      <c r="B338" s="333" t="s">
        <v>3458</v>
      </c>
      <c r="C338" s="333" t="s">
        <v>3548</v>
      </c>
      <c r="D338" s="333" t="s">
        <v>3537</v>
      </c>
      <c r="E338" s="401">
        <v>4</v>
      </c>
      <c r="F338" s="766">
        <v>11</v>
      </c>
      <c r="G338" s="766">
        <f t="shared" si="276"/>
        <v>44</v>
      </c>
      <c r="H338" s="385">
        <f t="shared" si="277"/>
        <v>55</v>
      </c>
      <c r="I338" s="385">
        <f t="shared" si="278"/>
        <v>220</v>
      </c>
      <c r="J338" s="766">
        <f t="shared" si="279"/>
        <v>275</v>
      </c>
      <c r="K338" s="385">
        <f t="shared" si="280"/>
        <v>1100</v>
      </c>
      <c r="L338" s="385">
        <v>140</v>
      </c>
      <c r="M338" s="385">
        <f t="shared" si="282"/>
        <v>560</v>
      </c>
      <c r="N338" s="385" t="s">
        <v>3549</v>
      </c>
    </row>
    <row r="339" spans="1:14" ht="27.6">
      <c r="A339" s="333">
        <v>317</v>
      </c>
      <c r="B339" s="333" t="s">
        <v>3458</v>
      </c>
      <c r="C339" s="333" t="s">
        <v>3550</v>
      </c>
      <c r="D339" s="333" t="s">
        <v>3537</v>
      </c>
      <c r="E339" s="401">
        <v>4</v>
      </c>
      <c r="F339" s="766">
        <v>11</v>
      </c>
      <c r="G339" s="766">
        <f t="shared" si="276"/>
        <v>44</v>
      </c>
      <c r="H339" s="385">
        <f t="shared" si="277"/>
        <v>55</v>
      </c>
      <c r="I339" s="385">
        <f t="shared" si="278"/>
        <v>220</v>
      </c>
      <c r="J339" s="766">
        <f t="shared" si="279"/>
        <v>275</v>
      </c>
      <c r="K339" s="385">
        <f t="shared" si="280"/>
        <v>1100</v>
      </c>
      <c r="L339" s="385">
        <v>140</v>
      </c>
      <c r="M339" s="385">
        <f t="shared" si="282"/>
        <v>560</v>
      </c>
      <c r="N339" s="385" t="s">
        <v>3549</v>
      </c>
    </row>
    <row r="340" spans="1:14" ht="27.6">
      <c r="A340" s="333">
        <v>318</v>
      </c>
      <c r="B340" s="333" t="s">
        <v>3458</v>
      </c>
      <c r="C340" s="333" t="s">
        <v>3551</v>
      </c>
      <c r="D340" s="333" t="s">
        <v>3537</v>
      </c>
      <c r="E340" s="401">
        <v>4</v>
      </c>
      <c r="F340" s="766">
        <v>11</v>
      </c>
      <c r="G340" s="766">
        <f t="shared" si="276"/>
        <v>44</v>
      </c>
      <c r="H340" s="385">
        <f t="shared" si="277"/>
        <v>55</v>
      </c>
      <c r="I340" s="385">
        <f t="shared" si="278"/>
        <v>220</v>
      </c>
      <c r="J340" s="766">
        <f t="shared" si="279"/>
        <v>275</v>
      </c>
      <c r="K340" s="385">
        <f t="shared" si="280"/>
        <v>1100</v>
      </c>
      <c r="L340" s="385">
        <v>140</v>
      </c>
      <c r="M340" s="385">
        <f t="shared" si="282"/>
        <v>560</v>
      </c>
      <c r="N340" s="385" t="s">
        <v>3552</v>
      </c>
    </row>
    <row r="341" spans="1:14" ht="27.6">
      <c r="A341" s="333">
        <v>319</v>
      </c>
      <c r="B341" s="333" t="s">
        <v>3458</v>
      </c>
      <c r="C341" s="333" t="s">
        <v>3553</v>
      </c>
      <c r="D341" s="333" t="s">
        <v>3537</v>
      </c>
      <c r="E341" s="401">
        <v>4</v>
      </c>
      <c r="F341" s="766">
        <v>11</v>
      </c>
      <c r="G341" s="766">
        <f t="shared" si="276"/>
        <v>44</v>
      </c>
      <c r="H341" s="385">
        <f t="shared" si="277"/>
        <v>55</v>
      </c>
      <c r="I341" s="385">
        <f t="shared" si="278"/>
        <v>220</v>
      </c>
      <c r="J341" s="766">
        <f t="shared" si="279"/>
        <v>275</v>
      </c>
      <c r="K341" s="385">
        <f t="shared" si="280"/>
        <v>1100</v>
      </c>
      <c r="L341" s="385">
        <v>140</v>
      </c>
      <c r="M341" s="385">
        <f t="shared" si="282"/>
        <v>560</v>
      </c>
      <c r="N341" s="385" t="s">
        <v>3552</v>
      </c>
    </row>
    <row r="342" spans="1:14" ht="27.6">
      <c r="A342" s="333">
        <v>320</v>
      </c>
      <c r="B342" s="333" t="s">
        <v>3458</v>
      </c>
      <c r="C342" s="333" t="s">
        <v>3554</v>
      </c>
      <c r="D342" s="333" t="s">
        <v>3537</v>
      </c>
      <c r="E342" s="401">
        <v>4</v>
      </c>
      <c r="F342" s="766">
        <v>11</v>
      </c>
      <c r="G342" s="766">
        <f t="shared" si="276"/>
        <v>44</v>
      </c>
      <c r="H342" s="385">
        <f t="shared" si="277"/>
        <v>55</v>
      </c>
      <c r="I342" s="385">
        <f t="shared" si="278"/>
        <v>220</v>
      </c>
      <c r="J342" s="766">
        <f t="shared" si="279"/>
        <v>275</v>
      </c>
      <c r="K342" s="385">
        <f t="shared" si="280"/>
        <v>1100</v>
      </c>
      <c r="L342" s="385">
        <v>140</v>
      </c>
      <c r="M342" s="385">
        <f t="shared" si="282"/>
        <v>560</v>
      </c>
      <c r="N342" s="385" t="s">
        <v>3555</v>
      </c>
    </row>
    <row r="343" spans="1:14" ht="27.6">
      <c r="A343" s="333">
        <v>321</v>
      </c>
      <c r="B343" s="333" t="s">
        <v>3458</v>
      </c>
      <c r="C343" s="333" t="s">
        <v>3556</v>
      </c>
      <c r="D343" s="333" t="s">
        <v>3537</v>
      </c>
      <c r="E343" s="401">
        <v>4</v>
      </c>
      <c r="F343" s="766">
        <v>11</v>
      </c>
      <c r="G343" s="766">
        <f t="shared" si="276"/>
        <v>44</v>
      </c>
      <c r="H343" s="385">
        <f t="shared" si="277"/>
        <v>55</v>
      </c>
      <c r="I343" s="385">
        <f t="shared" si="278"/>
        <v>220</v>
      </c>
      <c r="J343" s="766">
        <f t="shared" si="279"/>
        <v>275</v>
      </c>
      <c r="K343" s="385">
        <f t="shared" si="280"/>
        <v>1100</v>
      </c>
      <c r="L343" s="385">
        <v>140</v>
      </c>
      <c r="M343" s="385">
        <f t="shared" si="282"/>
        <v>560</v>
      </c>
      <c r="N343" s="385" t="s">
        <v>3555</v>
      </c>
    </row>
    <row r="344" spans="1:14" ht="27.6">
      <c r="A344" s="333">
        <v>322</v>
      </c>
      <c r="B344" s="333" t="s">
        <v>3458</v>
      </c>
      <c r="C344" s="333" t="s">
        <v>3557</v>
      </c>
      <c r="D344" s="333" t="s">
        <v>3537</v>
      </c>
      <c r="E344" s="401">
        <v>4</v>
      </c>
      <c r="F344" s="766">
        <v>11</v>
      </c>
      <c r="G344" s="766">
        <f t="shared" si="276"/>
        <v>44</v>
      </c>
      <c r="H344" s="385">
        <f t="shared" si="277"/>
        <v>55</v>
      </c>
      <c r="I344" s="385">
        <f t="shared" si="278"/>
        <v>220</v>
      </c>
      <c r="J344" s="766">
        <f t="shared" si="279"/>
        <v>275</v>
      </c>
      <c r="K344" s="385">
        <f t="shared" si="280"/>
        <v>1100</v>
      </c>
      <c r="L344" s="385">
        <v>140</v>
      </c>
      <c r="M344" s="385">
        <f t="shared" si="282"/>
        <v>560</v>
      </c>
      <c r="N344" s="385" t="s">
        <v>3558</v>
      </c>
    </row>
    <row r="345" spans="1:14" ht="27.6">
      <c r="A345" s="333">
        <v>323</v>
      </c>
      <c r="B345" s="333" t="s">
        <v>3458</v>
      </c>
      <c r="C345" s="333" t="s">
        <v>3559</v>
      </c>
      <c r="D345" s="333" t="s">
        <v>3537</v>
      </c>
      <c r="E345" s="401">
        <v>4</v>
      </c>
      <c r="F345" s="766">
        <v>11</v>
      </c>
      <c r="G345" s="766">
        <f t="shared" si="276"/>
        <v>44</v>
      </c>
      <c r="H345" s="385">
        <f t="shared" si="277"/>
        <v>55</v>
      </c>
      <c r="I345" s="385">
        <f t="shared" si="278"/>
        <v>220</v>
      </c>
      <c r="J345" s="766">
        <f t="shared" si="279"/>
        <v>275</v>
      </c>
      <c r="K345" s="385">
        <f t="shared" si="280"/>
        <v>1100</v>
      </c>
      <c r="L345" s="385">
        <v>140</v>
      </c>
      <c r="M345" s="385">
        <f t="shared" si="282"/>
        <v>560</v>
      </c>
      <c r="N345" s="385" t="s">
        <v>3558</v>
      </c>
    </row>
    <row r="346" spans="1:14" ht="13.8">
      <c r="A346" s="1001" t="s">
        <v>318</v>
      </c>
      <c r="B346" s="931"/>
      <c r="C346" s="932"/>
      <c r="D346" s="751">
        <f>COUNTA(D291:D345)</f>
        <v>55</v>
      </c>
      <c r="E346" s="767">
        <f>SUM(E291:E345)</f>
        <v>268.3</v>
      </c>
      <c r="F346" s="750"/>
      <c r="G346" s="768">
        <f>SUM(G291:G345)</f>
        <v>5659.2</v>
      </c>
      <c r="H346" s="750"/>
      <c r="I346" s="769">
        <f>SUM(I291:I345)</f>
        <v>28296</v>
      </c>
      <c r="J346" s="754"/>
      <c r="K346" s="755"/>
      <c r="L346" s="755"/>
      <c r="M346" s="755"/>
      <c r="N346" s="755"/>
    </row>
    <row r="347" spans="1:14" ht="13.8">
      <c r="A347" s="756"/>
      <c r="B347" s="741"/>
      <c r="C347" s="741"/>
      <c r="D347" s="756"/>
      <c r="E347" s="741"/>
      <c r="F347" s="756"/>
      <c r="G347" s="757"/>
      <c r="H347" s="756"/>
      <c r="I347" s="758"/>
      <c r="J347" s="759"/>
      <c r="K347" s="760"/>
      <c r="L347" s="760"/>
      <c r="M347" s="760"/>
      <c r="N347" s="760"/>
    </row>
    <row r="348" spans="1:14" ht="13.8">
      <c r="A348" s="756"/>
      <c r="B348" s="741"/>
      <c r="C348" s="741"/>
      <c r="D348" s="756"/>
      <c r="E348" s="741"/>
      <c r="F348" s="756"/>
      <c r="G348" s="757"/>
      <c r="H348" s="756"/>
      <c r="I348" s="758"/>
      <c r="J348" s="759"/>
      <c r="K348" s="760"/>
      <c r="L348" s="760"/>
      <c r="M348" s="760"/>
      <c r="N348" s="760"/>
    </row>
    <row r="349" spans="1:14" ht="44.4">
      <c r="A349" s="1000" t="s">
        <v>59</v>
      </c>
      <c r="B349" s="931"/>
      <c r="C349" s="931"/>
      <c r="D349" s="931"/>
      <c r="E349" s="931"/>
      <c r="F349" s="931"/>
      <c r="G349" s="931"/>
      <c r="H349" s="931"/>
      <c r="I349" s="931"/>
      <c r="J349" s="931"/>
      <c r="K349" s="931"/>
      <c r="L349" s="931"/>
      <c r="M349" s="931"/>
      <c r="N349" s="932"/>
    </row>
    <row r="350" spans="1:14" ht="22.5" customHeight="1">
      <c r="A350" s="770" t="s">
        <v>165</v>
      </c>
      <c r="B350" s="771" t="s">
        <v>166</v>
      </c>
      <c r="C350" s="771" t="s">
        <v>167</v>
      </c>
      <c r="D350" s="772" t="s">
        <v>168</v>
      </c>
      <c r="E350" s="771" t="s">
        <v>169</v>
      </c>
      <c r="F350" s="773" t="s">
        <v>3560</v>
      </c>
      <c r="G350" s="774" t="s">
        <v>3561</v>
      </c>
      <c r="H350" s="775" t="s">
        <v>3562</v>
      </c>
      <c r="I350" s="775" t="s">
        <v>3563</v>
      </c>
      <c r="J350" s="776" t="s">
        <v>3564</v>
      </c>
      <c r="K350" s="776" t="s">
        <v>3565</v>
      </c>
      <c r="L350" s="776" t="s">
        <v>175</v>
      </c>
      <c r="M350" s="776" t="s">
        <v>3566</v>
      </c>
      <c r="N350" s="777" t="s">
        <v>3107</v>
      </c>
    </row>
    <row r="351" spans="1:14" ht="13.8">
      <c r="A351" s="466">
        <v>324</v>
      </c>
      <c r="B351" s="466" t="s">
        <v>3567</v>
      </c>
      <c r="C351" s="466" t="s">
        <v>3568</v>
      </c>
      <c r="D351" s="466" t="s">
        <v>3460</v>
      </c>
      <c r="E351" s="778">
        <v>4.45</v>
      </c>
      <c r="F351" s="747">
        <v>36</v>
      </c>
      <c r="G351" s="747">
        <f t="shared" ref="G351:G396" si="283">F351*E351</f>
        <v>160.20000000000002</v>
      </c>
      <c r="H351" s="469">
        <f t="shared" ref="H351:J351" si="284">F351*5</f>
        <v>180</v>
      </c>
      <c r="I351" s="469">
        <f t="shared" si="284"/>
        <v>801.00000000000011</v>
      </c>
      <c r="J351" s="469">
        <f t="shared" si="284"/>
        <v>900</v>
      </c>
      <c r="K351" s="469">
        <f t="shared" ref="K351:K396" si="285">J351*E351</f>
        <v>4005</v>
      </c>
      <c r="L351" s="469">
        <v>200</v>
      </c>
      <c r="M351" s="469">
        <f t="shared" ref="M351:M396" si="286">L351*E351</f>
        <v>890</v>
      </c>
      <c r="N351" s="469" t="s">
        <v>3569</v>
      </c>
    </row>
    <row r="352" spans="1:14" ht="13.8">
      <c r="A352" s="466">
        <v>325</v>
      </c>
      <c r="B352" s="466" t="s">
        <v>3570</v>
      </c>
      <c r="C352" s="466" t="s">
        <v>3571</v>
      </c>
      <c r="D352" s="466" t="s">
        <v>3460</v>
      </c>
      <c r="E352" s="778">
        <v>4.45</v>
      </c>
      <c r="F352" s="747">
        <v>36</v>
      </c>
      <c r="G352" s="747">
        <f t="shared" si="283"/>
        <v>160.20000000000002</v>
      </c>
      <c r="H352" s="469">
        <f t="shared" ref="H352:J352" si="287">F352*5</f>
        <v>180</v>
      </c>
      <c r="I352" s="469">
        <f t="shared" si="287"/>
        <v>801.00000000000011</v>
      </c>
      <c r="J352" s="469">
        <f t="shared" si="287"/>
        <v>900</v>
      </c>
      <c r="K352" s="469">
        <f t="shared" si="285"/>
        <v>4005</v>
      </c>
      <c r="L352" s="469">
        <v>200</v>
      </c>
      <c r="M352" s="469">
        <f t="shared" si="286"/>
        <v>890</v>
      </c>
      <c r="N352" s="469" t="s">
        <v>3572</v>
      </c>
    </row>
    <row r="353" spans="1:14" ht="13.8">
      <c r="A353" s="466">
        <v>326</v>
      </c>
      <c r="B353" s="466" t="s">
        <v>3567</v>
      </c>
      <c r="C353" s="466" t="s">
        <v>3573</v>
      </c>
      <c r="D353" s="466" t="s">
        <v>3460</v>
      </c>
      <c r="E353" s="762">
        <v>4.9000000000000004</v>
      </c>
      <c r="F353" s="747">
        <v>36</v>
      </c>
      <c r="G353" s="747">
        <f t="shared" si="283"/>
        <v>176.4</v>
      </c>
      <c r="H353" s="469">
        <f t="shared" ref="H353:J353" si="288">F353*5</f>
        <v>180</v>
      </c>
      <c r="I353" s="469">
        <f t="shared" si="288"/>
        <v>882</v>
      </c>
      <c r="J353" s="469">
        <f t="shared" si="288"/>
        <v>900</v>
      </c>
      <c r="K353" s="469">
        <f t="shared" si="285"/>
        <v>4410</v>
      </c>
      <c r="L353" s="469">
        <v>200</v>
      </c>
      <c r="M353" s="469">
        <f t="shared" si="286"/>
        <v>980.00000000000011</v>
      </c>
      <c r="N353" s="469" t="s">
        <v>3574</v>
      </c>
    </row>
    <row r="354" spans="1:14" ht="13.8">
      <c r="A354" s="466">
        <v>327</v>
      </c>
      <c r="B354" s="466" t="s">
        <v>3570</v>
      </c>
      <c r="C354" s="466" t="s">
        <v>3575</v>
      </c>
      <c r="D354" s="466" t="s">
        <v>3460</v>
      </c>
      <c r="E354" s="762">
        <v>4.5</v>
      </c>
      <c r="F354" s="747">
        <v>36</v>
      </c>
      <c r="G354" s="747">
        <f t="shared" si="283"/>
        <v>162</v>
      </c>
      <c r="H354" s="469">
        <f t="shared" ref="H354:J354" si="289">F354*5</f>
        <v>180</v>
      </c>
      <c r="I354" s="469">
        <f t="shared" si="289"/>
        <v>810</v>
      </c>
      <c r="J354" s="469">
        <f t="shared" si="289"/>
        <v>900</v>
      </c>
      <c r="K354" s="469">
        <f t="shared" si="285"/>
        <v>4050</v>
      </c>
      <c r="L354" s="469">
        <v>200</v>
      </c>
      <c r="M354" s="469">
        <f t="shared" si="286"/>
        <v>900</v>
      </c>
      <c r="N354" s="469" t="s">
        <v>3576</v>
      </c>
    </row>
    <row r="355" spans="1:14" ht="13.8">
      <c r="A355" s="466">
        <v>328</v>
      </c>
      <c r="B355" s="466" t="s">
        <v>3567</v>
      </c>
      <c r="C355" s="466" t="s">
        <v>3577</v>
      </c>
      <c r="D355" s="466" t="s">
        <v>3460</v>
      </c>
      <c r="E355" s="762">
        <v>4.5</v>
      </c>
      <c r="F355" s="747">
        <v>36</v>
      </c>
      <c r="G355" s="747">
        <f t="shared" si="283"/>
        <v>162</v>
      </c>
      <c r="H355" s="469">
        <f t="shared" ref="H355:J355" si="290">F355*5</f>
        <v>180</v>
      </c>
      <c r="I355" s="469">
        <f t="shared" si="290"/>
        <v>810</v>
      </c>
      <c r="J355" s="469">
        <f t="shared" si="290"/>
        <v>900</v>
      </c>
      <c r="K355" s="469">
        <f t="shared" si="285"/>
        <v>4050</v>
      </c>
      <c r="L355" s="469">
        <v>200</v>
      </c>
      <c r="M355" s="469">
        <f t="shared" si="286"/>
        <v>900</v>
      </c>
      <c r="N355" s="469" t="s">
        <v>3578</v>
      </c>
    </row>
    <row r="356" spans="1:14" ht="13.8">
      <c r="A356" s="466">
        <v>329</v>
      </c>
      <c r="B356" s="466" t="s">
        <v>3570</v>
      </c>
      <c r="C356" s="466" t="s">
        <v>3579</v>
      </c>
      <c r="D356" s="466" t="s">
        <v>3460</v>
      </c>
      <c r="E356" s="762">
        <v>4.5</v>
      </c>
      <c r="F356" s="747">
        <v>36</v>
      </c>
      <c r="G356" s="747">
        <f t="shared" si="283"/>
        <v>162</v>
      </c>
      <c r="H356" s="469">
        <f t="shared" ref="H356:J356" si="291">F356*5</f>
        <v>180</v>
      </c>
      <c r="I356" s="469">
        <f t="shared" si="291"/>
        <v>810</v>
      </c>
      <c r="J356" s="469">
        <f t="shared" si="291"/>
        <v>900</v>
      </c>
      <c r="K356" s="469">
        <f t="shared" si="285"/>
        <v>4050</v>
      </c>
      <c r="L356" s="469">
        <v>200</v>
      </c>
      <c r="M356" s="469">
        <f t="shared" si="286"/>
        <v>900</v>
      </c>
      <c r="N356" s="469" t="s">
        <v>3580</v>
      </c>
    </row>
    <row r="357" spans="1:14" ht="13.8">
      <c r="A357" s="466">
        <v>330</v>
      </c>
      <c r="B357" s="466" t="s">
        <v>3567</v>
      </c>
      <c r="C357" s="466" t="s">
        <v>3581</v>
      </c>
      <c r="D357" s="466" t="s">
        <v>3460</v>
      </c>
      <c r="E357" s="762">
        <v>4.7</v>
      </c>
      <c r="F357" s="747">
        <v>36</v>
      </c>
      <c r="G357" s="747">
        <f t="shared" si="283"/>
        <v>169.20000000000002</v>
      </c>
      <c r="H357" s="469">
        <f t="shared" ref="H357:J357" si="292">F357*5</f>
        <v>180</v>
      </c>
      <c r="I357" s="469">
        <f t="shared" si="292"/>
        <v>846.00000000000011</v>
      </c>
      <c r="J357" s="469">
        <f t="shared" si="292"/>
        <v>900</v>
      </c>
      <c r="K357" s="469">
        <f t="shared" si="285"/>
        <v>4230</v>
      </c>
      <c r="L357" s="469">
        <v>200</v>
      </c>
      <c r="M357" s="469">
        <f t="shared" si="286"/>
        <v>940</v>
      </c>
      <c r="N357" s="469" t="s">
        <v>3582</v>
      </c>
    </row>
    <row r="358" spans="1:14" ht="13.8">
      <c r="A358" s="466">
        <v>331</v>
      </c>
      <c r="B358" s="466" t="s">
        <v>3570</v>
      </c>
      <c r="C358" s="466" t="s">
        <v>3583</v>
      </c>
      <c r="D358" s="466" t="s">
        <v>3460</v>
      </c>
      <c r="E358" s="762">
        <v>4.7</v>
      </c>
      <c r="F358" s="747">
        <v>36</v>
      </c>
      <c r="G358" s="747">
        <f t="shared" si="283"/>
        <v>169.20000000000002</v>
      </c>
      <c r="H358" s="469">
        <f t="shared" ref="H358:J358" si="293">F358*5</f>
        <v>180</v>
      </c>
      <c r="I358" s="469">
        <f t="shared" si="293"/>
        <v>846.00000000000011</v>
      </c>
      <c r="J358" s="469">
        <f t="shared" si="293"/>
        <v>900</v>
      </c>
      <c r="K358" s="469">
        <f t="shared" si="285"/>
        <v>4230</v>
      </c>
      <c r="L358" s="469">
        <v>200</v>
      </c>
      <c r="M358" s="469">
        <f t="shared" si="286"/>
        <v>940</v>
      </c>
      <c r="N358" s="469" t="s">
        <v>3584</v>
      </c>
    </row>
    <row r="359" spans="1:14" ht="13.8">
      <c r="A359" s="466">
        <v>332</v>
      </c>
      <c r="B359" s="466" t="s">
        <v>3567</v>
      </c>
      <c r="C359" s="466" t="s">
        <v>3585</v>
      </c>
      <c r="D359" s="466" t="s">
        <v>3460</v>
      </c>
      <c r="E359" s="762">
        <v>4.8</v>
      </c>
      <c r="F359" s="747">
        <v>36</v>
      </c>
      <c r="G359" s="747">
        <f t="shared" si="283"/>
        <v>172.79999999999998</v>
      </c>
      <c r="H359" s="469">
        <f t="shared" ref="H359:J359" si="294">F359*5</f>
        <v>180</v>
      </c>
      <c r="I359" s="469">
        <f t="shared" si="294"/>
        <v>863.99999999999989</v>
      </c>
      <c r="J359" s="469">
        <f t="shared" si="294"/>
        <v>900</v>
      </c>
      <c r="K359" s="469">
        <f t="shared" si="285"/>
        <v>4320</v>
      </c>
      <c r="L359" s="469">
        <v>200</v>
      </c>
      <c r="M359" s="469">
        <f t="shared" si="286"/>
        <v>960</v>
      </c>
      <c r="N359" s="469" t="s">
        <v>3586</v>
      </c>
    </row>
    <row r="360" spans="1:14" ht="13.8">
      <c r="A360" s="466">
        <v>333</v>
      </c>
      <c r="B360" s="466" t="s">
        <v>3570</v>
      </c>
      <c r="C360" s="466" t="s">
        <v>3587</v>
      </c>
      <c r="D360" s="466" t="s">
        <v>3460</v>
      </c>
      <c r="E360" s="762">
        <v>4.8</v>
      </c>
      <c r="F360" s="747">
        <v>36</v>
      </c>
      <c r="G360" s="747">
        <f t="shared" si="283"/>
        <v>172.79999999999998</v>
      </c>
      <c r="H360" s="469">
        <f t="shared" ref="H360:J360" si="295">F360*5</f>
        <v>180</v>
      </c>
      <c r="I360" s="469">
        <f t="shared" si="295"/>
        <v>863.99999999999989</v>
      </c>
      <c r="J360" s="469">
        <f t="shared" si="295"/>
        <v>900</v>
      </c>
      <c r="K360" s="469">
        <f t="shared" si="285"/>
        <v>4320</v>
      </c>
      <c r="L360" s="469">
        <v>200</v>
      </c>
      <c r="M360" s="469">
        <f t="shared" si="286"/>
        <v>960</v>
      </c>
      <c r="N360" s="469" t="s">
        <v>3586</v>
      </c>
    </row>
    <row r="361" spans="1:14" ht="13.8">
      <c r="A361" s="466">
        <v>334</v>
      </c>
      <c r="B361" s="466" t="s">
        <v>3567</v>
      </c>
      <c r="C361" s="466" t="s">
        <v>3588</v>
      </c>
      <c r="D361" s="466" t="s">
        <v>3460</v>
      </c>
      <c r="E361" s="762">
        <v>4.6500000000000004</v>
      </c>
      <c r="F361" s="747">
        <v>36</v>
      </c>
      <c r="G361" s="747">
        <f t="shared" si="283"/>
        <v>167.4</v>
      </c>
      <c r="H361" s="469">
        <f t="shared" ref="H361:J361" si="296">F361*5</f>
        <v>180</v>
      </c>
      <c r="I361" s="469">
        <f t="shared" si="296"/>
        <v>837</v>
      </c>
      <c r="J361" s="469">
        <f t="shared" si="296"/>
        <v>900</v>
      </c>
      <c r="K361" s="469">
        <f t="shared" si="285"/>
        <v>4185</v>
      </c>
      <c r="L361" s="469">
        <v>200</v>
      </c>
      <c r="M361" s="469">
        <f t="shared" si="286"/>
        <v>930.00000000000011</v>
      </c>
      <c r="N361" s="469" t="s">
        <v>3589</v>
      </c>
    </row>
    <row r="362" spans="1:14" ht="13.8">
      <c r="A362" s="466">
        <v>335</v>
      </c>
      <c r="B362" s="466" t="s">
        <v>3570</v>
      </c>
      <c r="C362" s="466" t="s">
        <v>3590</v>
      </c>
      <c r="D362" s="466" t="s">
        <v>3460</v>
      </c>
      <c r="E362" s="762">
        <v>4.6500000000000004</v>
      </c>
      <c r="F362" s="747">
        <v>36</v>
      </c>
      <c r="G362" s="747">
        <f t="shared" si="283"/>
        <v>167.4</v>
      </c>
      <c r="H362" s="469">
        <f t="shared" ref="H362:J362" si="297">F362*5</f>
        <v>180</v>
      </c>
      <c r="I362" s="469">
        <f t="shared" si="297"/>
        <v>837</v>
      </c>
      <c r="J362" s="469">
        <f t="shared" si="297"/>
        <v>900</v>
      </c>
      <c r="K362" s="469">
        <f t="shared" si="285"/>
        <v>4185</v>
      </c>
      <c r="L362" s="469">
        <v>200</v>
      </c>
      <c r="M362" s="469">
        <f t="shared" si="286"/>
        <v>930.00000000000011</v>
      </c>
      <c r="N362" s="469" t="s">
        <v>3591</v>
      </c>
    </row>
    <row r="363" spans="1:14" ht="13.8">
      <c r="A363" s="466">
        <v>336</v>
      </c>
      <c r="B363" s="466" t="s">
        <v>3567</v>
      </c>
      <c r="C363" s="466" t="s">
        <v>3592</v>
      </c>
      <c r="D363" s="466" t="s">
        <v>3460</v>
      </c>
      <c r="E363" s="762">
        <v>4.8</v>
      </c>
      <c r="F363" s="747">
        <v>36</v>
      </c>
      <c r="G363" s="747">
        <f t="shared" si="283"/>
        <v>172.79999999999998</v>
      </c>
      <c r="H363" s="469">
        <f t="shared" ref="H363:J363" si="298">F363*5</f>
        <v>180</v>
      </c>
      <c r="I363" s="469">
        <f t="shared" si="298"/>
        <v>863.99999999999989</v>
      </c>
      <c r="J363" s="469">
        <f t="shared" si="298"/>
        <v>900</v>
      </c>
      <c r="K363" s="469">
        <f t="shared" si="285"/>
        <v>4320</v>
      </c>
      <c r="L363" s="469">
        <v>200</v>
      </c>
      <c r="M363" s="469">
        <f t="shared" si="286"/>
        <v>960</v>
      </c>
      <c r="N363" s="469" t="s">
        <v>3593</v>
      </c>
    </row>
    <row r="364" spans="1:14" ht="13.8">
      <c r="A364" s="466">
        <v>337</v>
      </c>
      <c r="B364" s="466" t="s">
        <v>3570</v>
      </c>
      <c r="C364" s="466" t="s">
        <v>3594</v>
      </c>
      <c r="D364" s="466" t="s">
        <v>3460</v>
      </c>
      <c r="E364" s="762">
        <v>4.8</v>
      </c>
      <c r="F364" s="747">
        <v>36</v>
      </c>
      <c r="G364" s="747">
        <f t="shared" si="283"/>
        <v>172.79999999999998</v>
      </c>
      <c r="H364" s="469">
        <f t="shared" ref="H364:J364" si="299">F364*5</f>
        <v>180</v>
      </c>
      <c r="I364" s="469">
        <f t="shared" si="299"/>
        <v>863.99999999999989</v>
      </c>
      <c r="J364" s="469">
        <f t="shared" si="299"/>
        <v>900</v>
      </c>
      <c r="K364" s="469">
        <f t="shared" si="285"/>
        <v>4320</v>
      </c>
      <c r="L364" s="469">
        <v>200</v>
      </c>
      <c r="M364" s="469">
        <f t="shared" si="286"/>
        <v>960</v>
      </c>
      <c r="N364" s="469" t="s">
        <v>3574</v>
      </c>
    </row>
    <row r="365" spans="1:14" ht="13.8">
      <c r="A365" s="466">
        <v>338</v>
      </c>
      <c r="B365" s="466" t="s">
        <v>3567</v>
      </c>
      <c r="C365" s="466" t="s">
        <v>3595</v>
      </c>
      <c r="D365" s="466" t="s">
        <v>3460</v>
      </c>
      <c r="E365" s="762">
        <v>4.5</v>
      </c>
      <c r="F365" s="747">
        <v>36</v>
      </c>
      <c r="G365" s="747">
        <f t="shared" si="283"/>
        <v>162</v>
      </c>
      <c r="H365" s="469">
        <f t="shared" ref="H365:J365" si="300">F365*5</f>
        <v>180</v>
      </c>
      <c r="I365" s="469">
        <f t="shared" si="300"/>
        <v>810</v>
      </c>
      <c r="J365" s="469">
        <f t="shared" si="300"/>
        <v>900</v>
      </c>
      <c r="K365" s="469">
        <f t="shared" si="285"/>
        <v>4050</v>
      </c>
      <c r="L365" s="469">
        <v>200</v>
      </c>
      <c r="M365" s="469">
        <f t="shared" si="286"/>
        <v>900</v>
      </c>
      <c r="N365" s="469" t="s">
        <v>3596</v>
      </c>
    </row>
    <row r="366" spans="1:14" ht="13.8">
      <c r="A366" s="466">
        <v>339</v>
      </c>
      <c r="B366" s="466" t="s">
        <v>3570</v>
      </c>
      <c r="C366" s="466" t="s">
        <v>3597</v>
      </c>
      <c r="D366" s="466" t="s">
        <v>3460</v>
      </c>
      <c r="E366" s="762">
        <v>4.5</v>
      </c>
      <c r="F366" s="747">
        <v>36</v>
      </c>
      <c r="G366" s="747">
        <f t="shared" si="283"/>
        <v>162</v>
      </c>
      <c r="H366" s="469">
        <f t="shared" ref="H366:J366" si="301">F366*5</f>
        <v>180</v>
      </c>
      <c r="I366" s="469">
        <f t="shared" si="301"/>
        <v>810</v>
      </c>
      <c r="J366" s="469">
        <f t="shared" si="301"/>
        <v>900</v>
      </c>
      <c r="K366" s="469">
        <f t="shared" si="285"/>
        <v>4050</v>
      </c>
      <c r="L366" s="469">
        <v>200</v>
      </c>
      <c r="M366" s="469">
        <f t="shared" si="286"/>
        <v>900</v>
      </c>
      <c r="N366" s="469" t="s">
        <v>3598</v>
      </c>
    </row>
    <row r="367" spans="1:14" ht="13.8">
      <c r="A367" s="466">
        <v>340</v>
      </c>
      <c r="B367" s="466" t="s">
        <v>3567</v>
      </c>
      <c r="C367" s="466" t="s">
        <v>3599</v>
      </c>
      <c r="D367" s="466" t="s">
        <v>3460</v>
      </c>
      <c r="E367" s="762">
        <v>4.45</v>
      </c>
      <c r="F367" s="747">
        <v>36</v>
      </c>
      <c r="G367" s="747">
        <f t="shared" si="283"/>
        <v>160.20000000000002</v>
      </c>
      <c r="H367" s="469">
        <f t="shared" ref="H367:J367" si="302">F367*5</f>
        <v>180</v>
      </c>
      <c r="I367" s="469">
        <f t="shared" si="302"/>
        <v>801.00000000000011</v>
      </c>
      <c r="J367" s="469">
        <f t="shared" si="302"/>
        <v>900</v>
      </c>
      <c r="K367" s="469">
        <f t="shared" si="285"/>
        <v>4005</v>
      </c>
      <c r="L367" s="469">
        <v>200</v>
      </c>
      <c r="M367" s="469">
        <f t="shared" si="286"/>
        <v>890</v>
      </c>
      <c r="N367" s="469" t="s">
        <v>3600</v>
      </c>
    </row>
    <row r="368" spans="1:14" ht="13.8">
      <c r="A368" s="466">
        <v>341</v>
      </c>
      <c r="B368" s="466" t="s">
        <v>3570</v>
      </c>
      <c r="C368" s="466" t="s">
        <v>3601</v>
      </c>
      <c r="D368" s="466" t="s">
        <v>3460</v>
      </c>
      <c r="E368" s="762">
        <v>4.45</v>
      </c>
      <c r="F368" s="747">
        <v>36</v>
      </c>
      <c r="G368" s="747">
        <f t="shared" si="283"/>
        <v>160.20000000000002</v>
      </c>
      <c r="H368" s="469">
        <f t="shared" ref="H368:J368" si="303">F368*5</f>
        <v>180</v>
      </c>
      <c r="I368" s="469">
        <f t="shared" si="303"/>
        <v>801.00000000000011</v>
      </c>
      <c r="J368" s="469">
        <f t="shared" si="303"/>
        <v>900</v>
      </c>
      <c r="K368" s="469">
        <f t="shared" si="285"/>
        <v>4005</v>
      </c>
      <c r="L368" s="469">
        <v>200</v>
      </c>
      <c r="M368" s="469">
        <f t="shared" si="286"/>
        <v>890</v>
      </c>
      <c r="N368" s="469" t="s">
        <v>3602</v>
      </c>
    </row>
    <row r="369" spans="1:14" ht="13.8">
      <c r="A369" s="466">
        <v>342</v>
      </c>
      <c r="B369" s="466" t="s">
        <v>3603</v>
      </c>
      <c r="C369" s="466" t="s">
        <v>3604</v>
      </c>
      <c r="D369" s="466" t="s">
        <v>3460</v>
      </c>
      <c r="E369" s="762">
        <v>5</v>
      </c>
      <c r="F369" s="747">
        <v>36</v>
      </c>
      <c r="G369" s="747">
        <f t="shared" si="283"/>
        <v>180</v>
      </c>
      <c r="H369" s="469">
        <f t="shared" ref="H369:J369" si="304">F369*5</f>
        <v>180</v>
      </c>
      <c r="I369" s="469">
        <f t="shared" si="304"/>
        <v>900</v>
      </c>
      <c r="J369" s="469">
        <f t="shared" si="304"/>
        <v>900</v>
      </c>
      <c r="K369" s="469">
        <f t="shared" si="285"/>
        <v>4500</v>
      </c>
      <c r="L369" s="469">
        <v>200</v>
      </c>
      <c r="M369" s="469">
        <f t="shared" si="286"/>
        <v>1000</v>
      </c>
      <c r="N369" s="469" t="s">
        <v>3605</v>
      </c>
    </row>
    <row r="370" spans="1:14" ht="13.8">
      <c r="A370" s="466">
        <v>343</v>
      </c>
      <c r="B370" s="466" t="s">
        <v>3603</v>
      </c>
      <c r="C370" s="466" t="s">
        <v>3606</v>
      </c>
      <c r="D370" s="466" t="s">
        <v>3460</v>
      </c>
      <c r="E370" s="762">
        <v>5</v>
      </c>
      <c r="F370" s="747">
        <v>36</v>
      </c>
      <c r="G370" s="747">
        <f t="shared" si="283"/>
        <v>180</v>
      </c>
      <c r="H370" s="469">
        <f t="shared" ref="H370:J370" si="305">F370*5</f>
        <v>180</v>
      </c>
      <c r="I370" s="469">
        <f t="shared" si="305"/>
        <v>900</v>
      </c>
      <c r="J370" s="469">
        <f t="shared" si="305"/>
        <v>900</v>
      </c>
      <c r="K370" s="469">
        <f t="shared" si="285"/>
        <v>4500</v>
      </c>
      <c r="L370" s="469">
        <v>200</v>
      </c>
      <c r="M370" s="469">
        <f t="shared" si="286"/>
        <v>1000</v>
      </c>
      <c r="N370" s="469" t="s">
        <v>3607</v>
      </c>
    </row>
    <row r="371" spans="1:14" ht="13.8">
      <c r="A371" s="466">
        <v>344</v>
      </c>
      <c r="B371" s="466" t="s">
        <v>3603</v>
      </c>
      <c r="C371" s="466" t="s">
        <v>3608</v>
      </c>
      <c r="D371" s="466" t="s">
        <v>3460</v>
      </c>
      <c r="E371" s="762">
        <v>8</v>
      </c>
      <c r="F371" s="747">
        <v>36</v>
      </c>
      <c r="G371" s="747">
        <f t="shared" si="283"/>
        <v>288</v>
      </c>
      <c r="H371" s="469">
        <f t="shared" ref="H371:J371" si="306">F371*5</f>
        <v>180</v>
      </c>
      <c r="I371" s="469">
        <f t="shared" si="306"/>
        <v>1440</v>
      </c>
      <c r="J371" s="469">
        <f t="shared" si="306"/>
        <v>900</v>
      </c>
      <c r="K371" s="469">
        <f t="shared" si="285"/>
        <v>7200</v>
      </c>
      <c r="L371" s="469">
        <v>200</v>
      </c>
      <c r="M371" s="469">
        <f t="shared" si="286"/>
        <v>1600</v>
      </c>
      <c r="N371" s="469" t="s">
        <v>3609</v>
      </c>
    </row>
    <row r="372" spans="1:14" ht="13.8">
      <c r="A372" s="466">
        <v>345</v>
      </c>
      <c r="B372" s="466" t="s">
        <v>3603</v>
      </c>
      <c r="C372" s="466" t="s">
        <v>3610</v>
      </c>
      <c r="D372" s="466" t="s">
        <v>3460</v>
      </c>
      <c r="E372" s="762">
        <v>4.2</v>
      </c>
      <c r="F372" s="747">
        <v>36</v>
      </c>
      <c r="G372" s="747">
        <f t="shared" si="283"/>
        <v>151.20000000000002</v>
      </c>
      <c r="H372" s="469">
        <f t="shared" ref="H372:J372" si="307">F372*5</f>
        <v>180</v>
      </c>
      <c r="I372" s="469">
        <f t="shared" si="307"/>
        <v>756.00000000000011</v>
      </c>
      <c r="J372" s="469">
        <f t="shared" si="307"/>
        <v>900</v>
      </c>
      <c r="K372" s="469">
        <f t="shared" si="285"/>
        <v>3780</v>
      </c>
      <c r="L372" s="469">
        <v>200</v>
      </c>
      <c r="M372" s="469">
        <f t="shared" si="286"/>
        <v>840</v>
      </c>
      <c r="N372" s="469"/>
    </row>
    <row r="373" spans="1:14" ht="13.8">
      <c r="A373" s="466">
        <v>346</v>
      </c>
      <c r="B373" s="466" t="s">
        <v>3603</v>
      </c>
      <c r="C373" s="466" t="s">
        <v>3611</v>
      </c>
      <c r="D373" s="466" t="s">
        <v>3460</v>
      </c>
      <c r="E373" s="762">
        <v>5</v>
      </c>
      <c r="F373" s="747">
        <v>36</v>
      </c>
      <c r="G373" s="747">
        <f t="shared" si="283"/>
        <v>180</v>
      </c>
      <c r="H373" s="469">
        <f t="shared" ref="H373:J373" si="308">F373*5</f>
        <v>180</v>
      </c>
      <c r="I373" s="469">
        <f t="shared" si="308"/>
        <v>900</v>
      </c>
      <c r="J373" s="469">
        <f t="shared" si="308"/>
        <v>900</v>
      </c>
      <c r="K373" s="469">
        <f t="shared" si="285"/>
        <v>4500</v>
      </c>
      <c r="L373" s="469">
        <v>200</v>
      </c>
      <c r="M373" s="469">
        <f t="shared" si="286"/>
        <v>1000</v>
      </c>
      <c r="N373" s="469" t="s">
        <v>3612</v>
      </c>
    </row>
    <row r="374" spans="1:14" ht="13.8">
      <c r="A374" s="466">
        <v>347</v>
      </c>
      <c r="B374" s="466" t="s">
        <v>3603</v>
      </c>
      <c r="C374" s="466" t="s">
        <v>3613</v>
      </c>
      <c r="D374" s="466" t="s">
        <v>3460</v>
      </c>
      <c r="E374" s="762">
        <v>8.1999999999999993</v>
      </c>
      <c r="F374" s="747">
        <v>36</v>
      </c>
      <c r="G374" s="747">
        <f t="shared" si="283"/>
        <v>295.2</v>
      </c>
      <c r="H374" s="469">
        <f t="shared" ref="H374:J374" si="309">F374*5</f>
        <v>180</v>
      </c>
      <c r="I374" s="469">
        <f t="shared" si="309"/>
        <v>1476</v>
      </c>
      <c r="J374" s="469">
        <f t="shared" si="309"/>
        <v>900</v>
      </c>
      <c r="K374" s="469">
        <f t="shared" si="285"/>
        <v>7379.9999999999991</v>
      </c>
      <c r="L374" s="469">
        <v>200</v>
      </c>
      <c r="M374" s="469">
        <f t="shared" si="286"/>
        <v>1639.9999999999998</v>
      </c>
      <c r="N374" s="469" t="s">
        <v>3614</v>
      </c>
    </row>
    <row r="375" spans="1:14" ht="13.8">
      <c r="A375" s="466">
        <v>348</v>
      </c>
      <c r="B375" s="466" t="s">
        <v>3603</v>
      </c>
      <c r="C375" s="466" t="s">
        <v>3615</v>
      </c>
      <c r="D375" s="466" t="s">
        <v>3460</v>
      </c>
      <c r="E375" s="762">
        <v>5</v>
      </c>
      <c r="F375" s="747">
        <v>36</v>
      </c>
      <c r="G375" s="747">
        <f t="shared" si="283"/>
        <v>180</v>
      </c>
      <c r="H375" s="469">
        <f t="shared" ref="H375:J375" si="310">F375*5</f>
        <v>180</v>
      </c>
      <c r="I375" s="469">
        <f t="shared" si="310"/>
        <v>900</v>
      </c>
      <c r="J375" s="469">
        <f t="shared" si="310"/>
        <v>900</v>
      </c>
      <c r="K375" s="469">
        <f t="shared" si="285"/>
        <v>4500</v>
      </c>
      <c r="L375" s="469">
        <v>200</v>
      </c>
      <c r="M375" s="469">
        <f t="shared" si="286"/>
        <v>1000</v>
      </c>
      <c r="N375" s="469" t="s">
        <v>3616</v>
      </c>
    </row>
    <row r="376" spans="1:14" ht="13.8">
      <c r="A376" s="466">
        <v>349</v>
      </c>
      <c r="B376" s="466" t="s">
        <v>3603</v>
      </c>
      <c r="C376" s="466" t="s">
        <v>3617</v>
      </c>
      <c r="D376" s="466" t="s">
        <v>3460</v>
      </c>
      <c r="E376" s="762">
        <v>5</v>
      </c>
      <c r="F376" s="747">
        <v>36</v>
      </c>
      <c r="G376" s="747">
        <f t="shared" si="283"/>
        <v>180</v>
      </c>
      <c r="H376" s="469">
        <f t="shared" ref="H376:J376" si="311">F376*5</f>
        <v>180</v>
      </c>
      <c r="I376" s="469">
        <f t="shared" si="311"/>
        <v>900</v>
      </c>
      <c r="J376" s="469">
        <f t="shared" si="311"/>
        <v>900</v>
      </c>
      <c r="K376" s="469">
        <f t="shared" si="285"/>
        <v>4500</v>
      </c>
      <c r="L376" s="469">
        <v>200</v>
      </c>
      <c r="M376" s="469">
        <f t="shared" si="286"/>
        <v>1000</v>
      </c>
      <c r="N376" s="469"/>
    </row>
    <row r="377" spans="1:14" ht="13.8">
      <c r="A377" s="466">
        <v>350</v>
      </c>
      <c r="B377" s="466" t="s">
        <v>3603</v>
      </c>
      <c r="C377" s="466" t="s">
        <v>3618</v>
      </c>
      <c r="D377" s="466" t="s">
        <v>3460</v>
      </c>
      <c r="E377" s="762">
        <v>2.5</v>
      </c>
      <c r="F377" s="747">
        <v>36</v>
      </c>
      <c r="G377" s="747">
        <f t="shared" si="283"/>
        <v>90</v>
      </c>
      <c r="H377" s="469">
        <f t="shared" ref="H377:J377" si="312">F377*5</f>
        <v>180</v>
      </c>
      <c r="I377" s="469">
        <f t="shared" si="312"/>
        <v>450</v>
      </c>
      <c r="J377" s="469">
        <f t="shared" si="312"/>
        <v>900</v>
      </c>
      <c r="K377" s="469">
        <f t="shared" si="285"/>
        <v>2250</v>
      </c>
      <c r="L377" s="469">
        <v>200</v>
      </c>
      <c r="M377" s="469">
        <f t="shared" si="286"/>
        <v>500</v>
      </c>
      <c r="N377" s="469" t="s">
        <v>3619</v>
      </c>
    </row>
    <row r="378" spans="1:14" ht="13.8">
      <c r="A378" s="466">
        <v>351</v>
      </c>
      <c r="B378" s="466" t="s">
        <v>3603</v>
      </c>
      <c r="C378" s="466" t="s">
        <v>3620</v>
      </c>
      <c r="D378" s="466" t="s">
        <v>3460</v>
      </c>
      <c r="E378" s="762">
        <v>5</v>
      </c>
      <c r="F378" s="747">
        <v>36</v>
      </c>
      <c r="G378" s="747">
        <f t="shared" si="283"/>
        <v>180</v>
      </c>
      <c r="H378" s="469">
        <f t="shared" ref="H378:J378" si="313">F378*5</f>
        <v>180</v>
      </c>
      <c r="I378" s="469">
        <f t="shared" si="313"/>
        <v>900</v>
      </c>
      <c r="J378" s="469">
        <f t="shared" si="313"/>
        <v>900</v>
      </c>
      <c r="K378" s="469">
        <f t="shared" si="285"/>
        <v>4500</v>
      </c>
      <c r="L378" s="469">
        <v>200</v>
      </c>
      <c r="M378" s="469">
        <f t="shared" si="286"/>
        <v>1000</v>
      </c>
      <c r="N378" s="469" t="s">
        <v>3621</v>
      </c>
    </row>
    <row r="379" spans="1:14" ht="13.8">
      <c r="A379" s="466">
        <v>352</v>
      </c>
      <c r="B379" s="466" t="s">
        <v>3603</v>
      </c>
      <c r="C379" s="466" t="s">
        <v>3622</v>
      </c>
      <c r="D379" s="466" t="s">
        <v>3460</v>
      </c>
      <c r="E379" s="762">
        <v>6.4</v>
      </c>
      <c r="F379" s="747">
        <v>36</v>
      </c>
      <c r="G379" s="747">
        <f t="shared" si="283"/>
        <v>230.4</v>
      </c>
      <c r="H379" s="469">
        <f t="shared" ref="H379:J379" si="314">F379*5</f>
        <v>180</v>
      </c>
      <c r="I379" s="469">
        <f t="shared" si="314"/>
        <v>1152</v>
      </c>
      <c r="J379" s="469">
        <f t="shared" si="314"/>
        <v>900</v>
      </c>
      <c r="K379" s="469">
        <f t="shared" si="285"/>
        <v>5760</v>
      </c>
      <c r="L379" s="469">
        <v>200</v>
      </c>
      <c r="M379" s="469">
        <f t="shared" si="286"/>
        <v>1280</v>
      </c>
      <c r="N379" s="469" t="s">
        <v>3623</v>
      </c>
    </row>
    <row r="380" spans="1:14" ht="13.8">
      <c r="A380" s="466">
        <v>353</v>
      </c>
      <c r="B380" s="466" t="s">
        <v>3603</v>
      </c>
      <c r="C380" s="466" t="s">
        <v>3624</v>
      </c>
      <c r="D380" s="466" t="s">
        <v>3460</v>
      </c>
      <c r="E380" s="762">
        <v>5</v>
      </c>
      <c r="F380" s="747">
        <v>36</v>
      </c>
      <c r="G380" s="747">
        <f t="shared" si="283"/>
        <v>180</v>
      </c>
      <c r="H380" s="469">
        <f t="shared" ref="H380:J380" si="315">F380*5</f>
        <v>180</v>
      </c>
      <c r="I380" s="469">
        <f t="shared" si="315"/>
        <v>900</v>
      </c>
      <c r="J380" s="469">
        <f t="shared" si="315"/>
        <v>900</v>
      </c>
      <c r="K380" s="469">
        <f t="shared" si="285"/>
        <v>4500</v>
      </c>
      <c r="L380" s="469">
        <v>200</v>
      </c>
      <c r="M380" s="469">
        <f t="shared" si="286"/>
        <v>1000</v>
      </c>
      <c r="N380" s="469"/>
    </row>
    <row r="381" spans="1:14" ht="13.8">
      <c r="A381" s="466">
        <v>354</v>
      </c>
      <c r="B381" s="466" t="s">
        <v>3603</v>
      </c>
      <c r="C381" s="466" t="s">
        <v>3625</v>
      </c>
      <c r="D381" s="466" t="s">
        <v>3460</v>
      </c>
      <c r="E381" s="762">
        <v>5</v>
      </c>
      <c r="F381" s="747">
        <v>36</v>
      </c>
      <c r="G381" s="747">
        <f t="shared" si="283"/>
        <v>180</v>
      </c>
      <c r="H381" s="469">
        <f t="shared" ref="H381:J381" si="316">F381*5</f>
        <v>180</v>
      </c>
      <c r="I381" s="469">
        <f t="shared" si="316"/>
        <v>900</v>
      </c>
      <c r="J381" s="469">
        <f t="shared" si="316"/>
        <v>900</v>
      </c>
      <c r="K381" s="469">
        <f t="shared" si="285"/>
        <v>4500</v>
      </c>
      <c r="L381" s="469">
        <v>200</v>
      </c>
      <c r="M381" s="469">
        <f t="shared" si="286"/>
        <v>1000</v>
      </c>
      <c r="N381" s="469"/>
    </row>
    <row r="382" spans="1:14" ht="13.8">
      <c r="A382" s="466">
        <v>355</v>
      </c>
      <c r="B382" s="466" t="s">
        <v>3603</v>
      </c>
      <c r="C382" s="466" t="s">
        <v>3626</v>
      </c>
      <c r="D382" s="466" t="s">
        <v>3460</v>
      </c>
      <c r="E382" s="762">
        <v>7.5</v>
      </c>
      <c r="F382" s="747">
        <v>36</v>
      </c>
      <c r="G382" s="747">
        <f t="shared" si="283"/>
        <v>270</v>
      </c>
      <c r="H382" s="469">
        <f t="shared" ref="H382:J382" si="317">F382*5</f>
        <v>180</v>
      </c>
      <c r="I382" s="469">
        <f t="shared" si="317"/>
        <v>1350</v>
      </c>
      <c r="J382" s="469">
        <f t="shared" si="317"/>
        <v>900</v>
      </c>
      <c r="K382" s="469">
        <f t="shared" si="285"/>
        <v>6750</v>
      </c>
      <c r="L382" s="469">
        <v>200</v>
      </c>
      <c r="M382" s="469">
        <f t="shared" si="286"/>
        <v>1500</v>
      </c>
      <c r="N382" s="469" t="s">
        <v>3627</v>
      </c>
    </row>
    <row r="383" spans="1:14" ht="13.8">
      <c r="A383" s="466">
        <v>356</v>
      </c>
      <c r="B383" s="466" t="s">
        <v>3603</v>
      </c>
      <c r="C383" s="466" t="s">
        <v>3628</v>
      </c>
      <c r="D383" s="466" t="s">
        <v>3460</v>
      </c>
      <c r="E383" s="762">
        <v>6</v>
      </c>
      <c r="F383" s="747">
        <v>36</v>
      </c>
      <c r="G383" s="747">
        <f t="shared" si="283"/>
        <v>216</v>
      </c>
      <c r="H383" s="469">
        <f t="shared" ref="H383:J383" si="318">F383*5</f>
        <v>180</v>
      </c>
      <c r="I383" s="469">
        <f t="shared" si="318"/>
        <v>1080</v>
      </c>
      <c r="J383" s="469">
        <f t="shared" si="318"/>
        <v>900</v>
      </c>
      <c r="K383" s="469">
        <f t="shared" si="285"/>
        <v>5400</v>
      </c>
      <c r="L383" s="469">
        <v>200</v>
      </c>
      <c r="M383" s="469">
        <f t="shared" si="286"/>
        <v>1200</v>
      </c>
      <c r="N383" s="469" t="s">
        <v>3627</v>
      </c>
    </row>
    <row r="384" spans="1:14" ht="13.8">
      <c r="A384" s="466">
        <v>357</v>
      </c>
      <c r="B384" s="466" t="s">
        <v>3603</v>
      </c>
      <c r="C384" s="466" t="s">
        <v>3629</v>
      </c>
      <c r="D384" s="466" t="s">
        <v>3460</v>
      </c>
      <c r="E384" s="762">
        <v>7</v>
      </c>
      <c r="F384" s="747">
        <v>36</v>
      </c>
      <c r="G384" s="747">
        <f t="shared" si="283"/>
        <v>252</v>
      </c>
      <c r="H384" s="469">
        <f t="shared" ref="H384:J384" si="319">F384*5</f>
        <v>180</v>
      </c>
      <c r="I384" s="469">
        <f t="shared" si="319"/>
        <v>1260</v>
      </c>
      <c r="J384" s="469">
        <f t="shared" si="319"/>
        <v>900</v>
      </c>
      <c r="K384" s="469">
        <f t="shared" si="285"/>
        <v>6300</v>
      </c>
      <c r="L384" s="469">
        <v>200</v>
      </c>
      <c r="M384" s="469">
        <f t="shared" si="286"/>
        <v>1400</v>
      </c>
      <c r="N384" s="469" t="s">
        <v>3630</v>
      </c>
    </row>
    <row r="385" spans="1:14" ht="13.8">
      <c r="A385" s="466">
        <v>358</v>
      </c>
      <c r="B385" s="466" t="s">
        <v>3603</v>
      </c>
      <c r="C385" s="466" t="s">
        <v>3631</v>
      </c>
      <c r="D385" s="466" t="s">
        <v>3460</v>
      </c>
      <c r="E385" s="762">
        <v>5</v>
      </c>
      <c r="F385" s="747">
        <v>36</v>
      </c>
      <c r="G385" s="747">
        <f t="shared" si="283"/>
        <v>180</v>
      </c>
      <c r="H385" s="469">
        <f t="shared" ref="H385:J385" si="320">F385*5</f>
        <v>180</v>
      </c>
      <c r="I385" s="469">
        <f t="shared" si="320"/>
        <v>900</v>
      </c>
      <c r="J385" s="469">
        <f t="shared" si="320"/>
        <v>900</v>
      </c>
      <c r="K385" s="469">
        <f t="shared" si="285"/>
        <v>4500</v>
      </c>
      <c r="L385" s="469">
        <v>200</v>
      </c>
      <c r="M385" s="469">
        <f t="shared" si="286"/>
        <v>1000</v>
      </c>
      <c r="N385" s="469" t="s">
        <v>3632</v>
      </c>
    </row>
    <row r="386" spans="1:14" ht="13.8">
      <c r="A386" s="466">
        <v>359</v>
      </c>
      <c r="B386" s="466" t="s">
        <v>3603</v>
      </c>
      <c r="C386" s="466" t="s">
        <v>3633</v>
      </c>
      <c r="D386" s="466" t="s">
        <v>3460</v>
      </c>
      <c r="E386" s="762">
        <v>7</v>
      </c>
      <c r="F386" s="747">
        <v>36</v>
      </c>
      <c r="G386" s="747">
        <f t="shared" si="283"/>
        <v>252</v>
      </c>
      <c r="H386" s="469">
        <f t="shared" ref="H386:J386" si="321">F386*5</f>
        <v>180</v>
      </c>
      <c r="I386" s="469">
        <f t="shared" si="321"/>
        <v>1260</v>
      </c>
      <c r="J386" s="469">
        <f t="shared" si="321"/>
        <v>900</v>
      </c>
      <c r="K386" s="469">
        <f t="shared" si="285"/>
        <v>6300</v>
      </c>
      <c r="L386" s="469">
        <v>200</v>
      </c>
      <c r="M386" s="469">
        <f t="shared" si="286"/>
        <v>1400</v>
      </c>
      <c r="N386" s="469" t="s">
        <v>3634</v>
      </c>
    </row>
    <row r="387" spans="1:14" ht="13.8">
      <c r="A387" s="466">
        <v>360</v>
      </c>
      <c r="B387" s="466" t="s">
        <v>3603</v>
      </c>
      <c r="C387" s="466" t="s">
        <v>3635</v>
      </c>
      <c r="D387" s="466" t="s">
        <v>3460</v>
      </c>
      <c r="E387" s="762">
        <v>8.3000000000000007</v>
      </c>
      <c r="F387" s="747">
        <v>36</v>
      </c>
      <c r="G387" s="747">
        <f t="shared" si="283"/>
        <v>298.8</v>
      </c>
      <c r="H387" s="469">
        <f t="shared" ref="H387:J387" si="322">F387*5</f>
        <v>180</v>
      </c>
      <c r="I387" s="469">
        <f t="shared" si="322"/>
        <v>1494</v>
      </c>
      <c r="J387" s="469">
        <f t="shared" si="322"/>
        <v>900</v>
      </c>
      <c r="K387" s="469">
        <f t="shared" si="285"/>
        <v>7470.0000000000009</v>
      </c>
      <c r="L387" s="469">
        <v>200</v>
      </c>
      <c r="M387" s="469">
        <f t="shared" si="286"/>
        <v>1660.0000000000002</v>
      </c>
      <c r="N387" s="469" t="s">
        <v>3636</v>
      </c>
    </row>
    <row r="388" spans="1:14" ht="13.8">
      <c r="A388" s="466">
        <v>361</v>
      </c>
      <c r="B388" s="466" t="s">
        <v>3603</v>
      </c>
      <c r="C388" s="466" t="s">
        <v>3637</v>
      </c>
      <c r="D388" s="466" t="s">
        <v>3460</v>
      </c>
      <c r="E388" s="762">
        <v>8.4</v>
      </c>
      <c r="F388" s="747">
        <v>36</v>
      </c>
      <c r="G388" s="747">
        <f t="shared" si="283"/>
        <v>302.40000000000003</v>
      </c>
      <c r="H388" s="469">
        <f t="shared" ref="H388:J388" si="323">F388*5</f>
        <v>180</v>
      </c>
      <c r="I388" s="469">
        <f t="shared" si="323"/>
        <v>1512.0000000000002</v>
      </c>
      <c r="J388" s="469">
        <f t="shared" si="323"/>
        <v>900</v>
      </c>
      <c r="K388" s="469">
        <f t="shared" si="285"/>
        <v>7560</v>
      </c>
      <c r="L388" s="469">
        <v>200</v>
      </c>
      <c r="M388" s="469">
        <f t="shared" si="286"/>
        <v>1680</v>
      </c>
      <c r="N388" s="469" t="s">
        <v>3638</v>
      </c>
    </row>
    <row r="389" spans="1:14" ht="13.8">
      <c r="A389" s="466">
        <v>362</v>
      </c>
      <c r="B389" s="466" t="s">
        <v>3603</v>
      </c>
      <c r="C389" s="466" t="s">
        <v>3639</v>
      </c>
      <c r="D389" s="466" t="s">
        <v>3460</v>
      </c>
      <c r="E389" s="762">
        <v>5.5</v>
      </c>
      <c r="F389" s="747">
        <v>36</v>
      </c>
      <c r="G389" s="747">
        <f t="shared" si="283"/>
        <v>198</v>
      </c>
      <c r="H389" s="469">
        <f t="shared" ref="H389:J389" si="324">F389*5</f>
        <v>180</v>
      </c>
      <c r="I389" s="469">
        <f t="shared" si="324"/>
        <v>990</v>
      </c>
      <c r="J389" s="469">
        <f t="shared" si="324"/>
        <v>900</v>
      </c>
      <c r="K389" s="469">
        <f t="shared" si="285"/>
        <v>4950</v>
      </c>
      <c r="L389" s="469">
        <v>200</v>
      </c>
      <c r="M389" s="469">
        <f t="shared" si="286"/>
        <v>1100</v>
      </c>
      <c r="N389" s="469"/>
    </row>
    <row r="390" spans="1:14" ht="13.8">
      <c r="A390" s="466">
        <v>363</v>
      </c>
      <c r="B390" s="466" t="s">
        <v>3603</v>
      </c>
      <c r="C390" s="466" t="s">
        <v>3640</v>
      </c>
      <c r="D390" s="466" t="s">
        <v>3460</v>
      </c>
      <c r="E390" s="762">
        <v>5</v>
      </c>
      <c r="F390" s="747">
        <v>36</v>
      </c>
      <c r="G390" s="747">
        <f t="shared" si="283"/>
        <v>180</v>
      </c>
      <c r="H390" s="469">
        <f t="shared" ref="H390:J390" si="325">F390*5</f>
        <v>180</v>
      </c>
      <c r="I390" s="469">
        <f t="shared" si="325"/>
        <v>900</v>
      </c>
      <c r="J390" s="469">
        <f t="shared" si="325"/>
        <v>900</v>
      </c>
      <c r="K390" s="469">
        <f t="shared" si="285"/>
        <v>4500</v>
      </c>
      <c r="L390" s="469">
        <v>200</v>
      </c>
      <c r="M390" s="469">
        <f t="shared" si="286"/>
        <v>1000</v>
      </c>
      <c r="N390" s="469"/>
    </row>
    <row r="391" spans="1:14" ht="13.8">
      <c r="A391" s="466">
        <v>364</v>
      </c>
      <c r="B391" s="466" t="s">
        <v>3603</v>
      </c>
      <c r="C391" s="466" t="s">
        <v>3641</v>
      </c>
      <c r="D391" s="466" t="s">
        <v>3460</v>
      </c>
      <c r="E391" s="762">
        <v>4.7</v>
      </c>
      <c r="F391" s="747">
        <v>36</v>
      </c>
      <c r="G391" s="747">
        <f t="shared" si="283"/>
        <v>169.20000000000002</v>
      </c>
      <c r="H391" s="469">
        <f t="shared" ref="H391:J391" si="326">F391*5</f>
        <v>180</v>
      </c>
      <c r="I391" s="469">
        <f t="shared" si="326"/>
        <v>846.00000000000011</v>
      </c>
      <c r="J391" s="469">
        <f t="shared" si="326"/>
        <v>900</v>
      </c>
      <c r="K391" s="469">
        <f t="shared" si="285"/>
        <v>4230</v>
      </c>
      <c r="L391" s="469">
        <v>200</v>
      </c>
      <c r="M391" s="469">
        <f t="shared" si="286"/>
        <v>940</v>
      </c>
      <c r="N391" s="469"/>
    </row>
    <row r="392" spans="1:14" ht="13.8">
      <c r="A392" s="466">
        <v>365</v>
      </c>
      <c r="B392" s="466" t="s">
        <v>3603</v>
      </c>
      <c r="C392" s="466" t="s">
        <v>3642</v>
      </c>
      <c r="D392" s="466" t="s">
        <v>3460</v>
      </c>
      <c r="E392" s="762">
        <v>5</v>
      </c>
      <c r="F392" s="747">
        <v>36</v>
      </c>
      <c r="G392" s="747">
        <f t="shared" si="283"/>
        <v>180</v>
      </c>
      <c r="H392" s="469">
        <f t="shared" ref="H392:J392" si="327">F392*5</f>
        <v>180</v>
      </c>
      <c r="I392" s="469">
        <f t="shared" si="327"/>
        <v>900</v>
      </c>
      <c r="J392" s="469">
        <f t="shared" si="327"/>
        <v>900</v>
      </c>
      <c r="K392" s="469">
        <f t="shared" si="285"/>
        <v>4500</v>
      </c>
      <c r="L392" s="469">
        <v>200</v>
      </c>
      <c r="M392" s="469">
        <f t="shared" si="286"/>
        <v>1000</v>
      </c>
      <c r="N392" s="469"/>
    </row>
    <row r="393" spans="1:14" ht="13.8">
      <c r="A393" s="466">
        <v>366</v>
      </c>
      <c r="B393" s="466" t="s">
        <v>3603</v>
      </c>
      <c r="C393" s="466" t="s">
        <v>3643</v>
      </c>
      <c r="D393" s="466" t="s">
        <v>3460</v>
      </c>
      <c r="E393" s="762">
        <v>5</v>
      </c>
      <c r="F393" s="747">
        <v>36</v>
      </c>
      <c r="G393" s="747">
        <f t="shared" si="283"/>
        <v>180</v>
      </c>
      <c r="H393" s="469">
        <f t="shared" ref="H393:J393" si="328">F393*5</f>
        <v>180</v>
      </c>
      <c r="I393" s="469">
        <f t="shared" si="328"/>
        <v>900</v>
      </c>
      <c r="J393" s="469">
        <f t="shared" si="328"/>
        <v>900</v>
      </c>
      <c r="K393" s="469">
        <f t="shared" si="285"/>
        <v>4500</v>
      </c>
      <c r="L393" s="469">
        <v>200</v>
      </c>
      <c r="M393" s="469">
        <f t="shared" si="286"/>
        <v>1000</v>
      </c>
      <c r="N393" s="469"/>
    </row>
    <row r="394" spans="1:14" ht="13.8">
      <c r="A394" s="466">
        <v>367</v>
      </c>
      <c r="B394" s="466" t="s">
        <v>3603</v>
      </c>
      <c r="C394" s="466" t="s">
        <v>3644</v>
      </c>
      <c r="D394" s="466" t="s">
        <v>3460</v>
      </c>
      <c r="E394" s="762">
        <v>8</v>
      </c>
      <c r="F394" s="747">
        <v>36</v>
      </c>
      <c r="G394" s="747">
        <f t="shared" si="283"/>
        <v>288</v>
      </c>
      <c r="H394" s="469">
        <f t="shared" ref="H394:J394" si="329">F394*5</f>
        <v>180</v>
      </c>
      <c r="I394" s="469">
        <f t="shared" si="329"/>
        <v>1440</v>
      </c>
      <c r="J394" s="469">
        <f t="shared" si="329"/>
        <v>900</v>
      </c>
      <c r="K394" s="469">
        <f t="shared" si="285"/>
        <v>7200</v>
      </c>
      <c r="L394" s="469">
        <v>200</v>
      </c>
      <c r="M394" s="469">
        <f t="shared" si="286"/>
        <v>1600</v>
      </c>
      <c r="N394" s="469"/>
    </row>
    <row r="395" spans="1:14" ht="13.8">
      <c r="A395" s="466">
        <v>368</v>
      </c>
      <c r="B395" s="466" t="s">
        <v>3603</v>
      </c>
      <c r="C395" s="466" t="s">
        <v>3645</v>
      </c>
      <c r="D395" s="466" t="s">
        <v>3460</v>
      </c>
      <c r="E395" s="762">
        <v>4.8</v>
      </c>
      <c r="F395" s="747">
        <v>36</v>
      </c>
      <c r="G395" s="747">
        <f t="shared" si="283"/>
        <v>172.79999999999998</v>
      </c>
      <c r="H395" s="469">
        <f t="shared" ref="H395:J395" si="330">F395*5</f>
        <v>180</v>
      </c>
      <c r="I395" s="469">
        <f t="shared" si="330"/>
        <v>863.99999999999989</v>
      </c>
      <c r="J395" s="469">
        <f t="shared" si="330"/>
        <v>900</v>
      </c>
      <c r="K395" s="469">
        <f t="shared" si="285"/>
        <v>4320</v>
      </c>
      <c r="L395" s="469">
        <v>200</v>
      </c>
      <c r="M395" s="469">
        <f t="shared" si="286"/>
        <v>960</v>
      </c>
      <c r="N395" s="469"/>
    </row>
    <row r="396" spans="1:14" ht="13.8">
      <c r="A396" s="466">
        <v>369</v>
      </c>
      <c r="B396" s="466" t="s">
        <v>3603</v>
      </c>
      <c r="C396" s="466" t="s">
        <v>3646</v>
      </c>
      <c r="D396" s="466" t="s">
        <v>3460</v>
      </c>
      <c r="E396" s="762">
        <v>5</v>
      </c>
      <c r="F396" s="747">
        <v>36</v>
      </c>
      <c r="G396" s="747">
        <f t="shared" si="283"/>
        <v>180</v>
      </c>
      <c r="H396" s="469">
        <f t="shared" ref="H396:J396" si="331">F396*5</f>
        <v>180</v>
      </c>
      <c r="I396" s="469">
        <f t="shared" si="331"/>
        <v>900</v>
      </c>
      <c r="J396" s="469">
        <f t="shared" si="331"/>
        <v>900</v>
      </c>
      <c r="K396" s="469">
        <f t="shared" si="285"/>
        <v>4500</v>
      </c>
      <c r="L396" s="469">
        <v>200</v>
      </c>
      <c r="M396" s="469">
        <f t="shared" si="286"/>
        <v>1000</v>
      </c>
      <c r="N396" s="469"/>
    </row>
    <row r="397" spans="1:14" ht="13.8">
      <c r="A397" s="1002" t="s">
        <v>318</v>
      </c>
      <c r="B397" s="931"/>
      <c r="C397" s="779"/>
      <c r="D397" s="751">
        <f>COUNTA(D351:D396)</f>
        <v>46</v>
      </c>
      <c r="E397" s="765">
        <f>SUM(E351:E396)</f>
        <v>244.60000000000002</v>
      </c>
      <c r="F397" s="750"/>
      <c r="G397" s="752">
        <f>SUM(G351:G396)</f>
        <v>8805.5999999999985</v>
      </c>
      <c r="H397" s="750"/>
      <c r="I397" s="753">
        <f>SUM(I351:I396)</f>
        <v>44028</v>
      </c>
      <c r="J397" s="754"/>
      <c r="K397" s="755"/>
      <c r="L397" s="755"/>
      <c r="M397" s="755"/>
      <c r="N397" s="755"/>
    </row>
    <row r="398" spans="1:14" ht="13.8">
      <c r="A398" s="756"/>
      <c r="B398" s="741"/>
      <c r="C398" s="741"/>
      <c r="D398" s="756"/>
      <c r="E398" s="741"/>
      <c r="F398" s="756"/>
      <c r="G398" s="757"/>
      <c r="H398" s="756"/>
      <c r="I398" s="758"/>
      <c r="J398" s="759"/>
      <c r="K398" s="760"/>
      <c r="L398" s="760"/>
      <c r="M398" s="760"/>
      <c r="N398" s="760"/>
    </row>
  </sheetData>
  <mergeCells count="26">
    <mergeCell ref="A11:N11"/>
    <mergeCell ref="A346:C346"/>
    <mergeCell ref="A397:B397"/>
    <mergeCell ref="F7:G7"/>
    <mergeCell ref="F8:G8"/>
    <mergeCell ref="B214:C214"/>
    <mergeCell ref="A217:N217"/>
    <mergeCell ref="A286:C286"/>
    <mergeCell ref="A289:N289"/>
    <mergeCell ref="A349:N349"/>
    <mergeCell ref="A6:C6"/>
    <mergeCell ref="F6:G6"/>
    <mergeCell ref="A7:C7"/>
    <mergeCell ref="I7:J8"/>
    <mergeCell ref="K7:L8"/>
    <mergeCell ref="I2:M3"/>
    <mergeCell ref="A3:C3"/>
    <mergeCell ref="A4:C4"/>
    <mergeCell ref="A5:C5"/>
    <mergeCell ref="F5:G5"/>
    <mergeCell ref="F3:G3"/>
    <mergeCell ref="F4:G4"/>
    <mergeCell ref="A1:D1"/>
    <mergeCell ref="F1:H1"/>
    <mergeCell ref="A2:C2"/>
    <mergeCell ref="F2:G2"/>
  </mergeCells>
  <dataValidations count="1">
    <dataValidation type="custom" allowBlank="1" showDropDown="1" sqref="E219:E286" xr:uid="{00000000-0002-0000-0D00-000000000000}">
      <formula1>AND(ISNUMBER(E219),(NOT(OR(NOT(ISERROR(DATEVALUE(E219))), AND(ISNUMBER(E219), LEFT(CELL("format", E219))="D")))))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  <outlinePr summaryBelow="0" summaryRight="0"/>
  </sheetPr>
  <dimension ref="A1:M55"/>
  <sheetViews>
    <sheetView workbookViewId="0"/>
  </sheetViews>
  <sheetFormatPr defaultColWidth="12.6640625" defaultRowHeight="15.75" customHeight="1"/>
  <cols>
    <col min="1" max="1" width="6" customWidth="1"/>
    <col min="3" max="3" width="15.109375" customWidth="1"/>
    <col min="4" max="4" width="24.77734375" customWidth="1"/>
    <col min="5" max="5" width="13.109375" customWidth="1"/>
    <col min="7" max="7" width="17.33203125" customWidth="1"/>
  </cols>
  <sheetData>
    <row r="1" spans="1:13" ht="15">
      <c r="A1" s="956" t="s">
        <v>146</v>
      </c>
      <c r="B1" s="931"/>
      <c r="C1" s="931"/>
      <c r="D1" s="932"/>
      <c r="E1" s="780"/>
      <c r="F1" s="956" t="s">
        <v>147</v>
      </c>
      <c r="G1" s="931"/>
      <c r="H1" s="932"/>
      <c r="I1" s="781"/>
      <c r="J1" s="781"/>
      <c r="K1" s="781"/>
      <c r="L1" s="781"/>
      <c r="M1" s="781"/>
    </row>
    <row r="2" spans="1:13" ht="15.6">
      <c r="A2" s="956" t="s">
        <v>148</v>
      </c>
      <c r="B2" s="931"/>
      <c r="C2" s="932"/>
      <c r="D2" s="332" t="s">
        <v>149</v>
      </c>
      <c r="E2" s="780"/>
      <c r="F2" s="960" t="s">
        <v>150</v>
      </c>
      <c r="G2" s="932"/>
      <c r="H2" s="446"/>
      <c r="I2" s="1004" t="s">
        <v>2956</v>
      </c>
      <c r="J2" s="929"/>
      <c r="K2" s="929"/>
      <c r="L2" s="929"/>
      <c r="M2" s="929"/>
    </row>
    <row r="3" spans="1:13" ht="31.2">
      <c r="A3" s="957" t="s">
        <v>26</v>
      </c>
      <c r="B3" s="931"/>
      <c r="C3" s="932"/>
      <c r="D3" s="335" t="s">
        <v>152</v>
      </c>
      <c r="E3" s="780"/>
      <c r="F3" s="956" t="s">
        <v>153</v>
      </c>
      <c r="G3" s="932"/>
      <c r="H3" s="782" t="s">
        <v>3647</v>
      </c>
      <c r="I3" s="929"/>
      <c r="J3" s="929"/>
      <c r="K3" s="929"/>
      <c r="L3" s="929"/>
      <c r="M3" s="929"/>
    </row>
    <row r="4" spans="1:13" ht="15.6">
      <c r="A4" s="957"/>
      <c r="B4" s="931"/>
      <c r="C4" s="932"/>
      <c r="D4" s="783"/>
      <c r="E4" s="780"/>
      <c r="F4" s="957" t="s">
        <v>156</v>
      </c>
      <c r="G4" s="932"/>
      <c r="H4" s="446"/>
      <c r="I4" s="781"/>
      <c r="J4" s="781"/>
      <c r="K4" s="781"/>
      <c r="L4" s="781"/>
      <c r="M4" s="781"/>
    </row>
    <row r="5" spans="1:13" ht="15">
      <c r="A5" s="957" t="s">
        <v>27</v>
      </c>
      <c r="B5" s="931"/>
      <c r="C5" s="932"/>
      <c r="D5" s="783"/>
      <c r="E5" s="780"/>
      <c r="F5" s="957" t="s">
        <v>158</v>
      </c>
      <c r="G5" s="932"/>
      <c r="H5" s="780"/>
      <c r="I5" s="1005" t="s">
        <v>159</v>
      </c>
      <c r="J5" s="964"/>
      <c r="K5" s="1005" t="e">
        <f>#REF!+#REF!+#REF!+#REF!+#REF!+#REF!+#REF!+#REF!+#REF!+#REF!+#REF!+#REF!+#REF!+#REF!+#REF!+#REF!+#REF!</f>
        <v>#REF!</v>
      </c>
      <c r="L5" s="964"/>
      <c r="M5" s="780"/>
    </row>
    <row r="6" spans="1:13" ht="15">
      <c r="A6" s="957" t="s">
        <v>160</v>
      </c>
      <c r="B6" s="931"/>
      <c r="C6" s="932"/>
      <c r="D6" s="783"/>
      <c r="E6" s="784"/>
      <c r="F6" s="957" t="s">
        <v>161</v>
      </c>
      <c r="G6" s="932"/>
      <c r="H6" s="780"/>
      <c r="I6" s="967"/>
      <c r="J6" s="968"/>
      <c r="K6" s="967"/>
      <c r="L6" s="968"/>
      <c r="M6" s="780"/>
    </row>
    <row r="7" spans="1:13" ht="15.6">
      <c r="A7" s="960" t="s">
        <v>162</v>
      </c>
      <c r="B7" s="931"/>
      <c r="C7" s="932"/>
      <c r="D7" s="341">
        <f>D3-(D4+D5+D6)</f>
        <v>1058</v>
      </c>
      <c r="E7" s="784"/>
      <c r="F7" s="957" t="s">
        <v>163</v>
      </c>
      <c r="G7" s="932"/>
      <c r="H7" s="780"/>
      <c r="I7" s="780"/>
      <c r="J7" s="780"/>
      <c r="K7" s="780"/>
      <c r="L7" s="780"/>
      <c r="M7" s="780"/>
    </row>
    <row r="8" spans="1:13" ht="15">
      <c r="A8" s="780"/>
      <c r="B8" s="780"/>
      <c r="C8" s="780"/>
      <c r="D8" s="780"/>
      <c r="E8" s="784"/>
      <c r="F8" s="957" t="s">
        <v>164</v>
      </c>
      <c r="G8" s="932"/>
      <c r="H8" s="780"/>
      <c r="I8" s="780"/>
      <c r="J8" s="780"/>
      <c r="K8" s="780"/>
      <c r="L8" s="780"/>
      <c r="M8" s="780"/>
    </row>
    <row r="9" spans="1:13" ht="15">
      <c r="A9" s="780"/>
      <c r="B9" s="785"/>
      <c r="C9" s="785"/>
      <c r="D9" s="786"/>
      <c r="E9" s="786"/>
      <c r="F9" s="780"/>
      <c r="G9" s="787"/>
      <c r="H9" s="780"/>
      <c r="I9" s="780"/>
      <c r="J9" s="780"/>
      <c r="K9" s="780"/>
      <c r="L9" s="780"/>
      <c r="M9" s="780"/>
    </row>
    <row r="10" spans="1:13" ht="15">
      <c r="A10" s="780"/>
      <c r="B10" s="780"/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</row>
    <row r="11" spans="1:13" ht="13.2">
      <c r="A11" s="960" t="s">
        <v>3648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2"/>
    </row>
    <row r="12" spans="1:13" ht="22.5" customHeight="1">
      <c r="A12" s="788" t="s">
        <v>165</v>
      </c>
      <c r="B12" s="788" t="s">
        <v>166</v>
      </c>
      <c r="C12" s="741" t="s">
        <v>167</v>
      </c>
      <c r="D12" s="788" t="s">
        <v>168</v>
      </c>
      <c r="E12" s="741" t="s">
        <v>169</v>
      </c>
      <c r="F12" s="789" t="s">
        <v>3649</v>
      </c>
      <c r="G12" s="790" t="s">
        <v>3650</v>
      </c>
      <c r="H12" s="334" t="s">
        <v>172</v>
      </c>
      <c r="I12" s="396" t="s">
        <v>3651</v>
      </c>
      <c r="J12" s="396" t="s">
        <v>3652</v>
      </c>
      <c r="K12" s="396" t="s">
        <v>3653</v>
      </c>
      <c r="L12" s="396" t="s">
        <v>3654</v>
      </c>
      <c r="M12" s="791" t="s">
        <v>177</v>
      </c>
    </row>
    <row r="13" spans="1:13" ht="22.5" customHeight="1">
      <c r="A13" s="466">
        <v>1</v>
      </c>
      <c r="B13" s="491"/>
      <c r="C13" s="466"/>
      <c r="D13" s="466"/>
      <c r="E13" s="482"/>
      <c r="F13" s="747"/>
      <c r="G13" s="469">
        <f t="shared" ref="G13:G17" si="0">F13*5</f>
        <v>0</v>
      </c>
      <c r="H13" s="469">
        <f t="shared" ref="H13:H17" si="1">G13*E13</f>
        <v>0</v>
      </c>
      <c r="I13" s="469">
        <f t="shared" ref="I13:I17" si="2">G13*5</f>
        <v>0</v>
      </c>
      <c r="J13" s="469">
        <f t="shared" ref="J13:J17" si="3">I13*E13</f>
        <v>0</v>
      </c>
      <c r="K13" s="469">
        <f t="shared" ref="K13:K17" si="4">I13/2</f>
        <v>0</v>
      </c>
      <c r="L13" s="469">
        <f t="shared" ref="L13:L17" si="5">K13*E13</f>
        <v>0</v>
      </c>
      <c r="M13" s="792"/>
    </row>
    <row r="14" spans="1:13" ht="22.5" customHeight="1">
      <c r="A14" s="466">
        <v>2</v>
      </c>
      <c r="B14" s="491"/>
      <c r="C14" s="466"/>
      <c r="D14" s="466"/>
      <c r="E14" s="482"/>
      <c r="F14" s="747"/>
      <c r="G14" s="469">
        <f t="shared" si="0"/>
        <v>0</v>
      </c>
      <c r="H14" s="469">
        <f t="shared" si="1"/>
        <v>0</v>
      </c>
      <c r="I14" s="469">
        <f t="shared" si="2"/>
        <v>0</v>
      </c>
      <c r="J14" s="469">
        <f t="shared" si="3"/>
        <v>0</v>
      </c>
      <c r="K14" s="469">
        <f t="shared" si="4"/>
        <v>0</v>
      </c>
      <c r="L14" s="469">
        <f t="shared" si="5"/>
        <v>0</v>
      </c>
      <c r="M14" s="792"/>
    </row>
    <row r="15" spans="1:13" ht="22.5" customHeight="1">
      <c r="A15" s="466">
        <v>3</v>
      </c>
      <c r="B15" s="491"/>
      <c r="C15" s="466"/>
      <c r="D15" s="793"/>
      <c r="E15" s="482"/>
      <c r="F15" s="747"/>
      <c r="G15" s="469">
        <f t="shared" si="0"/>
        <v>0</v>
      </c>
      <c r="H15" s="469">
        <f t="shared" si="1"/>
        <v>0</v>
      </c>
      <c r="I15" s="469">
        <f t="shared" si="2"/>
        <v>0</v>
      </c>
      <c r="J15" s="469">
        <f t="shared" si="3"/>
        <v>0</v>
      </c>
      <c r="K15" s="469">
        <f t="shared" si="4"/>
        <v>0</v>
      </c>
      <c r="L15" s="469">
        <f t="shared" si="5"/>
        <v>0</v>
      </c>
      <c r="M15" s="792"/>
    </row>
    <row r="16" spans="1:13" ht="22.5" customHeight="1">
      <c r="A16" s="466">
        <v>4</v>
      </c>
      <c r="B16" s="491"/>
      <c r="C16" s="466"/>
      <c r="D16" s="466"/>
      <c r="E16" s="482"/>
      <c r="F16" s="747"/>
      <c r="G16" s="469">
        <f t="shared" si="0"/>
        <v>0</v>
      </c>
      <c r="H16" s="469">
        <f t="shared" si="1"/>
        <v>0</v>
      </c>
      <c r="I16" s="469">
        <f t="shared" si="2"/>
        <v>0</v>
      </c>
      <c r="J16" s="469">
        <f t="shared" si="3"/>
        <v>0</v>
      </c>
      <c r="K16" s="469">
        <f t="shared" si="4"/>
        <v>0</v>
      </c>
      <c r="L16" s="469">
        <f t="shared" si="5"/>
        <v>0</v>
      </c>
      <c r="M16" s="792"/>
    </row>
    <row r="17" spans="1:13" ht="22.5" customHeight="1">
      <c r="A17" s="466">
        <v>5</v>
      </c>
      <c r="B17" s="491"/>
      <c r="C17" s="466"/>
      <c r="D17" s="466"/>
      <c r="E17" s="482"/>
      <c r="F17" s="747"/>
      <c r="G17" s="469">
        <f t="shared" si="0"/>
        <v>0</v>
      </c>
      <c r="H17" s="469">
        <f t="shared" si="1"/>
        <v>0</v>
      </c>
      <c r="I17" s="469">
        <f t="shared" si="2"/>
        <v>0</v>
      </c>
      <c r="J17" s="469">
        <f t="shared" si="3"/>
        <v>0</v>
      </c>
      <c r="K17" s="469">
        <f t="shared" si="4"/>
        <v>0</v>
      </c>
      <c r="L17" s="469">
        <f t="shared" si="5"/>
        <v>0</v>
      </c>
      <c r="M17" s="792"/>
    </row>
    <row r="18" spans="1:13" ht="22.5" customHeight="1">
      <c r="A18" s="1002" t="s">
        <v>318</v>
      </c>
      <c r="B18" s="932"/>
      <c r="C18" s="751">
        <f t="array" ref="C18">COUNTA(C13:INDEX(C:C,ROW()-1))</f>
        <v>0</v>
      </c>
      <c r="D18" s="794"/>
      <c r="E18" s="795">
        <f>SUM(Table129[])</f>
        <v>0</v>
      </c>
      <c r="F18" s="794"/>
      <c r="G18" s="796"/>
      <c r="H18" s="797">
        <f>SUM(Table127[])</f>
        <v>0</v>
      </c>
      <c r="I18" s="798"/>
      <c r="J18" s="794"/>
      <c r="K18" s="794"/>
      <c r="L18" s="794"/>
      <c r="M18" s="794"/>
    </row>
    <row r="19" spans="1:13" ht="15">
      <c r="A19" s="780"/>
      <c r="B19" s="780"/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</row>
    <row r="20" spans="1:13" ht="15">
      <c r="A20" s="780"/>
      <c r="B20" s="780"/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</row>
    <row r="21" spans="1:13" ht="15">
      <c r="A21" s="780"/>
      <c r="B21" s="780"/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</row>
    <row r="22" spans="1:13" ht="15">
      <c r="A22" s="780"/>
      <c r="B22" s="780"/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</row>
    <row r="23" spans="1:13" ht="15">
      <c r="A23" s="780"/>
      <c r="B23" s="780"/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</row>
    <row r="24" spans="1:13" ht="13.2">
      <c r="A24" s="960" t="s">
        <v>3655</v>
      </c>
      <c r="B24" s="931"/>
      <c r="C24" s="931"/>
      <c r="D24" s="931"/>
      <c r="E24" s="931"/>
      <c r="F24" s="931"/>
      <c r="G24" s="931"/>
      <c r="H24" s="931"/>
      <c r="I24" s="931"/>
      <c r="J24" s="931"/>
      <c r="K24" s="931"/>
      <c r="L24" s="931"/>
      <c r="M24" s="932"/>
    </row>
    <row r="25" spans="1:13" ht="22.5" customHeight="1">
      <c r="A25" s="788" t="s">
        <v>165</v>
      </c>
      <c r="B25" s="788" t="s">
        <v>166</v>
      </c>
      <c r="C25" s="741" t="s">
        <v>167</v>
      </c>
      <c r="D25" s="788" t="s">
        <v>168</v>
      </c>
      <c r="E25" s="741" t="s">
        <v>169</v>
      </c>
      <c r="F25" s="789" t="s">
        <v>3656</v>
      </c>
      <c r="G25" s="790" t="s">
        <v>3657</v>
      </c>
      <c r="H25" s="334" t="s">
        <v>172</v>
      </c>
      <c r="I25" s="396" t="s">
        <v>3658</v>
      </c>
      <c r="J25" s="396" t="s">
        <v>3659</v>
      </c>
      <c r="K25" s="396" t="s">
        <v>3660</v>
      </c>
      <c r="L25" s="396" t="s">
        <v>3661</v>
      </c>
      <c r="M25" s="791" t="s">
        <v>177</v>
      </c>
    </row>
    <row r="26" spans="1:13" ht="22.5" customHeight="1">
      <c r="A26" s="466">
        <v>1</v>
      </c>
      <c r="B26" s="491"/>
      <c r="C26" s="466"/>
      <c r="D26" s="466"/>
      <c r="E26" s="482"/>
      <c r="F26" s="747"/>
      <c r="G26" s="469">
        <f t="shared" ref="G26:G30" si="6">F26*5</f>
        <v>0</v>
      </c>
      <c r="H26" s="469">
        <f t="shared" ref="H26:H30" si="7">G26*E26</f>
        <v>0</v>
      </c>
      <c r="I26" s="469">
        <f t="shared" ref="I26:I30" si="8">G26*5</f>
        <v>0</v>
      </c>
      <c r="J26" s="469">
        <f t="shared" ref="J26:J30" si="9">I26*E26</f>
        <v>0</v>
      </c>
      <c r="K26" s="469">
        <f t="shared" ref="K26:K30" si="10">I26/2</f>
        <v>0</v>
      </c>
      <c r="L26" s="469">
        <f t="shared" ref="L26:L30" si="11">K26*E26</f>
        <v>0</v>
      </c>
      <c r="M26" s="792"/>
    </row>
    <row r="27" spans="1:13" ht="22.5" customHeight="1">
      <c r="A27" s="466">
        <v>2</v>
      </c>
      <c r="B27" s="491"/>
      <c r="C27" s="466"/>
      <c r="D27" s="466"/>
      <c r="E27" s="482"/>
      <c r="F27" s="747"/>
      <c r="G27" s="469">
        <f t="shared" si="6"/>
        <v>0</v>
      </c>
      <c r="H27" s="469">
        <f t="shared" si="7"/>
        <v>0</v>
      </c>
      <c r="I27" s="469">
        <f t="shared" si="8"/>
        <v>0</v>
      </c>
      <c r="J27" s="469">
        <f t="shared" si="9"/>
        <v>0</v>
      </c>
      <c r="K27" s="469">
        <f t="shared" si="10"/>
        <v>0</v>
      </c>
      <c r="L27" s="469">
        <f t="shared" si="11"/>
        <v>0</v>
      </c>
      <c r="M27" s="792"/>
    </row>
    <row r="28" spans="1:13" ht="22.5" customHeight="1">
      <c r="A28" s="466">
        <v>3</v>
      </c>
      <c r="B28" s="491"/>
      <c r="C28" s="466"/>
      <c r="D28" s="793"/>
      <c r="E28" s="482"/>
      <c r="F28" s="747"/>
      <c r="G28" s="469">
        <f t="shared" si="6"/>
        <v>0</v>
      </c>
      <c r="H28" s="469">
        <f t="shared" si="7"/>
        <v>0</v>
      </c>
      <c r="I28" s="469">
        <f t="shared" si="8"/>
        <v>0</v>
      </c>
      <c r="J28" s="469">
        <f t="shared" si="9"/>
        <v>0</v>
      </c>
      <c r="K28" s="469">
        <f t="shared" si="10"/>
        <v>0</v>
      </c>
      <c r="L28" s="469">
        <f t="shared" si="11"/>
        <v>0</v>
      </c>
      <c r="M28" s="792"/>
    </row>
    <row r="29" spans="1:13" ht="22.5" customHeight="1">
      <c r="A29" s="466">
        <v>4</v>
      </c>
      <c r="B29" s="491"/>
      <c r="C29" s="466"/>
      <c r="D29" s="466"/>
      <c r="E29" s="482"/>
      <c r="F29" s="747"/>
      <c r="G29" s="469">
        <f t="shared" si="6"/>
        <v>0</v>
      </c>
      <c r="H29" s="469">
        <f t="shared" si="7"/>
        <v>0</v>
      </c>
      <c r="I29" s="469">
        <f t="shared" si="8"/>
        <v>0</v>
      </c>
      <c r="J29" s="469">
        <f t="shared" si="9"/>
        <v>0</v>
      </c>
      <c r="K29" s="469">
        <f t="shared" si="10"/>
        <v>0</v>
      </c>
      <c r="L29" s="469">
        <f t="shared" si="11"/>
        <v>0</v>
      </c>
      <c r="M29" s="792"/>
    </row>
    <row r="30" spans="1:13" ht="22.5" customHeight="1">
      <c r="A30" s="466">
        <v>5</v>
      </c>
      <c r="B30" s="491"/>
      <c r="C30" s="466"/>
      <c r="D30" s="466"/>
      <c r="E30" s="482"/>
      <c r="F30" s="747"/>
      <c r="G30" s="469">
        <f t="shared" si="6"/>
        <v>0</v>
      </c>
      <c r="H30" s="469">
        <f t="shared" si="7"/>
        <v>0</v>
      </c>
      <c r="I30" s="469">
        <f t="shared" si="8"/>
        <v>0</v>
      </c>
      <c r="J30" s="469">
        <f t="shared" si="9"/>
        <v>0</v>
      </c>
      <c r="K30" s="469">
        <f t="shared" si="10"/>
        <v>0</v>
      </c>
      <c r="L30" s="469">
        <f t="shared" si="11"/>
        <v>0</v>
      </c>
      <c r="M30" s="792"/>
    </row>
    <row r="31" spans="1:13" ht="22.5" customHeight="1">
      <c r="A31" s="1002" t="s">
        <v>318</v>
      </c>
      <c r="B31" s="932"/>
      <c r="C31" s="751">
        <f t="array" ref="C31">COUNTA(C26:INDEX(C:C,ROW()-1))</f>
        <v>0</v>
      </c>
      <c r="D31" s="794"/>
      <c r="E31" s="795">
        <f>SUM(Table134[])</f>
        <v>0</v>
      </c>
      <c r="F31" s="794"/>
      <c r="G31" s="796"/>
      <c r="H31" s="797">
        <f>SUM(Table130[])</f>
        <v>0</v>
      </c>
      <c r="I31" s="798"/>
      <c r="J31" s="794"/>
      <c r="K31" s="794"/>
      <c r="L31" s="794"/>
      <c r="M31" s="794"/>
    </row>
    <row r="32" spans="1:13" ht="15">
      <c r="A32" s="780"/>
      <c r="B32" s="780"/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</row>
    <row r="33" spans="1:13" ht="15">
      <c r="A33" s="780"/>
      <c r="B33" s="780"/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</row>
    <row r="34" spans="1:13" ht="15">
      <c r="A34" s="780"/>
      <c r="B34" s="780"/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</row>
    <row r="35" spans="1:13" ht="15">
      <c r="A35" s="780"/>
      <c r="B35" s="780"/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</row>
    <row r="36" spans="1:13" ht="13.2">
      <c r="A36" s="960" t="s">
        <v>3662</v>
      </c>
      <c r="B36" s="931"/>
      <c r="C36" s="931"/>
      <c r="D36" s="931"/>
      <c r="E36" s="931"/>
      <c r="F36" s="931"/>
      <c r="G36" s="931"/>
      <c r="H36" s="931"/>
      <c r="I36" s="931"/>
      <c r="J36" s="931"/>
      <c r="K36" s="931"/>
      <c r="L36" s="931"/>
      <c r="M36" s="932"/>
    </row>
    <row r="37" spans="1:13" ht="22.5" customHeight="1">
      <c r="A37" s="788" t="s">
        <v>165</v>
      </c>
      <c r="B37" s="788" t="s">
        <v>166</v>
      </c>
      <c r="C37" s="741" t="s">
        <v>167</v>
      </c>
      <c r="D37" s="788" t="s">
        <v>168</v>
      </c>
      <c r="E37" s="741" t="s">
        <v>169</v>
      </c>
      <c r="F37" s="789" t="s">
        <v>3663</v>
      </c>
      <c r="G37" s="790" t="s">
        <v>3664</v>
      </c>
      <c r="H37" s="334" t="s">
        <v>172</v>
      </c>
      <c r="I37" s="396" t="s">
        <v>3665</v>
      </c>
      <c r="J37" s="396" t="s">
        <v>3666</v>
      </c>
      <c r="K37" s="396" t="s">
        <v>3667</v>
      </c>
      <c r="L37" s="396" t="s">
        <v>3668</v>
      </c>
      <c r="M37" s="791" t="s">
        <v>177</v>
      </c>
    </row>
    <row r="38" spans="1:13" ht="22.5" customHeight="1">
      <c r="A38" s="466">
        <v>1</v>
      </c>
      <c r="B38" s="491"/>
      <c r="C38" s="466"/>
      <c r="D38" s="466"/>
      <c r="E38" s="482"/>
      <c r="F38" s="747"/>
      <c r="G38" s="469">
        <f t="shared" ref="G38:G42" si="12">F38*5</f>
        <v>0</v>
      </c>
      <c r="H38" s="469">
        <f t="shared" ref="H38:H42" si="13">G38*E38</f>
        <v>0</v>
      </c>
      <c r="I38" s="469">
        <f t="shared" ref="I38:I42" si="14">G38*5</f>
        <v>0</v>
      </c>
      <c r="J38" s="469">
        <f t="shared" ref="J38:J42" si="15">I38*E38</f>
        <v>0</v>
      </c>
      <c r="K38" s="469">
        <f t="shared" ref="K38:K42" si="16">I38/2</f>
        <v>0</v>
      </c>
      <c r="L38" s="469">
        <f t="shared" ref="L38:L42" si="17">K38*E38</f>
        <v>0</v>
      </c>
      <c r="M38" s="792"/>
    </row>
    <row r="39" spans="1:13" ht="22.5" customHeight="1">
      <c r="A39" s="466">
        <v>2</v>
      </c>
      <c r="B39" s="491"/>
      <c r="C39" s="466"/>
      <c r="D39" s="466"/>
      <c r="E39" s="482"/>
      <c r="F39" s="747"/>
      <c r="G39" s="469">
        <f t="shared" si="12"/>
        <v>0</v>
      </c>
      <c r="H39" s="469">
        <f t="shared" si="13"/>
        <v>0</v>
      </c>
      <c r="I39" s="469">
        <f t="shared" si="14"/>
        <v>0</v>
      </c>
      <c r="J39" s="469">
        <f t="shared" si="15"/>
        <v>0</v>
      </c>
      <c r="K39" s="469">
        <f t="shared" si="16"/>
        <v>0</v>
      </c>
      <c r="L39" s="469">
        <f t="shared" si="17"/>
        <v>0</v>
      </c>
      <c r="M39" s="792"/>
    </row>
    <row r="40" spans="1:13" ht="22.5" customHeight="1">
      <c r="A40" s="466">
        <v>3</v>
      </c>
      <c r="B40" s="491"/>
      <c r="C40" s="466"/>
      <c r="D40" s="793"/>
      <c r="E40" s="482"/>
      <c r="F40" s="747"/>
      <c r="G40" s="469">
        <f t="shared" si="12"/>
        <v>0</v>
      </c>
      <c r="H40" s="469">
        <f t="shared" si="13"/>
        <v>0</v>
      </c>
      <c r="I40" s="469">
        <f t="shared" si="14"/>
        <v>0</v>
      </c>
      <c r="J40" s="469">
        <f t="shared" si="15"/>
        <v>0</v>
      </c>
      <c r="K40" s="469">
        <f t="shared" si="16"/>
        <v>0</v>
      </c>
      <c r="L40" s="469">
        <f t="shared" si="17"/>
        <v>0</v>
      </c>
      <c r="M40" s="792"/>
    </row>
    <row r="41" spans="1:13" ht="22.5" customHeight="1">
      <c r="A41" s="466">
        <v>4</v>
      </c>
      <c r="B41" s="491"/>
      <c r="C41" s="466"/>
      <c r="D41" s="466"/>
      <c r="E41" s="482"/>
      <c r="F41" s="747"/>
      <c r="G41" s="469">
        <f t="shared" si="12"/>
        <v>0</v>
      </c>
      <c r="H41" s="469">
        <f t="shared" si="13"/>
        <v>0</v>
      </c>
      <c r="I41" s="469">
        <f t="shared" si="14"/>
        <v>0</v>
      </c>
      <c r="J41" s="469">
        <f t="shared" si="15"/>
        <v>0</v>
      </c>
      <c r="K41" s="469">
        <f t="shared" si="16"/>
        <v>0</v>
      </c>
      <c r="L41" s="469">
        <f t="shared" si="17"/>
        <v>0</v>
      </c>
      <c r="M41" s="792"/>
    </row>
    <row r="42" spans="1:13" ht="22.5" customHeight="1">
      <c r="A42" s="466">
        <v>5</v>
      </c>
      <c r="B42" s="491"/>
      <c r="C42" s="466"/>
      <c r="D42" s="466"/>
      <c r="E42" s="482"/>
      <c r="F42" s="747"/>
      <c r="G42" s="469">
        <f t="shared" si="12"/>
        <v>0</v>
      </c>
      <c r="H42" s="469">
        <f t="shared" si="13"/>
        <v>0</v>
      </c>
      <c r="I42" s="469">
        <f t="shared" si="14"/>
        <v>0</v>
      </c>
      <c r="J42" s="469">
        <f t="shared" si="15"/>
        <v>0</v>
      </c>
      <c r="K42" s="469">
        <f t="shared" si="16"/>
        <v>0</v>
      </c>
      <c r="L42" s="469">
        <f t="shared" si="17"/>
        <v>0</v>
      </c>
      <c r="M42" s="792"/>
    </row>
    <row r="43" spans="1:13" ht="22.5" customHeight="1">
      <c r="A43" s="1002" t="s">
        <v>318</v>
      </c>
      <c r="B43" s="932"/>
      <c r="C43" s="751">
        <f t="array" ref="C43">COUNTA(C38:INDEX(C:C,ROW()-1))</f>
        <v>0</v>
      </c>
      <c r="D43" s="794"/>
      <c r="E43" s="795">
        <f>SUM(Table133[])</f>
        <v>0</v>
      </c>
      <c r="F43" s="794"/>
      <c r="G43" s="796"/>
      <c r="H43" s="797">
        <f>SUM(Table137[])</f>
        <v>0</v>
      </c>
      <c r="I43" s="798"/>
      <c r="J43" s="794"/>
      <c r="K43" s="794"/>
      <c r="L43" s="794"/>
      <c r="M43" s="794"/>
    </row>
    <row r="44" spans="1:13" ht="15">
      <c r="A44" s="780"/>
      <c r="B44" s="780"/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</row>
    <row r="45" spans="1:13" ht="15">
      <c r="A45" s="780"/>
      <c r="B45" s="780"/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</row>
    <row r="46" spans="1:13" ht="15">
      <c r="A46" s="780"/>
      <c r="B46" s="780"/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</row>
    <row r="47" spans="1:13" ht="15">
      <c r="A47" s="780"/>
      <c r="B47" s="780"/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</row>
    <row r="48" spans="1:13" ht="13.2">
      <c r="A48" s="960" t="s">
        <v>3669</v>
      </c>
      <c r="B48" s="931"/>
      <c r="C48" s="931"/>
      <c r="D48" s="931"/>
      <c r="E48" s="931"/>
      <c r="F48" s="931"/>
      <c r="G48" s="931"/>
      <c r="H48" s="931"/>
      <c r="I48" s="931"/>
      <c r="J48" s="931"/>
      <c r="K48" s="931"/>
      <c r="L48" s="931"/>
      <c r="M48" s="932"/>
    </row>
    <row r="49" spans="1:13" ht="22.5" customHeight="1">
      <c r="A49" s="788" t="s">
        <v>165</v>
      </c>
      <c r="B49" s="788" t="s">
        <v>166</v>
      </c>
      <c r="C49" s="741" t="s">
        <v>167</v>
      </c>
      <c r="D49" s="788" t="s">
        <v>168</v>
      </c>
      <c r="E49" s="741" t="s">
        <v>169</v>
      </c>
      <c r="F49" s="789" t="s">
        <v>3670</v>
      </c>
      <c r="G49" s="790" t="s">
        <v>3671</v>
      </c>
      <c r="H49" s="334" t="s">
        <v>172</v>
      </c>
      <c r="I49" s="396" t="s">
        <v>3672</v>
      </c>
      <c r="J49" s="396" t="s">
        <v>3673</v>
      </c>
      <c r="K49" s="396" t="s">
        <v>3674</v>
      </c>
      <c r="L49" s="396" t="s">
        <v>3675</v>
      </c>
      <c r="M49" s="791" t="s">
        <v>177</v>
      </c>
    </row>
    <row r="50" spans="1:13" ht="22.5" customHeight="1">
      <c r="A50" s="466">
        <v>1</v>
      </c>
      <c r="B50" s="491"/>
      <c r="C50" s="466"/>
      <c r="D50" s="466"/>
      <c r="E50" s="482"/>
      <c r="F50" s="747"/>
      <c r="G50" s="469">
        <f t="shared" ref="G50:G54" si="18">F50*5</f>
        <v>0</v>
      </c>
      <c r="H50" s="469">
        <f t="shared" ref="H50:H54" si="19">G50*E50</f>
        <v>0</v>
      </c>
      <c r="I50" s="469">
        <f t="shared" ref="I50:I54" si="20">G50*5</f>
        <v>0</v>
      </c>
      <c r="J50" s="469">
        <f t="shared" ref="J50:J54" si="21">I50*E50</f>
        <v>0</v>
      </c>
      <c r="K50" s="469">
        <f t="shared" ref="K50:K54" si="22">I50/2</f>
        <v>0</v>
      </c>
      <c r="L50" s="469">
        <f t="shared" ref="L50:L54" si="23">K50*E50</f>
        <v>0</v>
      </c>
      <c r="M50" s="792"/>
    </row>
    <row r="51" spans="1:13" ht="22.5" customHeight="1">
      <c r="A51" s="466">
        <v>2</v>
      </c>
      <c r="B51" s="491"/>
      <c r="C51" s="466"/>
      <c r="D51" s="466"/>
      <c r="E51" s="482"/>
      <c r="F51" s="747"/>
      <c r="G51" s="469">
        <f t="shared" si="18"/>
        <v>0</v>
      </c>
      <c r="H51" s="469">
        <f t="shared" si="19"/>
        <v>0</v>
      </c>
      <c r="I51" s="469">
        <f t="shared" si="20"/>
        <v>0</v>
      </c>
      <c r="J51" s="469">
        <f t="shared" si="21"/>
        <v>0</v>
      </c>
      <c r="K51" s="469">
        <f t="shared" si="22"/>
        <v>0</v>
      </c>
      <c r="L51" s="469">
        <f t="shared" si="23"/>
        <v>0</v>
      </c>
      <c r="M51" s="792"/>
    </row>
    <row r="52" spans="1:13" ht="22.5" customHeight="1">
      <c r="A52" s="466">
        <v>3</v>
      </c>
      <c r="B52" s="491"/>
      <c r="C52" s="466"/>
      <c r="D52" s="793"/>
      <c r="E52" s="482"/>
      <c r="F52" s="747"/>
      <c r="G52" s="469">
        <f t="shared" si="18"/>
        <v>0</v>
      </c>
      <c r="H52" s="469">
        <f t="shared" si="19"/>
        <v>0</v>
      </c>
      <c r="I52" s="469">
        <f t="shared" si="20"/>
        <v>0</v>
      </c>
      <c r="J52" s="469">
        <f t="shared" si="21"/>
        <v>0</v>
      </c>
      <c r="K52" s="469">
        <f t="shared" si="22"/>
        <v>0</v>
      </c>
      <c r="L52" s="469">
        <f t="shared" si="23"/>
        <v>0</v>
      </c>
      <c r="M52" s="792"/>
    </row>
    <row r="53" spans="1:13" ht="22.5" customHeight="1">
      <c r="A53" s="466">
        <v>4</v>
      </c>
      <c r="B53" s="491"/>
      <c r="C53" s="466"/>
      <c r="D53" s="466"/>
      <c r="E53" s="482"/>
      <c r="F53" s="747"/>
      <c r="G53" s="469">
        <f t="shared" si="18"/>
        <v>0</v>
      </c>
      <c r="H53" s="469">
        <f t="shared" si="19"/>
        <v>0</v>
      </c>
      <c r="I53" s="469">
        <f t="shared" si="20"/>
        <v>0</v>
      </c>
      <c r="J53" s="469">
        <f t="shared" si="21"/>
        <v>0</v>
      </c>
      <c r="K53" s="469">
        <f t="shared" si="22"/>
        <v>0</v>
      </c>
      <c r="L53" s="469">
        <f t="shared" si="23"/>
        <v>0</v>
      </c>
      <c r="M53" s="792"/>
    </row>
    <row r="54" spans="1:13" ht="22.5" customHeight="1">
      <c r="A54" s="466">
        <v>5</v>
      </c>
      <c r="B54" s="491"/>
      <c r="C54" s="466"/>
      <c r="D54" s="466"/>
      <c r="E54" s="482"/>
      <c r="F54" s="747"/>
      <c r="G54" s="469">
        <f t="shared" si="18"/>
        <v>0</v>
      </c>
      <c r="H54" s="469">
        <f t="shared" si="19"/>
        <v>0</v>
      </c>
      <c r="I54" s="469">
        <f t="shared" si="20"/>
        <v>0</v>
      </c>
      <c r="J54" s="469">
        <f t="shared" si="21"/>
        <v>0</v>
      </c>
      <c r="K54" s="469">
        <f t="shared" si="22"/>
        <v>0</v>
      </c>
      <c r="L54" s="469">
        <f t="shared" si="23"/>
        <v>0</v>
      </c>
      <c r="M54" s="792"/>
    </row>
    <row r="55" spans="1:13" ht="22.5" customHeight="1">
      <c r="A55" s="1002" t="s">
        <v>318</v>
      </c>
      <c r="B55" s="932"/>
      <c r="C55" s="751">
        <f t="array" ref="C55">COUNTA(C50:INDEX(C:C,ROW()-1))</f>
        <v>0</v>
      </c>
      <c r="D55" s="794"/>
      <c r="E55" s="799">
        <f>SUM(Table135[])</f>
        <v>0</v>
      </c>
      <c r="F55" s="794"/>
      <c r="G55" s="796"/>
      <c r="H55" s="797">
        <f>SUM(Table138[])</f>
        <v>0</v>
      </c>
      <c r="I55" s="798"/>
      <c r="J55" s="794"/>
      <c r="K55" s="794"/>
      <c r="L55" s="794"/>
      <c r="M55" s="794"/>
    </row>
  </sheetData>
  <mergeCells count="26">
    <mergeCell ref="A43:B43"/>
    <mergeCell ref="A55:B55"/>
    <mergeCell ref="A7:C7"/>
    <mergeCell ref="A11:M11"/>
    <mergeCell ref="A18:B18"/>
    <mergeCell ref="A24:M24"/>
    <mergeCell ref="A31:B31"/>
    <mergeCell ref="A36:M36"/>
    <mergeCell ref="A48:M48"/>
    <mergeCell ref="I2:M3"/>
    <mergeCell ref="A3:C3"/>
    <mergeCell ref="A4:C4"/>
    <mergeCell ref="A5:C5"/>
    <mergeCell ref="F5:G5"/>
    <mergeCell ref="I5:J6"/>
    <mergeCell ref="K5:L6"/>
    <mergeCell ref="A6:C6"/>
    <mergeCell ref="F6:G6"/>
    <mergeCell ref="F3:G3"/>
    <mergeCell ref="F4:G4"/>
    <mergeCell ref="F8:G8"/>
    <mergeCell ref="A1:D1"/>
    <mergeCell ref="F1:H1"/>
    <mergeCell ref="A2:C2"/>
    <mergeCell ref="F2:G2"/>
    <mergeCell ref="F7:G7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  <outlinePr summaryBelow="0" summaryRight="0"/>
  </sheetPr>
  <dimension ref="A1:M73"/>
  <sheetViews>
    <sheetView workbookViewId="0"/>
  </sheetViews>
  <sheetFormatPr defaultColWidth="12.6640625" defaultRowHeight="15.75" customHeight="1"/>
  <cols>
    <col min="1" max="1" width="6" customWidth="1"/>
    <col min="2" max="2" width="7.88671875" customWidth="1"/>
    <col min="3" max="3" width="12.88671875" customWidth="1"/>
    <col min="4" max="4" width="22.6640625" customWidth="1"/>
    <col min="5" max="5" width="11.21875" customWidth="1"/>
    <col min="7" max="7" width="17.33203125" customWidth="1"/>
    <col min="8" max="8" width="13.109375" customWidth="1"/>
    <col min="9" max="9" width="8.44140625" customWidth="1"/>
    <col min="11" max="11" width="15" customWidth="1"/>
    <col min="12" max="12" width="15.33203125" customWidth="1"/>
  </cols>
  <sheetData>
    <row r="1" spans="1:13" ht="13.8">
      <c r="A1" s="956" t="s">
        <v>146</v>
      </c>
      <c r="B1" s="931"/>
      <c r="C1" s="931"/>
      <c r="D1" s="932"/>
      <c r="E1" s="331"/>
      <c r="F1" s="959" t="s">
        <v>147</v>
      </c>
      <c r="G1" s="931"/>
      <c r="H1" s="932"/>
      <c r="I1" s="331"/>
      <c r="J1" s="331"/>
      <c r="K1" s="331"/>
      <c r="L1" s="331"/>
      <c r="M1" s="331"/>
    </row>
    <row r="2" spans="1:13" ht="15.6">
      <c r="A2" s="956" t="s">
        <v>148</v>
      </c>
      <c r="B2" s="931"/>
      <c r="C2" s="932"/>
      <c r="D2" s="332" t="s">
        <v>149</v>
      </c>
      <c r="E2" s="331"/>
      <c r="F2" s="960" t="s">
        <v>150</v>
      </c>
      <c r="G2" s="932"/>
      <c r="H2" s="333"/>
      <c r="I2" s="961"/>
      <c r="J2" s="929"/>
      <c r="K2" s="929"/>
      <c r="L2" s="929"/>
      <c r="M2" s="929"/>
    </row>
    <row r="3" spans="1:13" ht="15.6">
      <c r="A3" s="957"/>
      <c r="B3" s="931"/>
      <c r="C3" s="932"/>
      <c r="D3" s="335"/>
      <c r="E3" s="331"/>
      <c r="F3" s="956" t="s">
        <v>153</v>
      </c>
      <c r="G3" s="932"/>
      <c r="H3" s="336" t="s">
        <v>3676</v>
      </c>
      <c r="I3" s="929"/>
      <c r="J3" s="929"/>
      <c r="K3" s="929"/>
      <c r="L3" s="929"/>
      <c r="M3" s="929"/>
    </row>
    <row r="4" spans="1:13" ht="39.75" customHeight="1">
      <c r="A4" s="957"/>
      <c r="B4" s="931"/>
      <c r="C4" s="932"/>
      <c r="D4" s="337"/>
      <c r="E4" s="331"/>
      <c r="F4" s="957" t="s">
        <v>156</v>
      </c>
      <c r="G4" s="932"/>
      <c r="H4" s="333"/>
      <c r="I4" s="331"/>
      <c r="J4" s="331"/>
      <c r="K4" s="331"/>
      <c r="L4" s="331"/>
      <c r="M4" s="331"/>
    </row>
    <row r="5" spans="1:13" ht="15.6">
      <c r="A5" s="957"/>
      <c r="B5" s="931"/>
      <c r="C5" s="932"/>
      <c r="D5" s="337"/>
      <c r="E5" s="331"/>
      <c r="F5" s="957" t="s">
        <v>158</v>
      </c>
      <c r="G5" s="932"/>
      <c r="H5" s="331"/>
      <c r="I5" s="963" t="s">
        <v>159</v>
      </c>
      <c r="J5" s="964"/>
      <c r="K5" s="963"/>
      <c r="L5" s="964"/>
      <c r="M5" s="331"/>
    </row>
    <row r="6" spans="1:13" ht="15.6">
      <c r="A6" s="957"/>
      <c r="B6" s="931"/>
      <c r="C6" s="932"/>
      <c r="D6" s="339"/>
      <c r="E6" s="340"/>
      <c r="F6" s="957" t="s">
        <v>161</v>
      </c>
      <c r="G6" s="932"/>
      <c r="H6" s="331"/>
      <c r="I6" s="967"/>
      <c r="J6" s="968"/>
      <c r="K6" s="967"/>
      <c r="L6" s="968"/>
      <c r="M6" s="331"/>
    </row>
    <row r="7" spans="1:13" ht="15.6">
      <c r="A7" s="960"/>
      <c r="B7" s="931"/>
      <c r="C7" s="932"/>
      <c r="D7" s="341"/>
      <c r="E7" s="340">
        <f>COUNTIF('SILK - PENDING'!D14:D17,"*cdc*")</f>
        <v>2</v>
      </c>
      <c r="F7" s="957" t="s">
        <v>163</v>
      </c>
      <c r="G7" s="932"/>
      <c r="H7" s="331"/>
      <c r="I7" s="331"/>
      <c r="J7" s="331"/>
      <c r="K7" s="331"/>
      <c r="L7" s="331"/>
      <c r="M7" s="331"/>
    </row>
    <row r="8" spans="1:13" ht="13.8">
      <c r="A8" s="331"/>
      <c r="B8" s="331"/>
      <c r="C8" s="331"/>
      <c r="D8" s="331"/>
      <c r="E8" s="340"/>
      <c r="F8" s="957" t="s">
        <v>164</v>
      </c>
      <c r="G8" s="932"/>
      <c r="H8" s="331"/>
      <c r="I8" s="331"/>
      <c r="J8" s="331"/>
      <c r="K8" s="331"/>
      <c r="L8" s="331"/>
      <c r="M8" s="331"/>
    </row>
    <row r="9" spans="1:13" ht="13.8">
      <c r="A9" s="331"/>
      <c r="B9" s="343"/>
      <c r="C9" s="343"/>
      <c r="D9" s="344"/>
      <c r="E9" s="344"/>
      <c r="F9" s="331"/>
      <c r="G9" s="345"/>
      <c r="H9" s="331"/>
      <c r="I9" s="331"/>
      <c r="J9" s="331"/>
      <c r="K9" s="331"/>
      <c r="L9" s="331"/>
      <c r="M9" s="331"/>
    </row>
    <row r="10" spans="1:13" ht="13.2">
      <c r="A10" s="346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</row>
    <row r="11" spans="1:13" ht="13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</row>
    <row r="12" spans="1:13" ht="13.2">
      <c r="A12" s="346"/>
      <c r="B12" s="346"/>
      <c r="C12" s="346"/>
      <c r="D12" s="346"/>
      <c r="E12" s="346"/>
      <c r="F12" s="346"/>
      <c r="G12" s="346"/>
      <c r="H12" s="346"/>
      <c r="I12" s="346"/>
      <c r="J12" s="346"/>
      <c r="K12" s="346"/>
      <c r="L12" s="346"/>
      <c r="M12" s="346"/>
    </row>
    <row r="13" spans="1:13" ht="13.2">
      <c r="A13" s="952" t="s">
        <v>3677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41"/>
    </row>
    <row r="14" spans="1:13" ht="13.2">
      <c r="A14" s="942"/>
      <c r="B14" s="954"/>
      <c r="C14" s="954"/>
      <c r="D14" s="954"/>
      <c r="E14" s="954"/>
      <c r="F14" s="954"/>
      <c r="G14" s="954"/>
      <c r="H14" s="954"/>
      <c r="I14" s="954"/>
      <c r="J14" s="954"/>
      <c r="K14" s="954"/>
      <c r="L14" s="954"/>
      <c r="M14" s="943"/>
    </row>
    <row r="15" spans="1:13" ht="22.5" customHeight="1">
      <c r="A15" s="396" t="s">
        <v>165</v>
      </c>
      <c r="B15" s="431" t="s">
        <v>166</v>
      </c>
      <c r="C15" s="334" t="s">
        <v>1556</v>
      </c>
      <c r="D15" s="431" t="s">
        <v>168</v>
      </c>
      <c r="E15" s="334" t="s">
        <v>169</v>
      </c>
      <c r="F15" s="431" t="s">
        <v>1557</v>
      </c>
      <c r="G15" s="431" t="s">
        <v>1558</v>
      </c>
      <c r="H15" s="431" t="s">
        <v>3678</v>
      </c>
      <c r="I15" s="431" t="s">
        <v>3679</v>
      </c>
      <c r="J15" s="800" t="s">
        <v>3680</v>
      </c>
      <c r="K15" s="334" t="s">
        <v>1562</v>
      </c>
      <c r="L15" s="801" t="s">
        <v>1563</v>
      </c>
      <c r="M15" s="791" t="s">
        <v>177</v>
      </c>
    </row>
    <row r="16" spans="1:13" ht="22.5" customHeight="1">
      <c r="A16" s="333">
        <v>1</v>
      </c>
      <c r="B16" s="385" t="s">
        <v>3108</v>
      </c>
      <c r="C16" s="385" t="s">
        <v>3681</v>
      </c>
      <c r="D16" s="385" t="s">
        <v>2712</v>
      </c>
      <c r="E16" s="802">
        <v>3.6</v>
      </c>
      <c r="F16" s="379">
        <v>68</v>
      </c>
      <c r="G16" s="379">
        <v>244.8</v>
      </c>
      <c r="H16" s="379">
        <v>244.8</v>
      </c>
      <c r="I16" s="381">
        <v>0.1</v>
      </c>
      <c r="J16" s="380">
        <v>220.32</v>
      </c>
      <c r="K16" s="380">
        <v>126</v>
      </c>
      <c r="L16" s="380">
        <v>94.32</v>
      </c>
      <c r="M16" s="403" t="s">
        <v>1779</v>
      </c>
    </row>
    <row r="17" spans="1:13" ht="22.5" customHeight="1">
      <c r="A17" s="333">
        <v>2</v>
      </c>
      <c r="B17" s="333" t="s">
        <v>3108</v>
      </c>
      <c r="C17" s="333" t="s">
        <v>3682</v>
      </c>
      <c r="D17" s="333" t="s">
        <v>3199</v>
      </c>
      <c r="E17" s="802">
        <v>3.35</v>
      </c>
      <c r="F17" s="1006" t="s">
        <v>3683</v>
      </c>
      <c r="G17" s="931"/>
      <c r="H17" s="932"/>
      <c r="I17" s="381">
        <v>0</v>
      </c>
      <c r="J17" s="380">
        <v>0</v>
      </c>
      <c r="K17" s="380">
        <v>35</v>
      </c>
      <c r="L17" s="380">
        <v>-35</v>
      </c>
      <c r="M17" s="403" t="s">
        <v>3684</v>
      </c>
    </row>
    <row r="18" spans="1:13" ht="22.5" customHeight="1">
      <c r="A18" s="333">
        <v>3</v>
      </c>
      <c r="B18" s="333" t="s">
        <v>3108</v>
      </c>
      <c r="C18" s="333" t="s">
        <v>3685</v>
      </c>
      <c r="D18" s="333" t="s">
        <v>2478</v>
      </c>
      <c r="E18" s="802">
        <v>3.5</v>
      </c>
      <c r="F18" s="1006" t="s">
        <v>3683</v>
      </c>
      <c r="G18" s="931"/>
      <c r="H18" s="932"/>
      <c r="I18" s="381">
        <v>0</v>
      </c>
      <c r="J18" s="380">
        <v>0</v>
      </c>
      <c r="K18" s="380">
        <v>35</v>
      </c>
      <c r="L18" s="380">
        <v>-35</v>
      </c>
      <c r="M18" s="403" t="s">
        <v>3684</v>
      </c>
    </row>
    <row r="19" spans="1:13" ht="22.5" customHeight="1">
      <c r="A19" s="333">
        <v>4</v>
      </c>
      <c r="B19" s="385" t="s">
        <v>3108</v>
      </c>
      <c r="C19" s="385" t="s">
        <v>3213</v>
      </c>
      <c r="D19" s="385" t="s">
        <v>2685</v>
      </c>
      <c r="E19" s="802">
        <v>4.5</v>
      </c>
      <c r="F19" s="1006"/>
      <c r="G19" s="931"/>
      <c r="H19" s="932"/>
      <c r="I19" s="381">
        <v>0</v>
      </c>
      <c r="J19" s="380">
        <v>0</v>
      </c>
      <c r="K19" s="380">
        <v>35</v>
      </c>
      <c r="L19" s="380">
        <v>-35</v>
      </c>
      <c r="M19" s="380"/>
    </row>
    <row r="20" spans="1:13" ht="22.5" customHeight="1">
      <c r="A20" s="333">
        <v>5</v>
      </c>
      <c r="B20" s="385" t="s">
        <v>3108</v>
      </c>
      <c r="C20" s="385" t="s">
        <v>3686</v>
      </c>
      <c r="D20" s="385" t="s">
        <v>2722</v>
      </c>
      <c r="E20" s="802">
        <v>5</v>
      </c>
      <c r="F20" s="1006" t="s">
        <v>3683</v>
      </c>
      <c r="G20" s="931"/>
      <c r="H20" s="932"/>
      <c r="I20" s="381">
        <v>0</v>
      </c>
      <c r="J20" s="380">
        <v>0</v>
      </c>
      <c r="K20" s="380">
        <v>35</v>
      </c>
      <c r="L20" s="380">
        <v>-35</v>
      </c>
      <c r="M20" s="380"/>
    </row>
    <row r="21" spans="1:13" ht="22.5" customHeight="1">
      <c r="A21" s="333">
        <v>6</v>
      </c>
      <c r="B21" s="385" t="s">
        <v>3108</v>
      </c>
      <c r="C21" s="385" t="s">
        <v>3687</v>
      </c>
      <c r="D21" s="385" t="s">
        <v>2478</v>
      </c>
      <c r="E21" s="802">
        <v>3.5</v>
      </c>
      <c r="F21" s="1006" t="s">
        <v>3683</v>
      </c>
      <c r="G21" s="931"/>
      <c r="H21" s="932"/>
      <c r="I21" s="381">
        <v>0</v>
      </c>
      <c r="J21" s="380">
        <v>0</v>
      </c>
      <c r="K21" s="380">
        <v>35</v>
      </c>
      <c r="L21" s="380">
        <v>-35</v>
      </c>
      <c r="M21" s="380"/>
    </row>
    <row r="22" spans="1:13" ht="22.5" customHeight="1">
      <c r="A22" s="803"/>
      <c r="B22" s="803" t="s">
        <v>26</v>
      </c>
      <c r="C22" s="803">
        <f t="array" ref="C22">COUNTA(C16:INDEX(C:C,ROW()-1))</f>
        <v>6</v>
      </c>
      <c r="D22" s="803"/>
      <c r="E22" s="804">
        <f>SUM(Table120[QTY])</f>
        <v>23.45</v>
      </c>
      <c r="F22" s="803"/>
      <c r="G22" s="803"/>
      <c r="H22" s="803"/>
      <c r="I22" s="803"/>
      <c r="J22" s="803"/>
      <c r="K22" s="805">
        <f>SUM(Table121[])</f>
        <v>301</v>
      </c>
      <c r="L22" s="1007">
        <f>SUM(L16:L21)</f>
        <v>-80.680000000000007</v>
      </c>
      <c r="M22" s="932"/>
    </row>
    <row r="23" spans="1:13" ht="13.2">
      <c r="A23" s="346"/>
      <c r="B23" s="346"/>
      <c r="C23" s="346"/>
      <c r="D23" s="346"/>
      <c r="E23" s="346"/>
      <c r="F23" s="346"/>
      <c r="G23" s="346"/>
      <c r="H23" s="346"/>
      <c r="I23" s="346"/>
      <c r="J23" s="346"/>
      <c r="K23" s="346"/>
      <c r="L23" s="346"/>
      <c r="M23" s="346"/>
    </row>
    <row r="24" spans="1:13" ht="13.2">
      <c r="A24" s="346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</row>
    <row r="25" spans="1:13" ht="13.2">
      <c r="A25" s="346"/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</row>
    <row r="26" spans="1:13" ht="13.2">
      <c r="A26" s="952" t="s">
        <v>3688</v>
      </c>
      <c r="B26" s="953"/>
      <c r="C26" s="953"/>
      <c r="D26" s="953"/>
      <c r="E26" s="953"/>
      <c r="F26" s="953"/>
      <c r="G26" s="953"/>
      <c r="H26" s="953"/>
      <c r="I26" s="953"/>
      <c r="J26" s="953"/>
      <c r="K26" s="953"/>
      <c r="L26" s="953"/>
      <c r="M26" s="941"/>
    </row>
    <row r="27" spans="1:13" ht="13.2">
      <c r="A27" s="942"/>
      <c r="B27" s="954"/>
      <c r="C27" s="954"/>
      <c r="D27" s="954"/>
      <c r="E27" s="954"/>
      <c r="F27" s="954"/>
      <c r="G27" s="954"/>
      <c r="H27" s="954"/>
      <c r="I27" s="954"/>
      <c r="J27" s="954"/>
      <c r="K27" s="954"/>
      <c r="L27" s="954"/>
      <c r="M27" s="943"/>
    </row>
    <row r="28" spans="1:13" ht="22.5" customHeight="1">
      <c r="A28" s="396" t="s">
        <v>165</v>
      </c>
      <c r="B28" s="431" t="s">
        <v>166</v>
      </c>
      <c r="C28" s="334" t="s">
        <v>1556</v>
      </c>
      <c r="D28" s="431" t="s">
        <v>168</v>
      </c>
      <c r="E28" s="334" t="s">
        <v>169</v>
      </c>
      <c r="F28" s="431" t="s">
        <v>1557</v>
      </c>
      <c r="G28" s="431" t="s">
        <v>1558</v>
      </c>
      <c r="H28" s="431" t="s">
        <v>1559</v>
      </c>
      <c r="I28" s="431" t="s">
        <v>3004</v>
      </c>
      <c r="J28" s="806" t="s">
        <v>3689</v>
      </c>
      <c r="K28" s="334" t="s">
        <v>1562</v>
      </c>
      <c r="L28" s="801" t="s">
        <v>1563</v>
      </c>
      <c r="M28" s="791" t="s">
        <v>177</v>
      </c>
    </row>
    <row r="29" spans="1:13" ht="22.5" customHeight="1">
      <c r="A29" s="333">
        <v>7</v>
      </c>
      <c r="B29" s="333" t="s">
        <v>3690</v>
      </c>
      <c r="C29" s="333" t="s">
        <v>3691</v>
      </c>
      <c r="D29" s="376" t="s">
        <v>3537</v>
      </c>
      <c r="E29" s="802">
        <v>5</v>
      </c>
      <c r="F29" s="380">
        <v>60</v>
      </c>
      <c r="G29" s="380">
        <f t="shared" ref="G29:G32" si="0">E29*F29</f>
        <v>300</v>
      </c>
      <c r="H29" s="380">
        <f t="shared" ref="H29:H33" si="1">G29</f>
        <v>300</v>
      </c>
      <c r="I29" s="381">
        <v>0</v>
      </c>
      <c r="J29" s="380">
        <v>300</v>
      </c>
      <c r="K29" s="380">
        <v>300</v>
      </c>
      <c r="L29" s="380">
        <f t="shared" ref="L29:L34" si="2">J29-K29</f>
        <v>0</v>
      </c>
      <c r="M29" s="403" t="s">
        <v>3692</v>
      </c>
    </row>
    <row r="30" spans="1:13" ht="22.5" customHeight="1">
      <c r="A30" s="333">
        <v>8</v>
      </c>
      <c r="B30" s="333" t="s">
        <v>3690</v>
      </c>
      <c r="C30" s="333" t="s">
        <v>3693</v>
      </c>
      <c r="D30" s="376" t="s">
        <v>3537</v>
      </c>
      <c r="E30" s="802">
        <v>5</v>
      </c>
      <c r="F30" s="380">
        <v>60</v>
      </c>
      <c r="G30" s="380">
        <f t="shared" si="0"/>
        <v>300</v>
      </c>
      <c r="H30" s="380">
        <f t="shared" si="1"/>
        <v>300</v>
      </c>
      <c r="I30" s="381">
        <v>0</v>
      </c>
      <c r="J30" s="380">
        <v>300</v>
      </c>
      <c r="K30" s="380">
        <v>300</v>
      </c>
      <c r="L30" s="380">
        <f t="shared" si="2"/>
        <v>0</v>
      </c>
      <c r="M30" s="403" t="s">
        <v>3692</v>
      </c>
    </row>
    <row r="31" spans="1:13" ht="22.5" customHeight="1">
      <c r="A31" s="333">
        <v>9</v>
      </c>
      <c r="B31" s="333" t="s">
        <v>3690</v>
      </c>
      <c r="C31" s="333" t="s">
        <v>3694</v>
      </c>
      <c r="D31" s="376" t="s">
        <v>3537</v>
      </c>
      <c r="E31" s="802">
        <v>5</v>
      </c>
      <c r="F31" s="380">
        <v>60</v>
      </c>
      <c r="G31" s="380">
        <f t="shared" si="0"/>
        <v>300</v>
      </c>
      <c r="H31" s="380">
        <f t="shared" si="1"/>
        <v>300</v>
      </c>
      <c r="I31" s="381">
        <v>0</v>
      </c>
      <c r="J31" s="380">
        <v>300</v>
      </c>
      <c r="K31" s="380">
        <v>300</v>
      </c>
      <c r="L31" s="380">
        <f t="shared" si="2"/>
        <v>0</v>
      </c>
      <c r="M31" s="403" t="s">
        <v>3692</v>
      </c>
    </row>
    <row r="32" spans="1:13" ht="22.5" customHeight="1">
      <c r="A32" s="333">
        <v>10</v>
      </c>
      <c r="B32" s="333" t="s">
        <v>3690</v>
      </c>
      <c r="C32" s="333" t="s">
        <v>3695</v>
      </c>
      <c r="D32" s="376" t="s">
        <v>3537</v>
      </c>
      <c r="E32" s="802">
        <v>5</v>
      </c>
      <c r="F32" s="380">
        <v>60</v>
      </c>
      <c r="G32" s="380">
        <f t="shared" si="0"/>
        <v>300</v>
      </c>
      <c r="H32" s="380">
        <f t="shared" si="1"/>
        <v>300</v>
      </c>
      <c r="I32" s="381">
        <v>0</v>
      </c>
      <c r="J32" s="380">
        <v>300</v>
      </c>
      <c r="K32" s="380">
        <v>300</v>
      </c>
      <c r="L32" s="380">
        <f t="shared" si="2"/>
        <v>0</v>
      </c>
      <c r="M32" s="403" t="s">
        <v>3692</v>
      </c>
    </row>
    <row r="33" spans="1:13" ht="22.5" customHeight="1">
      <c r="A33" s="333">
        <v>11</v>
      </c>
      <c r="B33" s="333" t="s">
        <v>3353</v>
      </c>
      <c r="C33" s="333" t="s">
        <v>3696</v>
      </c>
      <c r="D33" s="333" t="s">
        <v>3355</v>
      </c>
      <c r="E33" s="802">
        <v>5</v>
      </c>
      <c r="F33" s="380">
        <v>60</v>
      </c>
      <c r="G33" s="380">
        <v>350</v>
      </c>
      <c r="H33" s="380">
        <f t="shared" si="1"/>
        <v>350</v>
      </c>
      <c r="I33" s="381">
        <v>0</v>
      </c>
      <c r="J33" s="380">
        <v>350</v>
      </c>
      <c r="K33" s="380">
        <v>300</v>
      </c>
      <c r="L33" s="380">
        <f t="shared" si="2"/>
        <v>50</v>
      </c>
      <c r="M33" s="403" t="s">
        <v>3692</v>
      </c>
    </row>
    <row r="34" spans="1:13" ht="22.5" customHeight="1">
      <c r="A34" s="333">
        <v>12</v>
      </c>
      <c r="B34" s="333" t="s">
        <v>3353</v>
      </c>
      <c r="C34" s="333" t="s">
        <v>3697</v>
      </c>
      <c r="D34" s="333" t="s">
        <v>3355</v>
      </c>
      <c r="E34" s="802">
        <v>4.5</v>
      </c>
      <c r="F34" s="380">
        <v>90</v>
      </c>
      <c r="G34" s="380">
        <f>E34*F34</f>
        <v>405</v>
      </c>
      <c r="H34" s="380">
        <v>400</v>
      </c>
      <c r="I34" s="381">
        <v>0</v>
      </c>
      <c r="J34" s="380">
        <v>400</v>
      </c>
      <c r="K34" s="380">
        <v>300</v>
      </c>
      <c r="L34" s="380">
        <f t="shared" si="2"/>
        <v>100</v>
      </c>
      <c r="M34" s="403" t="s">
        <v>3692</v>
      </c>
    </row>
    <row r="35" spans="1:13" ht="22.5" customHeight="1">
      <c r="A35" s="333">
        <v>13</v>
      </c>
      <c r="B35" s="376" t="s">
        <v>3353</v>
      </c>
      <c r="C35" s="420" t="s">
        <v>3698</v>
      </c>
      <c r="D35" s="420" t="s">
        <v>3355</v>
      </c>
      <c r="E35" s="807">
        <v>5</v>
      </c>
      <c r="F35" s="390">
        <v>99</v>
      </c>
      <c r="G35" s="390">
        <v>495</v>
      </c>
      <c r="H35" s="390">
        <v>495</v>
      </c>
      <c r="I35" s="381">
        <v>0.1</v>
      </c>
      <c r="J35" s="380">
        <v>445.5</v>
      </c>
      <c r="K35" s="380">
        <v>300</v>
      </c>
      <c r="L35" s="380">
        <v>145.5</v>
      </c>
      <c r="M35" s="403" t="s">
        <v>1779</v>
      </c>
    </row>
    <row r="36" spans="1:13" ht="22.5" customHeight="1">
      <c r="A36" s="333">
        <v>14</v>
      </c>
      <c r="B36" s="385" t="s">
        <v>3353</v>
      </c>
      <c r="C36" s="385" t="s">
        <v>3699</v>
      </c>
      <c r="D36" s="385" t="s">
        <v>3355</v>
      </c>
      <c r="E36" s="802">
        <v>5</v>
      </c>
      <c r="F36" s="379">
        <v>99</v>
      </c>
      <c r="G36" s="379">
        <v>495</v>
      </c>
      <c r="H36" s="379">
        <v>495</v>
      </c>
      <c r="I36" s="381">
        <v>0.1</v>
      </c>
      <c r="J36" s="380">
        <v>445.5</v>
      </c>
      <c r="K36" s="380">
        <v>300</v>
      </c>
      <c r="L36" s="380">
        <v>145.5</v>
      </c>
      <c r="M36" s="403" t="s">
        <v>1779</v>
      </c>
    </row>
    <row r="37" spans="1:13" ht="22.5" customHeight="1">
      <c r="A37" s="808">
        <v>15</v>
      </c>
      <c r="B37" s="809" t="s">
        <v>3353</v>
      </c>
      <c r="C37" s="810" t="s">
        <v>3700</v>
      </c>
      <c r="D37" s="809" t="s">
        <v>3355</v>
      </c>
      <c r="E37" s="811">
        <v>5</v>
      </c>
      <c r="F37" s="812">
        <v>150</v>
      </c>
      <c r="G37" s="813">
        <v>750</v>
      </c>
      <c r="H37" s="814">
        <v>637.5</v>
      </c>
      <c r="I37" s="815">
        <v>0</v>
      </c>
      <c r="J37" s="814">
        <f>H37*(1-I37)</f>
        <v>637.5</v>
      </c>
      <c r="K37" s="816">
        <v>300</v>
      </c>
      <c r="L37" s="817">
        <f>J37-K37</f>
        <v>337.5</v>
      </c>
      <c r="M37" s="818" t="s">
        <v>1724</v>
      </c>
    </row>
    <row r="38" spans="1:13" ht="22.5" customHeight="1">
      <c r="A38" s="333">
        <v>16</v>
      </c>
      <c r="B38" s="819" t="s">
        <v>3353</v>
      </c>
      <c r="C38" s="820" t="s">
        <v>3701</v>
      </c>
      <c r="D38" s="821" t="s">
        <v>3355</v>
      </c>
      <c r="E38" s="822">
        <v>7</v>
      </c>
      <c r="F38" s="823">
        <v>150</v>
      </c>
      <c r="G38" s="824">
        <v>1050</v>
      </c>
      <c r="H38" s="825">
        <v>892.5</v>
      </c>
      <c r="I38" s="826">
        <v>0</v>
      </c>
      <c r="J38" s="827">
        <v>892.5</v>
      </c>
      <c r="K38" s="436">
        <v>420</v>
      </c>
      <c r="L38" s="828">
        <v>472.5</v>
      </c>
      <c r="M38" s="403" t="s">
        <v>1724</v>
      </c>
    </row>
    <row r="39" spans="1:13" ht="22.5" customHeight="1">
      <c r="A39" s="333">
        <v>17</v>
      </c>
      <c r="B39" s="819" t="s">
        <v>3353</v>
      </c>
      <c r="C39" s="820" t="s">
        <v>3702</v>
      </c>
      <c r="D39" s="821" t="s">
        <v>3355</v>
      </c>
      <c r="E39" s="822">
        <v>7</v>
      </c>
      <c r="F39" s="823">
        <v>150</v>
      </c>
      <c r="G39" s="824">
        <v>1050</v>
      </c>
      <c r="H39" s="825">
        <v>892.5</v>
      </c>
      <c r="I39" s="826">
        <v>0</v>
      </c>
      <c r="J39" s="827">
        <v>892.5</v>
      </c>
      <c r="K39" s="436">
        <v>420</v>
      </c>
      <c r="L39" s="828">
        <v>472.5</v>
      </c>
      <c r="M39" s="403" t="s">
        <v>1724</v>
      </c>
    </row>
    <row r="40" spans="1:13" ht="22.5" customHeight="1">
      <c r="A40" s="333">
        <v>18</v>
      </c>
      <c r="B40" s="819" t="s">
        <v>3353</v>
      </c>
      <c r="C40" s="820" t="s">
        <v>3703</v>
      </c>
      <c r="D40" s="821" t="s">
        <v>3355</v>
      </c>
      <c r="E40" s="822">
        <v>5</v>
      </c>
      <c r="F40" s="823">
        <v>150</v>
      </c>
      <c r="G40" s="824">
        <v>750</v>
      </c>
      <c r="H40" s="825">
        <v>637.5</v>
      </c>
      <c r="I40" s="826">
        <v>0</v>
      </c>
      <c r="J40" s="827">
        <v>637.5</v>
      </c>
      <c r="K40" s="436">
        <v>300</v>
      </c>
      <c r="L40" s="828">
        <v>337.5</v>
      </c>
      <c r="M40" s="403" t="s">
        <v>1724</v>
      </c>
    </row>
    <row r="41" spans="1:13" ht="22.5" customHeight="1">
      <c r="A41" s="808">
        <v>19</v>
      </c>
      <c r="B41" s="809" t="s">
        <v>3353</v>
      </c>
      <c r="C41" s="810" t="s">
        <v>56</v>
      </c>
      <c r="D41" s="829" t="s">
        <v>3355</v>
      </c>
      <c r="E41" s="811">
        <v>5</v>
      </c>
      <c r="F41" s="812">
        <v>150</v>
      </c>
      <c r="G41" s="813">
        <v>750</v>
      </c>
      <c r="H41" s="830">
        <v>637.5</v>
      </c>
      <c r="I41" s="815">
        <v>0</v>
      </c>
      <c r="J41" s="831">
        <v>637.5</v>
      </c>
      <c r="K41" s="816">
        <v>300</v>
      </c>
      <c r="L41" s="817">
        <v>337.5</v>
      </c>
      <c r="M41" s="818" t="s">
        <v>1724</v>
      </c>
    </row>
    <row r="42" spans="1:13" ht="22.5" customHeight="1">
      <c r="A42" s="808">
        <v>20</v>
      </c>
      <c r="B42" s="809" t="s">
        <v>3353</v>
      </c>
      <c r="C42" s="810" t="s">
        <v>3704</v>
      </c>
      <c r="D42" s="829" t="s">
        <v>3355</v>
      </c>
      <c r="E42" s="811">
        <v>5</v>
      </c>
      <c r="F42" s="812">
        <v>150</v>
      </c>
      <c r="G42" s="813">
        <v>750</v>
      </c>
      <c r="H42" s="830">
        <v>637.5</v>
      </c>
      <c r="I42" s="815">
        <v>0</v>
      </c>
      <c r="J42" s="831">
        <v>637.5</v>
      </c>
      <c r="K42" s="816">
        <v>300</v>
      </c>
      <c r="L42" s="817">
        <v>337.5</v>
      </c>
      <c r="M42" s="818" t="s">
        <v>1724</v>
      </c>
    </row>
    <row r="43" spans="1:13" ht="22.5" customHeight="1">
      <c r="A43" s="451"/>
      <c r="B43" s="392" t="s">
        <v>26</v>
      </c>
      <c r="C43" s="451">
        <f t="array" ref="C43">COUNTA(C29:INDEX(C:C,ROW()-1))</f>
        <v>14</v>
      </c>
      <c r="D43" s="451"/>
      <c r="E43" s="832">
        <f>SUM(Table123[])</f>
        <v>73.5</v>
      </c>
      <c r="F43" s="451"/>
      <c r="G43" s="451"/>
      <c r="H43" s="833">
        <f>SUM(H26:H42)</f>
        <v>7275</v>
      </c>
      <c r="I43" s="451"/>
      <c r="J43" s="834"/>
      <c r="K43" s="835">
        <f>SUM(Table126[COST PER PC])</f>
        <v>4440</v>
      </c>
      <c r="L43" s="1007">
        <f>SUM(L29:L42)</f>
        <v>2736</v>
      </c>
      <c r="M43" s="932"/>
    </row>
    <row r="44" spans="1:13" ht="13.2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</row>
    <row r="45" spans="1:13" ht="13.2">
      <c r="A45" s="346"/>
      <c r="B45" s="346"/>
      <c r="C45" s="346"/>
      <c r="D45" s="346"/>
      <c r="E45" s="346"/>
      <c r="F45" s="346"/>
      <c r="G45" s="346"/>
      <c r="H45" s="346"/>
      <c r="I45" s="346"/>
      <c r="J45" s="346"/>
      <c r="K45" s="346"/>
      <c r="L45" s="346"/>
      <c r="M45" s="346"/>
    </row>
    <row r="46" spans="1:13" ht="13.2">
      <c r="A46" s="952" t="s">
        <v>3705</v>
      </c>
      <c r="B46" s="953"/>
      <c r="C46" s="953"/>
      <c r="D46" s="953"/>
      <c r="E46" s="953"/>
      <c r="F46" s="953"/>
      <c r="G46" s="953"/>
      <c r="H46" s="953"/>
      <c r="I46" s="953"/>
      <c r="J46" s="953"/>
      <c r="K46" s="953"/>
      <c r="L46" s="953"/>
      <c r="M46" s="941"/>
    </row>
    <row r="47" spans="1:13" ht="13.2">
      <c r="A47" s="942"/>
      <c r="B47" s="954"/>
      <c r="C47" s="954"/>
      <c r="D47" s="954"/>
      <c r="E47" s="954"/>
      <c r="F47" s="954"/>
      <c r="G47" s="954"/>
      <c r="H47" s="954"/>
      <c r="I47" s="954"/>
      <c r="J47" s="954"/>
      <c r="K47" s="954"/>
      <c r="L47" s="954"/>
      <c r="M47" s="943"/>
    </row>
    <row r="48" spans="1:13" ht="22.5" customHeight="1">
      <c r="A48" s="396" t="s">
        <v>165</v>
      </c>
      <c r="B48" s="431" t="s">
        <v>166</v>
      </c>
      <c r="C48" s="431" t="s">
        <v>1556</v>
      </c>
      <c r="D48" s="431" t="s">
        <v>168</v>
      </c>
      <c r="E48" s="334" t="s">
        <v>169</v>
      </c>
      <c r="F48" s="431" t="s">
        <v>1557</v>
      </c>
      <c r="G48" s="431" t="s">
        <v>1558</v>
      </c>
      <c r="H48" s="431" t="s">
        <v>1559</v>
      </c>
      <c r="I48" s="431" t="s">
        <v>3004</v>
      </c>
      <c r="J48" s="806" t="s">
        <v>3689</v>
      </c>
      <c r="K48" s="334" t="s">
        <v>1562</v>
      </c>
      <c r="L48" s="801" t="s">
        <v>1563</v>
      </c>
      <c r="M48" s="791" t="s">
        <v>177</v>
      </c>
    </row>
    <row r="49" spans="1:13" ht="22.5" customHeight="1">
      <c r="A49" s="333">
        <v>21</v>
      </c>
      <c r="B49" s="385" t="s">
        <v>3458</v>
      </c>
      <c r="C49" s="385" t="s">
        <v>3706</v>
      </c>
      <c r="D49" s="376" t="s">
        <v>3460</v>
      </c>
      <c r="E49" s="802">
        <v>7</v>
      </c>
      <c r="F49" s="379">
        <v>157</v>
      </c>
      <c r="G49" s="379">
        <v>1099</v>
      </c>
      <c r="H49" s="379">
        <v>1099</v>
      </c>
      <c r="I49" s="381">
        <v>0.1</v>
      </c>
      <c r="J49" s="380">
        <v>989.1</v>
      </c>
      <c r="K49" s="836">
        <v>840</v>
      </c>
      <c r="L49" s="380">
        <v>149.10000000000002</v>
      </c>
      <c r="M49" s="403" t="s">
        <v>1779</v>
      </c>
    </row>
    <row r="50" spans="1:13" ht="22.5" customHeight="1">
      <c r="A50" s="333">
        <v>22</v>
      </c>
      <c r="B50" s="385" t="s">
        <v>3458</v>
      </c>
      <c r="C50" s="385" t="s">
        <v>3707</v>
      </c>
      <c r="D50" s="376" t="s">
        <v>3460</v>
      </c>
      <c r="E50" s="802">
        <v>5</v>
      </c>
      <c r="F50" s="379">
        <v>157</v>
      </c>
      <c r="G50" s="379">
        <v>785</v>
      </c>
      <c r="H50" s="379">
        <v>785</v>
      </c>
      <c r="I50" s="381">
        <v>0.1</v>
      </c>
      <c r="J50" s="380">
        <v>706.5</v>
      </c>
      <c r="K50" s="836">
        <v>600</v>
      </c>
      <c r="L50" s="380">
        <v>106.5</v>
      </c>
      <c r="M50" s="403" t="s">
        <v>1779</v>
      </c>
    </row>
    <row r="51" spans="1:13" ht="22.5" customHeight="1">
      <c r="A51" s="333">
        <v>23</v>
      </c>
      <c r="B51" s="385" t="s">
        <v>3458</v>
      </c>
      <c r="C51" s="385" t="s">
        <v>3708</v>
      </c>
      <c r="D51" s="376" t="s">
        <v>3537</v>
      </c>
      <c r="E51" s="802">
        <v>4</v>
      </c>
      <c r="F51" s="379">
        <v>157</v>
      </c>
      <c r="G51" s="379">
        <v>628</v>
      </c>
      <c r="H51" s="379">
        <v>628</v>
      </c>
      <c r="I51" s="381">
        <v>0.1</v>
      </c>
      <c r="J51" s="380">
        <v>565.20000000000005</v>
      </c>
      <c r="K51" s="836">
        <v>220</v>
      </c>
      <c r="L51" s="380">
        <v>345.20000000000005</v>
      </c>
      <c r="M51" s="403" t="s">
        <v>1779</v>
      </c>
    </row>
    <row r="52" spans="1:13" ht="22.5" customHeight="1">
      <c r="A52" s="333">
        <v>24</v>
      </c>
      <c r="B52" s="385" t="s">
        <v>3458</v>
      </c>
      <c r="C52" s="384" t="s">
        <v>3709</v>
      </c>
      <c r="D52" s="376" t="s">
        <v>3460</v>
      </c>
      <c r="E52" s="401">
        <v>7</v>
      </c>
      <c r="F52" s="406">
        <v>300</v>
      </c>
      <c r="G52" s="379">
        <v>2100</v>
      </c>
      <c r="H52" s="380">
        <v>1785</v>
      </c>
      <c r="I52" s="381">
        <v>0</v>
      </c>
      <c r="J52" s="837">
        <v>1785</v>
      </c>
      <c r="K52" s="838">
        <v>840</v>
      </c>
      <c r="L52" s="380">
        <v>945</v>
      </c>
      <c r="M52" s="403" t="s">
        <v>1724</v>
      </c>
    </row>
    <row r="53" spans="1:13" ht="22.5" customHeight="1">
      <c r="A53" s="333">
        <v>25</v>
      </c>
      <c r="B53" s="385" t="s">
        <v>3458</v>
      </c>
      <c r="C53" s="384" t="s">
        <v>3710</v>
      </c>
      <c r="D53" s="376" t="s">
        <v>3460</v>
      </c>
      <c r="E53" s="401">
        <v>5</v>
      </c>
      <c r="F53" s="406">
        <v>300</v>
      </c>
      <c r="G53" s="379">
        <v>1500</v>
      </c>
      <c r="H53" s="380">
        <v>1275</v>
      </c>
      <c r="I53" s="381">
        <v>0</v>
      </c>
      <c r="J53" s="837">
        <v>1275</v>
      </c>
      <c r="K53" s="838">
        <v>600</v>
      </c>
      <c r="L53" s="380">
        <v>675</v>
      </c>
      <c r="M53" s="403" t="s">
        <v>1724</v>
      </c>
    </row>
    <row r="54" spans="1:13" ht="22.5" customHeight="1">
      <c r="A54" s="333">
        <v>26</v>
      </c>
      <c r="B54" s="385" t="s">
        <v>3458</v>
      </c>
      <c r="C54" s="384" t="s">
        <v>3711</v>
      </c>
      <c r="D54" s="377" t="s">
        <v>3460</v>
      </c>
      <c r="E54" s="401">
        <v>8</v>
      </c>
      <c r="F54" s="406">
        <v>300</v>
      </c>
      <c r="G54" s="379">
        <v>2400</v>
      </c>
      <c r="H54" s="379">
        <v>2040</v>
      </c>
      <c r="I54" s="381">
        <v>0</v>
      </c>
      <c r="J54" s="837">
        <v>2040</v>
      </c>
      <c r="K54" s="838">
        <v>960</v>
      </c>
      <c r="L54" s="380">
        <v>1080</v>
      </c>
      <c r="M54" s="403" t="s">
        <v>1724</v>
      </c>
    </row>
    <row r="55" spans="1:13" ht="22.5" customHeight="1">
      <c r="A55" s="333">
        <v>27</v>
      </c>
      <c r="B55" s="385" t="s">
        <v>3458</v>
      </c>
      <c r="C55" s="384" t="s">
        <v>3712</v>
      </c>
      <c r="D55" s="377" t="s">
        <v>3460</v>
      </c>
      <c r="E55" s="401">
        <v>5</v>
      </c>
      <c r="F55" s="406">
        <v>300</v>
      </c>
      <c r="G55" s="379">
        <v>1500</v>
      </c>
      <c r="H55" s="379">
        <v>1275</v>
      </c>
      <c r="I55" s="381">
        <v>0</v>
      </c>
      <c r="J55" s="837">
        <v>1275</v>
      </c>
      <c r="K55" s="838">
        <v>600</v>
      </c>
      <c r="L55" s="380">
        <v>675</v>
      </c>
      <c r="M55" s="403" t="s">
        <v>1724</v>
      </c>
    </row>
    <row r="56" spans="1:13" ht="22.5" customHeight="1">
      <c r="A56" s="451"/>
      <c r="B56" s="392" t="s">
        <v>26</v>
      </c>
      <c r="C56" s="451">
        <f t="array" ref="C56">COUNTA(C49:INDEX(C:C,ROW()-1))</f>
        <v>7</v>
      </c>
      <c r="D56" s="451"/>
      <c r="E56" s="832">
        <f>SUM(Table124[])</f>
        <v>41</v>
      </c>
      <c r="F56" s="451"/>
      <c r="G56" s="451"/>
      <c r="H56" s="833">
        <f>SUM(H46:H51)</f>
        <v>2512</v>
      </c>
      <c r="I56" s="451"/>
      <c r="J56" s="834"/>
      <c r="K56" s="839">
        <f>SUM(Table125[COST PER PC])</f>
        <v>4660</v>
      </c>
      <c r="L56" s="1007">
        <f>SUM(L49:L55)</f>
        <v>3975.8</v>
      </c>
      <c r="M56" s="932"/>
    </row>
    <row r="57" spans="1:13" ht="16.8">
      <c r="A57" s="331"/>
      <c r="B57" s="840"/>
      <c r="C57" s="331"/>
      <c r="D57" s="331"/>
      <c r="E57" s="334"/>
      <c r="F57" s="331"/>
      <c r="G57" s="331"/>
      <c r="H57" s="841"/>
      <c r="I57" s="331"/>
      <c r="J57" s="841"/>
      <c r="K57" s="842"/>
      <c r="L57" s="841"/>
      <c r="M57" s="841"/>
    </row>
    <row r="58" spans="1:13" ht="16.8">
      <c r="A58" s="331"/>
      <c r="B58" s="840"/>
      <c r="C58" s="331"/>
      <c r="D58" s="331"/>
      <c r="E58" s="334"/>
      <c r="F58" s="331"/>
      <c r="G58" s="331"/>
      <c r="H58" s="841"/>
      <c r="I58" s="331"/>
      <c r="J58" s="841"/>
      <c r="K58" s="842"/>
      <c r="L58" s="841"/>
      <c r="M58" s="841"/>
    </row>
    <row r="59" spans="1:13" ht="13.2">
      <c r="A59" s="952" t="s">
        <v>3713</v>
      </c>
      <c r="B59" s="953"/>
      <c r="C59" s="953"/>
      <c r="D59" s="953"/>
      <c r="E59" s="953"/>
      <c r="F59" s="953"/>
      <c r="G59" s="953"/>
      <c r="H59" s="953"/>
      <c r="I59" s="953"/>
      <c r="J59" s="953"/>
      <c r="K59" s="953"/>
      <c r="L59" s="953"/>
      <c r="M59" s="941"/>
    </row>
    <row r="60" spans="1:13" ht="13.2">
      <c r="A60" s="942"/>
      <c r="B60" s="954"/>
      <c r="C60" s="954"/>
      <c r="D60" s="954"/>
      <c r="E60" s="954"/>
      <c r="F60" s="954"/>
      <c r="G60" s="954"/>
      <c r="H60" s="954"/>
      <c r="I60" s="954"/>
      <c r="J60" s="954"/>
      <c r="K60" s="954"/>
      <c r="L60" s="954"/>
      <c r="M60" s="943"/>
    </row>
    <row r="61" spans="1:13" ht="22.5" customHeight="1">
      <c r="A61" s="396" t="s">
        <v>165</v>
      </c>
      <c r="B61" s="431" t="s">
        <v>166</v>
      </c>
      <c r="C61" s="431" t="s">
        <v>1556</v>
      </c>
      <c r="D61" s="431" t="s">
        <v>168</v>
      </c>
      <c r="E61" s="334" t="s">
        <v>169</v>
      </c>
      <c r="F61" s="431" t="s">
        <v>1557</v>
      </c>
      <c r="G61" s="431" t="s">
        <v>1558</v>
      </c>
      <c r="H61" s="431" t="s">
        <v>1559</v>
      </c>
      <c r="I61" s="431" t="s">
        <v>3004</v>
      </c>
      <c r="J61" s="806" t="s">
        <v>3689</v>
      </c>
      <c r="K61" s="334" t="s">
        <v>1562</v>
      </c>
      <c r="L61" s="801" t="s">
        <v>1563</v>
      </c>
      <c r="M61" s="791" t="s">
        <v>177</v>
      </c>
    </row>
    <row r="62" spans="1:13" ht="22.5" customHeight="1">
      <c r="A62" s="333">
        <v>28</v>
      </c>
      <c r="B62" s="385" t="s">
        <v>3570</v>
      </c>
      <c r="C62" s="384" t="s">
        <v>3714</v>
      </c>
      <c r="D62" s="377" t="s">
        <v>3460</v>
      </c>
      <c r="E62" s="802">
        <v>4.9000000000000004</v>
      </c>
      <c r="F62" s="406">
        <v>450</v>
      </c>
      <c r="G62" s="379">
        <v>2205</v>
      </c>
      <c r="H62" s="379">
        <v>1874.25</v>
      </c>
      <c r="I62" s="381">
        <v>0</v>
      </c>
      <c r="J62" s="380">
        <v>1874.25</v>
      </c>
      <c r="K62" s="843">
        <v>882.00000000000011</v>
      </c>
      <c r="L62" s="380">
        <v>992.24999999999989</v>
      </c>
      <c r="M62" s="403" t="s">
        <v>1724</v>
      </c>
    </row>
    <row r="63" spans="1:13" ht="22.5" customHeight="1">
      <c r="A63" s="333">
        <v>29</v>
      </c>
      <c r="B63" s="385" t="s">
        <v>3603</v>
      </c>
      <c r="C63" s="384" t="s">
        <v>3715</v>
      </c>
      <c r="D63" s="377" t="s">
        <v>3460</v>
      </c>
      <c r="E63" s="802">
        <v>5</v>
      </c>
      <c r="F63" s="406">
        <v>450</v>
      </c>
      <c r="G63" s="379">
        <v>2250</v>
      </c>
      <c r="H63" s="379">
        <v>1912.5</v>
      </c>
      <c r="I63" s="381">
        <v>0</v>
      </c>
      <c r="J63" s="380">
        <v>1912.5</v>
      </c>
      <c r="K63" s="843">
        <v>900</v>
      </c>
      <c r="L63" s="380">
        <v>1012.5</v>
      </c>
      <c r="M63" s="403" t="s">
        <v>1724</v>
      </c>
    </row>
    <row r="64" spans="1:13" ht="22.5" customHeight="1">
      <c r="A64" s="333">
        <v>30</v>
      </c>
      <c r="B64" s="385" t="s">
        <v>3603</v>
      </c>
      <c r="C64" s="384" t="s">
        <v>3716</v>
      </c>
      <c r="D64" s="376" t="s">
        <v>3460</v>
      </c>
      <c r="E64" s="802">
        <v>4</v>
      </c>
      <c r="F64" s="406">
        <v>450</v>
      </c>
      <c r="G64" s="379">
        <v>1800</v>
      </c>
      <c r="H64" s="379">
        <v>1530</v>
      </c>
      <c r="I64" s="381">
        <v>0</v>
      </c>
      <c r="J64" s="380">
        <v>1530</v>
      </c>
      <c r="K64" s="843">
        <v>720</v>
      </c>
      <c r="L64" s="380">
        <v>810</v>
      </c>
      <c r="M64" s="403" t="s">
        <v>1724</v>
      </c>
    </row>
    <row r="65" spans="1:13" ht="22.5" customHeight="1">
      <c r="A65" s="333">
        <v>31</v>
      </c>
      <c r="B65" s="385" t="s">
        <v>3603</v>
      </c>
      <c r="C65" s="384" t="s">
        <v>3717</v>
      </c>
      <c r="D65" s="376" t="s">
        <v>3460</v>
      </c>
      <c r="E65" s="802">
        <v>5</v>
      </c>
      <c r="F65" s="406">
        <v>450</v>
      </c>
      <c r="G65" s="379">
        <v>2250</v>
      </c>
      <c r="H65" s="379">
        <v>1912.5</v>
      </c>
      <c r="I65" s="381">
        <v>0</v>
      </c>
      <c r="J65" s="837">
        <v>1912.5</v>
      </c>
      <c r="K65" s="838">
        <v>900</v>
      </c>
      <c r="L65" s="380">
        <v>1012.5</v>
      </c>
      <c r="M65" s="403" t="s">
        <v>1724</v>
      </c>
    </row>
    <row r="66" spans="1:13" ht="22.5" customHeight="1">
      <c r="A66" s="333">
        <v>32</v>
      </c>
      <c r="B66" s="385" t="s">
        <v>3603</v>
      </c>
      <c r="C66" s="384" t="s">
        <v>3718</v>
      </c>
      <c r="D66" s="376" t="s">
        <v>3460</v>
      </c>
      <c r="E66" s="802">
        <v>5</v>
      </c>
      <c r="F66" s="406">
        <v>450</v>
      </c>
      <c r="G66" s="379">
        <v>2250</v>
      </c>
      <c r="H66" s="379">
        <v>1912.5</v>
      </c>
      <c r="I66" s="381">
        <v>0</v>
      </c>
      <c r="J66" s="837">
        <v>1912.5</v>
      </c>
      <c r="K66" s="838">
        <v>900</v>
      </c>
      <c r="L66" s="380">
        <v>1012.5</v>
      </c>
      <c r="M66" s="403" t="s">
        <v>1724</v>
      </c>
    </row>
    <row r="67" spans="1:13" ht="22.5" customHeight="1">
      <c r="A67" s="333"/>
      <c r="B67" s="385"/>
      <c r="C67" s="385"/>
      <c r="D67" s="376"/>
      <c r="E67" s="802"/>
      <c r="F67" s="379"/>
      <c r="G67" s="379"/>
      <c r="H67" s="379"/>
      <c r="I67" s="381"/>
      <c r="J67" s="837"/>
      <c r="K67" s="844"/>
      <c r="L67" s="380"/>
      <c r="M67" s="403"/>
    </row>
    <row r="68" spans="1:13" ht="22.5" customHeight="1">
      <c r="A68" s="451"/>
      <c r="B68" s="392" t="s">
        <v>26</v>
      </c>
      <c r="C68" s="451">
        <f t="array" ref="C68">COUNTA(C62:INDEX(C:C,ROW()-1))</f>
        <v>5</v>
      </c>
      <c r="D68" s="451"/>
      <c r="E68" s="832">
        <f>SUM(Table140[])</f>
        <v>23.9</v>
      </c>
      <c r="F68" s="451"/>
      <c r="G68" s="451"/>
      <c r="H68" s="833">
        <f>SUM(H59:H67)</f>
        <v>9141.75</v>
      </c>
      <c r="I68" s="451"/>
      <c r="J68" s="834"/>
      <c r="K68" s="839">
        <f>SUM(Table141[COST PER PC])</f>
        <v>4302</v>
      </c>
      <c r="L68" s="1007">
        <f>SUM(L62:L67)</f>
        <v>4839.75</v>
      </c>
      <c r="M68" s="932"/>
    </row>
    <row r="69" spans="1:13" ht="16.8">
      <c r="A69" s="331"/>
      <c r="B69" s="840"/>
      <c r="C69" s="331"/>
      <c r="D69" s="331"/>
      <c r="E69" s="334"/>
      <c r="F69" s="331"/>
      <c r="G69" s="331"/>
      <c r="H69" s="841"/>
      <c r="I69" s="331"/>
      <c r="J69" s="841"/>
      <c r="K69" s="842"/>
      <c r="L69" s="841"/>
      <c r="M69" s="841"/>
    </row>
    <row r="70" spans="1:13" ht="16.8">
      <c r="A70" s="331"/>
      <c r="B70" s="840"/>
      <c r="C70" s="331"/>
      <c r="D70" s="331"/>
      <c r="E70" s="334"/>
      <c r="F70" s="331"/>
      <c r="G70" s="331"/>
      <c r="H70" s="841"/>
      <c r="I70" s="331"/>
      <c r="J70" s="841"/>
      <c r="K70" s="842"/>
      <c r="L70" s="841"/>
      <c r="M70" s="841"/>
    </row>
    <row r="71" spans="1:13" ht="16.8">
      <c r="A71" s="331"/>
      <c r="B71" s="840"/>
      <c r="C71" s="331"/>
      <c r="D71" s="331"/>
      <c r="E71" s="334"/>
      <c r="F71" s="331"/>
      <c r="G71" s="331"/>
      <c r="H71" s="841"/>
      <c r="I71" s="331"/>
      <c r="J71" s="841"/>
      <c r="K71" s="842"/>
      <c r="L71" s="841"/>
      <c r="M71" s="841"/>
    </row>
    <row r="72" spans="1:13" ht="16.8">
      <c r="A72" s="331"/>
      <c r="B72" s="840"/>
      <c r="C72" s="331"/>
      <c r="D72" s="331"/>
      <c r="E72" s="334"/>
      <c r="F72" s="331"/>
      <c r="G72" s="331"/>
      <c r="H72" s="841"/>
      <c r="I72" s="331"/>
      <c r="J72" s="841"/>
      <c r="K72" s="842"/>
      <c r="L72" s="841"/>
      <c r="M72" s="841"/>
    </row>
    <row r="73" spans="1:13" ht="16.8">
      <c r="A73" s="331"/>
      <c r="B73" s="840"/>
      <c r="C73" s="331"/>
      <c r="D73" s="331"/>
      <c r="E73" s="334"/>
      <c r="F73" s="331"/>
      <c r="G73" s="331"/>
      <c r="H73" s="841"/>
      <c r="I73" s="331"/>
      <c r="J73" s="841"/>
      <c r="K73" s="842"/>
      <c r="L73" s="841"/>
      <c r="M73" s="841"/>
    </row>
  </sheetData>
  <mergeCells count="31">
    <mergeCell ref="L56:M56"/>
    <mergeCell ref="A59:M60"/>
    <mergeCell ref="L68:M68"/>
    <mergeCell ref="F3:G3"/>
    <mergeCell ref="F4:G4"/>
    <mergeCell ref="F8:G8"/>
    <mergeCell ref="F17:H17"/>
    <mergeCell ref="F18:H18"/>
    <mergeCell ref="F19:H19"/>
    <mergeCell ref="F20:H20"/>
    <mergeCell ref="F21:H21"/>
    <mergeCell ref="L22:M22"/>
    <mergeCell ref="A26:M27"/>
    <mergeCell ref="L43:M43"/>
    <mergeCell ref="A46:M47"/>
    <mergeCell ref="A4:C4"/>
    <mergeCell ref="A7:C7"/>
    <mergeCell ref="A13:M14"/>
    <mergeCell ref="A5:C5"/>
    <mergeCell ref="F5:G5"/>
    <mergeCell ref="I5:J6"/>
    <mergeCell ref="K5:L6"/>
    <mergeCell ref="A6:C6"/>
    <mergeCell ref="F6:G6"/>
    <mergeCell ref="F7:G7"/>
    <mergeCell ref="A1:D1"/>
    <mergeCell ref="F1:H1"/>
    <mergeCell ref="A2:C2"/>
    <mergeCell ref="F2:G2"/>
    <mergeCell ref="I2:M3"/>
    <mergeCell ref="A3:C3"/>
  </mergeCells>
  <dataValidations count="1">
    <dataValidation type="custom" allowBlank="1" showDropDown="1" sqref="K16:K21 E16:E21 E29:E42 K29:K42 E49:E55 K49:K55 E62:E67 K62:K67" xr:uid="{00000000-0002-0000-0F00-000000000000}">
      <formula1>AND(ISNUMBER(E16),(NOT(OR(NOT(ISERROR(DATEVALUE(E16))), AND(ISNUMBER(E16), LEFT(CELL("format", E16))="D")))))</formula1>
    </dataValidation>
  </dataValidation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  <outlinePr summaryBelow="0" summaryRight="0"/>
  </sheetPr>
  <dimension ref="A1:N35"/>
  <sheetViews>
    <sheetView workbookViewId="0"/>
  </sheetViews>
  <sheetFormatPr defaultColWidth="12.6640625" defaultRowHeight="15.75" customHeight="1"/>
  <cols>
    <col min="1" max="1" width="32.33203125" customWidth="1"/>
    <col min="5" max="5" width="10.88671875" customWidth="1"/>
    <col min="8" max="8" width="13.109375" customWidth="1"/>
    <col min="9" max="9" width="14.77734375" customWidth="1"/>
    <col min="11" max="11" width="14.33203125" customWidth="1"/>
    <col min="12" max="12" width="14.88671875" customWidth="1"/>
  </cols>
  <sheetData>
    <row r="1" spans="1:14">
      <c r="A1" s="718" t="s">
        <v>2</v>
      </c>
      <c r="B1" s="719" t="s">
        <v>99</v>
      </c>
      <c r="C1" s="719" t="s">
        <v>100</v>
      </c>
      <c r="D1" s="719" t="s">
        <v>101</v>
      </c>
      <c r="E1" s="719" t="s">
        <v>102</v>
      </c>
      <c r="F1" s="719" t="s">
        <v>103</v>
      </c>
      <c r="G1" s="719" t="s">
        <v>104</v>
      </c>
      <c r="H1" s="720" t="s">
        <v>105</v>
      </c>
      <c r="I1" s="720" t="s">
        <v>106</v>
      </c>
      <c r="J1" s="719" t="s">
        <v>107</v>
      </c>
      <c r="K1" s="845" t="s">
        <v>2457</v>
      </c>
      <c r="L1" s="721" t="s">
        <v>2455</v>
      </c>
      <c r="M1" s="721" t="s">
        <v>3098</v>
      </c>
      <c r="N1" s="721" t="s">
        <v>2456</v>
      </c>
    </row>
    <row r="2" spans="1:14" ht="15.75" customHeight="1">
      <c r="A2" s="723" t="s">
        <v>3719</v>
      </c>
      <c r="B2" s="846"/>
      <c r="C2" s="846"/>
      <c r="D2" s="846"/>
      <c r="E2" s="846"/>
      <c r="F2" s="846"/>
      <c r="G2" s="846"/>
      <c r="H2" s="847"/>
      <c r="I2" s="725"/>
      <c r="J2" s="724"/>
      <c r="K2" s="848"/>
      <c r="L2" s="726"/>
      <c r="M2" s="726"/>
      <c r="N2" s="726"/>
    </row>
    <row r="3" spans="1:14" ht="15.75" customHeight="1">
      <c r="A3" s="849" t="s">
        <v>32</v>
      </c>
      <c r="B3" s="850">
        <v>10</v>
      </c>
      <c r="C3" s="851">
        <f>'EMBROIDERY - SOLD'!C16</f>
        <v>0</v>
      </c>
      <c r="D3" s="852">
        <f t="shared" ref="D3:D30" si="0">B3-C3-F3</f>
        <v>10</v>
      </c>
      <c r="E3" s="852">
        <f t="shared" ref="E3:E30" si="1">D3+F3</f>
        <v>10</v>
      </c>
      <c r="F3" s="852"/>
      <c r="G3" s="853"/>
      <c r="H3" s="853"/>
      <c r="I3" s="731"/>
      <c r="J3" s="731"/>
      <c r="K3" s="854">
        <v>15672.5</v>
      </c>
      <c r="L3" s="732">
        <f>'EMBROIDERY - ALL'!I25</f>
        <v>15672.5</v>
      </c>
      <c r="M3" s="732">
        <f>'EMBROIDERY - SOLD'!K16</f>
        <v>0</v>
      </c>
      <c r="N3" s="732"/>
    </row>
    <row r="4" spans="1:14" ht="15.75" customHeight="1">
      <c r="A4" s="177" t="s">
        <v>65</v>
      </c>
      <c r="B4" s="855">
        <v>5</v>
      </c>
      <c r="C4" s="178">
        <f>'EMBROIDERY - SOLD'!C23</f>
        <v>2</v>
      </c>
      <c r="D4" s="852">
        <f t="shared" si="0"/>
        <v>3</v>
      </c>
      <c r="E4" s="852">
        <f t="shared" si="1"/>
        <v>3</v>
      </c>
      <c r="F4" s="178"/>
      <c r="G4" s="180"/>
      <c r="H4" s="180"/>
      <c r="I4" s="220"/>
      <c r="J4" s="220"/>
      <c r="K4" s="182">
        <v>35185</v>
      </c>
      <c r="L4" s="223">
        <f>'EMBROIDERY - ALL'!I34</f>
        <v>22855</v>
      </c>
      <c r="M4" s="223">
        <f>'EMBROIDERY - SOLD'!K23</f>
        <v>12330</v>
      </c>
      <c r="N4" s="735"/>
    </row>
    <row r="5" spans="1:14" ht="15.75" customHeight="1">
      <c r="A5" s="849" t="s">
        <v>66</v>
      </c>
      <c r="B5" s="850">
        <v>5</v>
      </c>
      <c r="C5" s="852">
        <f>'EMBROIDERY - SOLD'!C32</f>
        <v>0</v>
      </c>
      <c r="D5" s="852">
        <f t="shared" si="0"/>
        <v>5</v>
      </c>
      <c r="E5" s="852">
        <f t="shared" si="1"/>
        <v>5</v>
      </c>
      <c r="F5" s="852"/>
      <c r="G5" s="853"/>
      <c r="H5" s="853"/>
      <c r="I5" s="731"/>
      <c r="J5" s="731"/>
      <c r="K5" s="854">
        <v>18920</v>
      </c>
      <c r="L5" s="732">
        <f>'EMBROIDERY - ALL'!I45</f>
        <v>18920</v>
      </c>
      <c r="M5" s="732">
        <f>'EMBROIDERY - SOLD'!J32</f>
        <v>0</v>
      </c>
      <c r="N5" s="732"/>
    </row>
    <row r="6" spans="1:14" ht="15.75" customHeight="1">
      <c r="A6" s="177" t="s">
        <v>67</v>
      </c>
      <c r="B6" s="850">
        <v>13</v>
      </c>
      <c r="C6" s="178">
        <f>'EMBROIDERY - SOLD'!C41</f>
        <v>1</v>
      </c>
      <c r="D6" s="852">
        <f t="shared" si="0"/>
        <v>12</v>
      </c>
      <c r="E6" s="852">
        <f t="shared" si="1"/>
        <v>12</v>
      </c>
      <c r="F6" s="178"/>
      <c r="G6" s="853"/>
      <c r="H6" s="180"/>
      <c r="I6" s="220"/>
      <c r="J6" s="220"/>
      <c r="K6" s="856">
        <v>112605</v>
      </c>
      <c r="L6" s="857">
        <f>'EMBROIDERY - ALL'!I63</f>
        <v>103903</v>
      </c>
      <c r="M6" s="857">
        <f>'EMBROIDERY - SOLD'!J41</f>
        <v>5725</v>
      </c>
      <c r="N6" s="223"/>
    </row>
    <row r="7" spans="1:14" ht="15.75" customHeight="1">
      <c r="A7" s="858" t="s">
        <v>68</v>
      </c>
      <c r="B7" s="859">
        <v>11</v>
      </c>
      <c r="C7" s="860">
        <f>'EMBROIDERY - SOLD'!C50</f>
        <v>3</v>
      </c>
      <c r="D7" s="852">
        <f t="shared" si="0"/>
        <v>8</v>
      </c>
      <c r="E7" s="852">
        <f t="shared" si="1"/>
        <v>8</v>
      </c>
      <c r="F7" s="860"/>
      <c r="G7" s="861"/>
      <c r="H7" s="861"/>
      <c r="I7" s="214"/>
      <c r="J7" s="214"/>
      <c r="K7" s="862">
        <v>29217.5</v>
      </c>
      <c r="L7" s="217">
        <f>'EMBROIDERY - ALL'!I77</f>
        <v>21279.5</v>
      </c>
      <c r="M7" s="217">
        <f>'EMBROIDERY - SOLD'!J50</f>
        <v>7938</v>
      </c>
      <c r="N7" s="217"/>
    </row>
    <row r="8" spans="1:14" ht="15.75" customHeight="1">
      <c r="A8" s="858" t="s">
        <v>69</v>
      </c>
      <c r="B8" s="859">
        <v>6</v>
      </c>
      <c r="C8" s="860">
        <f>'EMBROIDERY - SOLD'!C59</f>
        <v>0</v>
      </c>
      <c r="D8" s="852">
        <f t="shared" si="0"/>
        <v>6</v>
      </c>
      <c r="E8" s="852">
        <f t="shared" si="1"/>
        <v>6</v>
      </c>
      <c r="F8" s="860"/>
      <c r="G8" s="861"/>
      <c r="H8" s="861"/>
      <c r="I8" s="214"/>
      <c r="J8" s="214"/>
      <c r="K8" s="862">
        <v>5700</v>
      </c>
      <c r="L8" s="217">
        <f>'EMBROIDERY - ALL'!I89</f>
        <v>5700</v>
      </c>
      <c r="M8" s="217">
        <f>'EMBROIDERY - SOLD'!J59</f>
        <v>0</v>
      </c>
      <c r="N8" s="217"/>
    </row>
    <row r="9" spans="1:14" ht="15.75" customHeight="1">
      <c r="A9" s="858" t="s">
        <v>70</v>
      </c>
      <c r="B9" s="859">
        <v>4</v>
      </c>
      <c r="C9" s="860">
        <f>'EMBROIDERY - SOLD'!C68</f>
        <v>0</v>
      </c>
      <c r="D9" s="852">
        <f t="shared" si="0"/>
        <v>4</v>
      </c>
      <c r="E9" s="852">
        <f t="shared" si="1"/>
        <v>4</v>
      </c>
      <c r="F9" s="860"/>
      <c r="G9" s="861"/>
      <c r="H9" s="861"/>
      <c r="I9" s="214"/>
      <c r="J9" s="214"/>
      <c r="K9" s="862">
        <v>10080</v>
      </c>
      <c r="L9" s="217">
        <f>'EMBROIDERY - ALL'!I99</f>
        <v>10080</v>
      </c>
      <c r="M9" s="217">
        <f>'EMBROIDERY - SOLD'!J68</f>
        <v>0</v>
      </c>
      <c r="N9" s="217"/>
    </row>
    <row r="10" spans="1:14" ht="15.75" customHeight="1">
      <c r="A10" s="858" t="s">
        <v>71</v>
      </c>
      <c r="B10" s="859">
        <v>15</v>
      </c>
      <c r="C10" s="860">
        <f>'EMBROIDERY - SOLD'!C77</f>
        <v>0</v>
      </c>
      <c r="D10" s="852">
        <f t="shared" si="0"/>
        <v>15</v>
      </c>
      <c r="E10" s="852">
        <f t="shared" si="1"/>
        <v>15</v>
      </c>
      <c r="F10" s="860"/>
      <c r="G10" s="861"/>
      <c r="H10" s="861"/>
      <c r="I10" s="214"/>
      <c r="J10" s="214"/>
      <c r="K10" s="862">
        <v>26207</v>
      </c>
      <c r="L10" s="217">
        <f>'EMBROIDERY - ALL'!I120</f>
        <v>26207</v>
      </c>
      <c r="M10" s="217">
        <f>'EMBROIDERY - SOLD'!J77</f>
        <v>0</v>
      </c>
      <c r="N10" s="217"/>
    </row>
    <row r="11" spans="1:14" ht="15.75" customHeight="1">
      <c r="A11" s="858" t="s">
        <v>72</v>
      </c>
      <c r="B11" s="859">
        <v>16</v>
      </c>
      <c r="C11" s="860">
        <f>'EMBROIDERY - SOLD'!C86</f>
        <v>0</v>
      </c>
      <c r="D11" s="852">
        <f t="shared" si="0"/>
        <v>16</v>
      </c>
      <c r="E11" s="852">
        <f t="shared" si="1"/>
        <v>16</v>
      </c>
      <c r="F11" s="860"/>
      <c r="G11" s="861"/>
      <c r="H11" s="861"/>
      <c r="I11" s="214"/>
      <c r="J11" s="214"/>
      <c r="K11" s="862">
        <v>15503.5</v>
      </c>
      <c r="L11" s="217">
        <f>'EMBROIDERY - ALL'!I142</f>
        <v>15503.5</v>
      </c>
      <c r="M11" s="217">
        <f>'EMBROIDERY - SOLD'!J86</f>
        <v>0</v>
      </c>
      <c r="N11" s="217"/>
    </row>
    <row r="12" spans="1:14" ht="15.75" customHeight="1">
      <c r="A12" s="858" t="s">
        <v>73</v>
      </c>
      <c r="B12" s="859">
        <v>12</v>
      </c>
      <c r="C12" s="860">
        <f>'EMBROIDERY - SOLD'!C95</f>
        <v>0</v>
      </c>
      <c r="D12" s="852">
        <f t="shared" si="0"/>
        <v>12</v>
      </c>
      <c r="E12" s="852">
        <f t="shared" si="1"/>
        <v>12</v>
      </c>
      <c r="F12" s="860"/>
      <c r="G12" s="861"/>
      <c r="H12" s="861"/>
      <c r="I12" s="214"/>
      <c r="J12" s="214"/>
      <c r="K12" s="862">
        <v>73370</v>
      </c>
      <c r="L12" s="217">
        <f>'EMBROIDERY - ALL'!I160</f>
        <v>73370</v>
      </c>
      <c r="M12" s="217">
        <f>'EMBROIDERY - SOLD'!J95</f>
        <v>0</v>
      </c>
      <c r="N12" s="217"/>
    </row>
    <row r="13" spans="1:14" ht="15.75" customHeight="1">
      <c r="A13" s="858" t="s">
        <v>74</v>
      </c>
      <c r="B13" s="859">
        <v>44</v>
      </c>
      <c r="C13" s="860">
        <f>'EMBROIDERY - SOLD'!C103</f>
        <v>0</v>
      </c>
      <c r="D13" s="852">
        <f t="shared" si="0"/>
        <v>44</v>
      </c>
      <c r="E13" s="852">
        <f t="shared" si="1"/>
        <v>44</v>
      </c>
      <c r="F13" s="860"/>
      <c r="G13" s="861"/>
      <c r="H13" s="861"/>
      <c r="I13" s="214"/>
      <c r="J13" s="214"/>
      <c r="K13" s="862">
        <v>98559</v>
      </c>
      <c r="L13" s="217">
        <f>'EMBROIDERY - ALL'!I210</f>
        <v>98559</v>
      </c>
      <c r="M13" s="217">
        <f>'EMBROIDERY - SOLD'!J103</f>
        <v>0</v>
      </c>
      <c r="N13" s="217"/>
    </row>
    <row r="14" spans="1:14" ht="15.75" customHeight="1">
      <c r="A14" s="858" t="s">
        <v>75</v>
      </c>
      <c r="B14" s="859">
        <v>9</v>
      </c>
      <c r="C14" s="860">
        <f>'EMBROIDERY - SOLD'!C111</f>
        <v>0</v>
      </c>
      <c r="D14" s="852">
        <f t="shared" si="0"/>
        <v>9</v>
      </c>
      <c r="E14" s="852">
        <f t="shared" si="1"/>
        <v>9</v>
      </c>
      <c r="F14" s="860"/>
      <c r="G14" s="861"/>
      <c r="H14" s="861"/>
      <c r="I14" s="214"/>
      <c r="J14" s="214"/>
      <c r="K14" s="862">
        <v>44475</v>
      </c>
      <c r="L14" s="217">
        <f>'EMBROIDERY - ALL'!I225</f>
        <v>44475</v>
      </c>
      <c r="M14" s="217">
        <f>'EMBROIDERY - SOLD'!J111</f>
        <v>0</v>
      </c>
      <c r="N14" s="217"/>
    </row>
    <row r="15" spans="1:14" ht="15.75" customHeight="1">
      <c r="A15" s="858" t="s">
        <v>76</v>
      </c>
      <c r="B15" s="859">
        <v>14</v>
      </c>
      <c r="C15" s="860">
        <f>'EMBROIDERY - SOLD'!C120</f>
        <v>0</v>
      </c>
      <c r="D15" s="852">
        <f t="shared" si="0"/>
        <v>14</v>
      </c>
      <c r="E15" s="852">
        <f t="shared" si="1"/>
        <v>14</v>
      </c>
      <c r="F15" s="860"/>
      <c r="G15" s="861"/>
      <c r="H15" s="861"/>
      <c r="I15" s="214"/>
      <c r="J15" s="214"/>
      <c r="K15" s="862">
        <v>25584</v>
      </c>
      <c r="L15" s="217">
        <f>'EMBROIDERY - ALL'!I245</f>
        <v>25583.999999999996</v>
      </c>
      <c r="M15" s="217">
        <f>'EMBROIDERY - SOLD'!J120</f>
        <v>0</v>
      </c>
      <c r="N15" s="217"/>
    </row>
    <row r="16" spans="1:14" ht="15.75" customHeight="1">
      <c r="A16" s="858" t="s">
        <v>77</v>
      </c>
      <c r="B16" s="859">
        <v>23</v>
      </c>
      <c r="C16" s="860">
        <f>'EMBROIDERY - SOLD'!C129</f>
        <v>0</v>
      </c>
      <c r="D16" s="852">
        <f t="shared" si="0"/>
        <v>23</v>
      </c>
      <c r="E16" s="852">
        <f t="shared" si="1"/>
        <v>23</v>
      </c>
      <c r="F16" s="860"/>
      <c r="G16" s="861"/>
      <c r="H16" s="861"/>
      <c r="I16" s="214"/>
      <c r="J16" s="214"/>
      <c r="K16" s="862">
        <v>104627.5</v>
      </c>
      <c r="L16" s="217">
        <f>'EMBROIDERY - ALL'!I274</f>
        <v>104627.5</v>
      </c>
      <c r="M16" s="217">
        <f>'EMBROIDERY - SOLD'!J129</f>
        <v>0</v>
      </c>
      <c r="N16" s="217"/>
    </row>
    <row r="17" spans="1:14" ht="15.75" customHeight="1">
      <c r="A17" s="858" t="s">
        <v>78</v>
      </c>
      <c r="B17" s="859">
        <v>13</v>
      </c>
      <c r="C17" s="860">
        <f>'EMBROIDERY - SOLD'!C139</f>
        <v>0</v>
      </c>
      <c r="D17" s="852">
        <f t="shared" si="0"/>
        <v>13</v>
      </c>
      <c r="E17" s="852">
        <f t="shared" si="1"/>
        <v>13</v>
      </c>
      <c r="F17" s="860"/>
      <c r="G17" s="861"/>
      <c r="H17" s="861"/>
      <c r="I17" s="214"/>
      <c r="J17" s="214"/>
      <c r="K17" s="862">
        <v>38585</v>
      </c>
      <c r="L17" s="217">
        <f>'EMBROIDERY - ALL'!I293</f>
        <v>38585</v>
      </c>
      <c r="M17" s="217">
        <f>'EMBROIDERY - SOLD'!J139</f>
        <v>0</v>
      </c>
      <c r="N17" s="217"/>
    </row>
    <row r="18" spans="1:14" ht="15.75" customHeight="1">
      <c r="A18" s="858" t="s">
        <v>79</v>
      </c>
      <c r="B18" s="859">
        <v>6</v>
      </c>
      <c r="C18" s="860">
        <f>'EMBROIDERY - SOLD'!C148</f>
        <v>0</v>
      </c>
      <c r="D18" s="852">
        <f t="shared" si="0"/>
        <v>6</v>
      </c>
      <c r="E18" s="852">
        <f t="shared" si="1"/>
        <v>6</v>
      </c>
      <c r="F18" s="860"/>
      <c r="G18" s="861"/>
      <c r="H18" s="861"/>
      <c r="I18" s="214"/>
      <c r="J18" s="214"/>
      <c r="K18" s="862">
        <v>6000</v>
      </c>
      <c r="L18" s="217">
        <f>'EMBROIDERY - ALL'!I305</f>
        <v>6000</v>
      </c>
      <c r="M18" s="217">
        <f>'EMBROIDERY - SOLD'!J148</f>
        <v>0</v>
      </c>
      <c r="N18" s="217"/>
    </row>
    <row r="19" spans="1:14" ht="15.75" customHeight="1">
      <c r="A19" s="858" t="s">
        <v>80</v>
      </c>
      <c r="B19" s="859">
        <v>7</v>
      </c>
      <c r="C19" s="860">
        <f>'EMBROIDERY - SOLD'!C157</f>
        <v>0</v>
      </c>
      <c r="D19" s="852">
        <f t="shared" si="0"/>
        <v>7</v>
      </c>
      <c r="E19" s="852">
        <f t="shared" si="1"/>
        <v>7</v>
      </c>
      <c r="F19" s="860"/>
      <c r="G19" s="861"/>
      <c r="H19" s="861"/>
      <c r="I19" s="214"/>
      <c r="J19" s="214"/>
      <c r="K19" s="862">
        <v>37700.5</v>
      </c>
      <c r="L19" s="217">
        <f>'EMBROIDERY - ALL'!I317</f>
        <v>37700.5</v>
      </c>
      <c r="M19" s="217">
        <f>'EMBROIDERY - SOLD'!J157</f>
        <v>0</v>
      </c>
      <c r="N19" s="217"/>
    </row>
    <row r="20" spans="1:14" ht="15.75" customHeight="1">
      <c r="A20" s="858" t="s">
        <v>37</v>
      </c>
      <c r="B20" s="859">
        <v>14</v>
      </c>
      <c r="C20" s="860">
        <f>'EMBROIDERY - SOLD'!C167</f>
        <v>0</v>
      </c>
      <c r="D20" s="852">
        <f t="shared" si="0"/>
        <v>14</v>
      </c>
      <c r="E20" s="852">
        <f t="shared" si="1"/>
        <v>14</v>
      </c>
      <c r="F20" s="860"/>
      <c r="G20" s="861"/>
      <c r="H20" s="861"/>
      <c r="I20" s="214"/>
      <c r="J20" s="214"/>
      <c r="K20" s="862">
        <v>10692.5</v>
      </c>
      <c r="L20" s="217">
        <f>'EMBROIDERY - ALL'!I337</f>
        <v>10692.5</v>
      </c>
      <c r="M20" s="217">
        <f>'EMBROIDERY - SOLD'!J167</f>
        <v>0</v>
      </c>
      <c r="N20" s="217"/>
    </row>
    <row r="21" spans="1:14" ht="15.75" customHeight="1">
      <c r="A21" s="858" t="s">
        <v>81</v>
      </c>
      <c r="B21" s="859">
        <v>3</v>
      </c>
      <c r="C21" s="860">
        <f>'EMBROIDERY - SOLD'!C176</f>
        <v>0</v>
      </c>
      <c r="D21" s="852">
        <f t="shared" si="0"/>
        <v>3</v>
      </c>
      <c r="E21" s="852">
        <f t="shared" si="1"/>
        <v>3</v>
      </c>
      <c r="F21" s="860"/>
      <c r="G21" s="861"/>
      <c r="H21" s="861"/>
      <c r="I21" s="214"/>
      <c r="J21" s="214"/>
      <c r="K21" s="862">
        <v>6710</v>
      </c>
      <c r="L21" s="217">
        <f>'EMBROIDERY - ALL'!I346</f>
        <v>6710</v>
      </c>
      <c r="M21" s="217">
        <f>'EMBROIDERY - SOLD'!J176</f>
        <v>0</v>
      </c>
      <c r="N21" s="217"/>
    </row>
    <row r="22" spans="1:14" ht="15.75" customHeight="1">
      <c r="A22" s="858" t="s">
        <v>82</v>
      </c>
      <c r="B22" s="859">
        <v>10</v>
      </c>
      <c r="C22" s="860">
        <f>'EMBROIDERY - SOLD'!C185</f>
        <v>0</v>
      </c>
      <c r="D22" s="852">
        <f t="shared" si="0"/>
        <v>10</v>
      </c>
      <c r="E22" s="852">
        <f t="shared" si="1"/>
        <v>10</v>
      </c>
      <c r="F22" s="860"/>
      <c r="G22" s="861"/>
      <c r="H22" s="861"/>
      <c r="I22" s="214"/>
      <c r="J22" s="214"/>
      <c r="K22" s="862">
        <v>42090</v>
      </c>
      <c r="L22" s="217">
        <f>'EMBROIDERY - ALL'!I362</f>
        <v>42090</v>
      </c>
      <c r="M22" s="217">
        <f>'EMBROIDERY - SOLD'!J185</f>
        <v>0</v>
      </c>
      <c r="N22" s="217"/>
    </row>
    <row r="23" spans="1:14" ht="15.75" customHeight="1">
      <c r="A23" s="858" t="s">
        <v>83</v>
      </c>
      <c r="B23" s="859">
        <v>10</v>
      </c>
      <c r="C23" s="860">
        <f>'EMBROIDERY - SOLD'!C194</f>
        <v>1</v>
      </c>
      <c r="D23" s="852">
        <f t="shared" si="0"/>
        <v>9</v>
      </c>
      <c r="E23" s="852">
        <f t="shared" si="1"/>
        <v>9</v>
      </c>
      <c r="F23" s="860"/>
      <c r="G23" s="861"/>
      <c r="H23" s="861"/>
      <c r="I23" s="214"/>
      <c r="J23" s="214"/>
      <c r="K23" s="862">
        <v>39892.5</v>
      </c>
      <c r="L23" s="217">
        <f>'EMBROIDERY - ALL'!I377</f>
        <v>34012.5</v>
      </c>
      <c r="M23" s="217">
        <f>'EMBROIDERY - SOLD'!J194</f>
        <v>5880</v>
      </c>
      <c r="N23" s="217"/>
    </row>
    <row r="24" spans="1:14" ht="15.75" customHeight="1">
      <c r="A24" s="858" t="s">
        <v>84</v>
      </c>
      <c r="B24" s="859">
        <v>8</v>
      </c>
      <c r="C24" s="860">
        <f>'EMBROIDERY - SOLD'!C203</f>
        <v>0</v>
      </c>
      <c r="D24" s="852">
        <f t="shared" si="0"/>
        <v>8</v>
      </c>
      <c r="E24" s="852">
        <f t="shared" si="1"/>
        <v>8</v>
      </c>
      <c r="F24" s="860"/>
      <c r="G24" s="861"/>
      <c r="H24" s="861"/>
      <c r="I24" s="214"/>
      <c r="J24" s="214"/>
      <c r="K24" s="862">
        <v>24500</v>
      </c>
      <c r="L24" s="217">
        <f>'EMBROIDERY - ALL'!I391</f>
        <v>24500</v>
      </c>
      <c r="M24" s="217">
        <f>'EMBROIDERY - SOLD'!J203</f>
        <v>0</v>
      </c>
      <c r="N24" s="217"/>
    </row>
    <row r="25" spans="1:14" ht="15.75" customHeight="1">
      <c r="A25" s="858" t="s">
        <v>85</v>
      </c>
      <c r="B25" s="859">
        <v>7</v>
      </c>
      <c r="C25" s="860">
        <f>'EMBROIDERY - SOLD'!C212</f>
        <v>0</v>
      </c>
      <c r="D25" s="852">
        <f t="shared" si="0"/>
        <v>7</v>
      </c>
      <c r="E25" s="852">
        <f t="shared" si="1"/>
        <v>7</v>
      </c>
      <c r="F25" s="860"/>
      <c r="G25" s="861"/>
      <c r="H25" s="861"/>
      <c r="I25" s="214"/>
      <c r="J25" s="214"/>
      <c r="K25" s="862">
        <v>28505</v>
      </c>
      <c r="L25" s="217">
        <f>'EMBROIDERY - ALL'!I404</f>
        <v>28505</v>
      </c>
      <c r="M25" s="217">
        <f>'EMBROIDERY - SOLD'!J212</f>
        <v>0</v>
      </c>
      <c r="N25" s="217"/>
    </row>
    <row r="26" spans="1:14" ht="15.75" customHeight="1">
      <c r="A26" s="858" t="s">
        <v>86</v>
      </c>
      <c r="B26" s="859">
        <v>5</v>
      </c>
      <c r="C26" s="860">
        <f>'EMBROIDERY - SOLD'!C222</f>
        <v>0</v>
      </c>
      <c r="D26" s="852">
        <f t="shared" si="0"/>
        <v>5</v>
      </c>
      <c r="E26" s="852">
        <f t="shared" si="1"/>
        <v>5</v>
      </c>
      <c r="F26" s="860"/>
      <c r="G26" s="861"/>
      <c r="H26" s="861"/>
      <c r="I26" s="214"/>
      <c r="J26" s="214"/>
      <c r="K26" s="862">
        <v>11250</v>
      </c>
      <c r="L26" s="217">
        <f>'EMBROIDERY - ALL'!I415</f>
        <v>11250</v>
      </c>
      <c r="M26" s="217">
        <f>'EMBROIDERY - SOLD'!J222</f>
        <v>0</v>
      </c>
      <c r="N26" s="217"/>
    </row>
    <row r="27" spans="1:14" ht="16.2">
      <c r="A27" s="858" t="s">
        <v>87</v>
      </c>
      <c r="B27" s="859">
        <v>3</v>
      </c>
      <c r="C27" s="860">
        <f>'EMBROIDERY - SOLD'!C231</f>
        <v>0</v>
      </c>
      <c r="D27" s="852">
        <f t="shared" si="0"/>
        <v>3</v>
      </c>
      <c r="E27" s="852">
        <f t="shared" si="1"/>
        <v>3</v>
      </c>
      <c r="F27" s="860"/>
      <c r="G27" s="861"/>
      <c r="H27" s="861"/>
      <c r="I27" s="214"/>
      <c r="J27" s="214"/>
      <c r="K27" s="862">
        <v>7425</v>
      </c>
      <c r="L27" s="217">
        <f>'EMBROIDERY - ALL'!I424</f>
        <v>7425</v>
      </c>
      <c r="M27" s="217">
        <f>'EMBROIDERY - SOLD'!J231</f>
        <v>0</v>
      </c>
      <c r="N27" s="217"/>
    </row>
    <row r="28" spans="1:14" ht="16.2">
      <c r="A28" s="858" t="s">
        <v>88</v>
      </c>
      <c r="B28" s="859">
        <v>4</v>
      </c>
      <c r="C28" s="860">
        <f>'EMBROIDERY - SOLD'!C240</f>
        <v>0</v>
      </c>
      <c r="D28" s="852">
        <f t="shared" si="0"/>
        <v>4</v>
      </c>
      <c r="E28" s="852">
        <f t="shared" si="1"/>
        <v>4</v>
      </c>
      <c r="F28" s="860"/>
      <c r="G28" s="861"/>
      <c r="H28" s="861"/>
      <c r="I28" s="214"/>
      <c r="J28" s="214"/>
      <c r="K28" s="862">
        <v>3950</v>
      </c>
      <c r="L28" s="217">
        <f>'EMBROIDERY - ALL'!I434</f>
        <v>3950</v>
      </c>
      <c r="M28" s="217">
        <f>'EMBROIDERY - SOLD'!J240</f>
        <v>0</v>
      </c>
      <c r="N28" s="217"/>
    </row>
    <row r="29" spans="1:14" ht="16.2">
      <c r="A29" s="858" t="s">
        <v>89</v>
      </c>
      <c r="B29" s="859">
        <v>26</v>
      </c>
      <c r="C29" s="860">
        <f>'EMBROIDERY - SOLD'!C248</f>
        <v>3</v>
      </c>
      <c r="D29" s="852">
        <f t="shared" si="0"/>
        <v>23</v>
      </c>
      <c r="E29" s="852">
        <f t="shared" si="1"/>
        <v>23</v>
      </c>
      <c r="F29" s="860"/>
      <c r="G29" s="861"/>
      <c r="H29" s="861"/>
      <c r="I29" s="214"/>
      <c r="J29" s="214"/>
      <c r="K29" s="862">
        <v>58686</v>
      </c>
      <c r="L29" s="217">
        <f>'EMBROIDERY - ALL'!I462</f>
        <v>52614</v>
      </c>
      <c r="M29" s="217">
        <f>'EMBROIDERY - SOLD'!J248</f>
        <v>6072</v>
      </c>
      <c r="N29" s="217"/>
    </row>
    <row r="30" spans="1:14" ht="16.2">
      <c r="A30" s="858" t="s">
        <v>88</v>
      </c>
      <c r="B30" s="859">
        <v>14</v>
      </c>
      <c r="C30" s="860">
        <f>'EMBROIDERY - SOLD'!C257</f>
        <v>0</v>
      </c>
      <c r="D30" s="852">
        <f t="shared" si="0"/>
        <v>14</v>
      </c>
      <c r="E30" s="852">
        <f t="shared" si="1"/>
        <v>14</v>
      </c>
      <c r="F30" s="860"/>
      <c r="G30" s="861"/>
      <c r="H30" s="861"/>
      <c r="I30" s="214"/>
      <c r="J30" s="214"/>
      <c r="K30" s="862">
        <v>11320</v>
      </c>
      <c r="L30" s="217">
        <f>'EMBROIDERY - ALL'!I483</f>
        <v>11320</v>
      </c>
      <c r="M30" s="217">
        <f>'EMBROIDERY - SOLD'!J257</f>
        <v>0</v>
      </c>
      <c r="N30" s="217"/>
    </row>
    <row r="31" spans="1:14" ht="16.2">
      <c r="A31" s="737"/>
      <c r="B31" s="162"/>
      <c r="C31" s="162"/>
      <c r="D31" s="162"/>
      <c r="E31" s="162"/>
      <c r="F31" s="860"/>
      <c r="G31" s="861"/>
      <c r="H31" s="861"/>
      <c r="I31" s="214"/>
      <c r="J31" s="214"/>
      <c r="K31" s="862"/>
      <c r="L31" s="217"/>
      <c r="M31" s="217"/>
      <c r="N31" s="217"/>
    </row>
    <row r="32" spans="1:14" ht="16.2">
      <c r="A32" s="737"/>
      <c r="B32" s="162"/>
      <c r="C32" s="162"/>
      <c r="D32" s="162"/>
      <c r="E32" s="162"/>
      <c r="F32" s="162"/>
      <c r="G32" s="164"/>
      <c r="H32" s="164"/>
      <c r="I32" s="197"/>
      <c r="J32" s="197"/>
      <c r="K32" s="862"/>
      <c r="L32" s="201"/>
      <c r="M32" s="201"/>
      <c r="N32" s="201"/>
    </row>
    <row r="33" spans="1:14" ht="16.2">
      <c r="A33" s="737" t="s">
        <v>90</v>
      </c>
      <c r="B33" s="162">
        <f t="shared" ref="B33:N33" si="2">SUM(B3:B32)</f>
        <v>317</v>
      </c>
      <c r="C33" s="162">
        <f t="shared" si="2"/>
        <v>10</v>
      </c>
      <c r="D33" s="162">
        <f t="shared" si="2"/>
        <v>307</v>
      </c>
      <c r="E33" s="162">
        <f t="shared" si="2"/>
        <v>307</v>
      </c>
      <c r="F33" s="162">
        <f t="shared" si="2"/>
        <v>0</v>
      </c>
      <c r="G33" s="164">
        <f t="shared" si="2"/>
        <v>0</v>
      </c>
      <c r="H33" s="164">
        <f t="shared" si="2"/>
        <v>0</v>
      </c>
      <c r="I33" s="197">
        <f t="shared" si="2"/>
        <v>0</v>
      </c>
      <c r="J33" s="197">
        <f t="shared" si="2"/>
        <v>0</v>
      </c>
      <c r="K33" s="168">
        <f t="shared" si="2"/>
        <v>943012.5</v>
      </c>
      <c r="L33" s="201">
        <f t="shared" si="2"/>
        <v>902090.5</v>
      </c>
      <c r="M33" s="201">
        <f t="shared" si="2"/>
        <v>37945</v>
      </c>
      <c r="N33" s="201">
        <f t="shared" si="2"/>
        <v>0</v>
      </c>
    </row>
    <row r="34" spans="1:14" ht="16.2">
      <c r="A34" s="739"/>
      <c r="B34" s="178"/>
      <c r="C34" s="178"/>
      <c r="D34" s="178"/>
      <c r="E34" s="178"/>
      <c r="F34" s="178"/>
      <c r="G34" s="178"/>
      <c r="H34" s="180"/>
      <c r="I34" s="220"/>
      <c r="J34" s="219"/>
      <c r="K34" s="182"/>
      <c r="L34" s="223"/>
      <c r="M34" s="223"/>
      <c r="N34" s="223"/>
    </row>
    <row r="35" spans="1:14" ht="16.2">
      <c r="A35" s="740"/>
      <c r="B35" s="526"/>
      <c r="C35" s="526"/>
      <c r="D35" s="526"/>
      <c r="E35" s="526"/>
      <c r="F35" s="526"/>
      <c r="G35" s="526"/>
      <c r="H35" s="526"/>
      <c r="I35" s="740"/>
      <c r="J35" s="740"/>
      <c r="K35" s="526"/>
      <c r="L35" s="740"/>
      <c r="M35" s="740"/>
      <c r="N35" s="740"/>
    </row>
  </sheetData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00"/>
    <outlinePr summaryBelow="0" summaryRight="0"/>
  </sheetPr>
  <dimension ref="A1:N484"/>
  <sheetViews>
    <sheetView workbookViewId="0"/>
  </sheetViews>
  <sheetFormatPr defaultColWidth="12.6640625" defaultRowHeight="15.75" customHeight="1"/>
  <cols>
    <col min="1" max="1" width="4.44140625" customWidth="1"/>
    <col min="2" max="2" width="12.109375" customWidth="1"/>
    <col min="3" max="3" width="21.33203125" customWidth="1"/>
    <col min="4" max="4" width="26.21875" customWidth="1"/>
    <col min="5" max="5" width="7" customWidth="1"/>
    <col min="6" max="6" width="12" customWidth="1"/>
    <col min="7" max="7" width="11.88671875" customWidth="1"/>
    <col min="8" max="8" width="13.88671875" customWidth="1"/>
    <col min="9" max="9" width="16.44140625" customWidth="1"/>
    <col min="14" max="14" width="11.44140625" customWidth="1"/>
  </cols>
  <sheetData>
    <row r="1" spans="1:14" ht="13.8">
      <c r="A1" s="956" t="s">
        <v>146</v>
      </c>
      <c r="B1" s="931"/>
      <c r="C1" s="931"/>
      <c r="D1" s="932"/>
      <c r="E1" s="331"/>
      <c r="F1" s="959" t="s">
        <v>147</v>
      </c>
      <c r="G1" s="931"/>
      <c r="H1" s="932"/>
      <c r="I1" s="331"/>
      <c r="J1" s="331"/>
      <c r="K1" s="331"/>
      <c r="L1" s="331"/>
      <c r="M1" s="331"/>
      <c r="N1" s="346"/>
    </row>
    <row r="2" spans="1:14" ht="15.6">
      <c r="A2" s="956" t="s">
        <v>148</v>
      </c>
      <c r="B2" s="931"/>
      <c r="C2" s="932"/>
      <c r="D2" s="332" t="s">
        <v>149</v>
      </c>
      <c r="E2" s="331"/>
      <c r="F2" s="960" t="s">
        <v>150</v>
      </c>
      <c r="G2" s="932"/>
      <c r="H2" s="333"/>
      <c r="I2" s="961"/>
      <c r="J2" s="929"/>
      <c r="K2" s="929"/>
      <c r="L2" s="929"/>
      <c r="M2" s="929"/>
      <c r="N2" s="346"/>
    </row>
    <row r="3" spans="1:14" ht="15.6">
      <c r="A3" s="957" t="s">
        <v>26</v>
      </c>
      <c r="B3" s="931"/>
      <c r="C3" s="932"/>
      <c r="D3" s="335" t="s">
        <v>3720</v>
      </c>
      <c r="E3" s="331"/>
      <c r="F3" s="956" t="s">
        <v>153</v>
      </c>
      <c r="G3" s="932"/>
      <c r="H3" s="336" t="s">
        <v>3721</v>
      </c>
      <c r="I3" s="929"/>
      <c r="J3" s="929"/>
      <c r="K3" s="929"/>
      <c r="L3" s="929"/>
      <c r="M3" s="929"/>
      <c r="N3" s="346"/>
    </row>
    <row r="4" spans="1:14" ht="39.75" customHeight="1">
      <c r="A4" s="957"/>
      <c r="B4" s="931"/>
      <c r="C4" s="932"/>
      <c r="D4" s="337"/>
      <c r="E4" s="331"/>
      <c r="F4" s="957" t="s">
        <v>156</v>
      </c>
      <c r="G4" s="932"/>
      <c r="H4" s="333"/>
      <c r="I4" s="331"/>
      <c r="J4" s="331"/>
      <c r="K4" s="331"/>
      <c r="L4" s="331"/>
      <c r="M4" s="331"/>
      <c r="N4" s="346"/>
    </row>
    <row r="5" spans="1:14" ht="15.6">
      <c r="A5" s="957"/>
      <c r="B5" s="931"/>
      <c r="C5" s="932"/>
      <c r="D5" s="337"/>
      <c r="E5" s="331"/>
      <c r="F5" s="957" t="s">
        <v>158</v>
      </c>
      <c r="G5" s="932"/>
      <c r="H5" s="331"/>
      <c r="I5" s="346"/>
      <c r="J5" s="346"/>
      <c r="K5" s="346"/>
      <c r="L5" s="346"/>
      <c r="M5" s="331"/>
      <c r="N5" s="346"/>
    </row>
    <row r="6" spans="1:14" ht="13.8">
      <c r="A6" s="957" t="s">
        <v>160</v>
      </c>
      <c r="B6" s="931"/>
      <c r="C6" s="932"/>
      <c r="D6" s="337">
        <f>'EMBROIDERY - SOLD'!C16+'EMBROIDERY - SOLD'!C23+'EMBROIDERY - SOLD'!C32+'EMBROIDERY - SOLD'!C41+'EMBROIDERY - SOLD'!C50+'EMBROIDERY - SOLD'!C59+'EMBROIDERY - SOLD'!C68+'EMBROIDERY - SOLD'!C77+'EMBROIDERY - SOLD'!C86+'EMBROIDERY - SOLD'!C95+'EMBROIDERY - SOLD'!C103+'EMBROIDERY - SOLD'!C111+'EMBROIDERY - SOLD'!C120+'EMBROIDERY - SOLD'!C248</f>
        <v>9</v>
      </c>
      <c r="E6" s="340"/>
      <c r="F6" s="957" t="s">
        <v>161</v>
      </c>
      <c r="G6" s="932"/>
      <c r="H6" s="331"/>
      <c r="I6" s="346"/>
      <c r="J6" s="346"/>
      <c r="K6" s="346"/>
      <c r="L6" s="346"/>
      <c r="M6" s="331"/>
      <c r="N6" s="346"/>
    </row>
    <row r="7" spans="1:14" ht="15.6">
      <c r="A7" s="960" t="s">
        <v>162</v>
      </c>
      <c r="B7" s="931"/>
      <c r="C7" s="932"/>
      <c r="D7" s="341">
        <f>D3-(D4+D5+D6)</f>
        <v>307</v>
      </c>
      <c r="E7" s="340"/>
      <c r="F7" s="957" t="s">
        <v>163</v>
      </c>
      <c r="G7" s="932"/>
      <c r="H7" s="331"/>
      <c r="I7" s="963" t="s">
        <v>159</v>
      </c>
      <c r="J7" s="964"/>
      <c r="K7" s="999">
        <f>I25+I34+I45+I63+I77+I89+I99+I120+I142+I160+I210+I225+I245+I274+I293+I305+I317+I337+I346+I362+I377+I391+I404+I415+I424+I434+I462+I483</f>
        <v>902090.5</v>
      </c>
      <c r="L7" s="964"/>
      <c r="M7" s="331"/>
      <c r="N7" s="346"/>
    </row>
    <row r="8" spans="1:14" ht="13.8">
      <c r="A8" s="331"/>
      <c r="B8" s="331"/>
      <c r="C8" s="331"/>
      <c r="D8" s="331"/>
      <c r="E8" s="340"/>
      <c r="F8" s="957" t="s">
        <v>164</v>
      </c>
      <c r="G8" s="932"/>
      <c r="H8" s="331"/>
      <c r="I8" s="967"/>
      <c r="J8" s="968"/>
      <c r="K8" s="967"/>
      <c r="L8" s="968"/>
      <c r="M8" s="331"/>
      <c r="N8" s="346"/>
    </row>
    <row r="9" spans="1:14" ht="13.8">
      <c r="A9" s="331"/>
      <c r="B9" s="343"/>
      <c r="C9" s="343"/>
      <c r="D9" s="344"/>
      <c r="E9" s="344"/>
      <c r="F9" s="331"/>
      <c r="G9" s="345"/>
      <c r="H9" s="331"/>
      <c r="I9" s="331"/>
      <c r="J9" s="331"/>
      <c r="K9" s="331"/>
      <c r="L9" s="331"/>
      <c r="M9" s="331"/>
      <c r="N9" s="346"/>
    </row>
    <row r="10" spans="1:14" ht="13.2">
      <c r="A10" s="346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</row>
    <row r="11" spans="1:14" ht="13.8">
      <c r="A11" s="331"/>
      <c r="B11" s="334"/>
      <c r="C11" s="334"/>
      <c r="D11" s="331"/>
      <c r="E11" s="334"/>
      <c r="F11" s="331"/>
      <c r="G11" s="863"/>
      <c r="H11" s="331"/>
      <c r="I11" s="864"/>
      <c r="J11" s="343"/>
      <c r="K11" s="344"/>
      <c r="L11" s="344"/>
      <c r="M11" s="344"/>
      <c r="N11" s="344"/>
    </row>
    <row r="12" spans="1:14" ht="13.8">
      <c r="A12" s="331"/>
      <c r="B12" s="334"/>
      <c r="C12" s="334"/>
      <c r="D12" s="331"/>
      <c r="E12" s="334"/>
      <c r="F12" s="331"/>
      <c r="G12" s="863"/>
      <c r="H12" s="331"/>
      <c r="I12" s="864"/>
      <c r="J12" s="343"/>
      <c r="K12" s="344"/>
      <c r="L12" s="344"/>
      <c r="M12" s="344"/>
      <c r="N12" s="344"/>
    </row>
    <row r="13" spans="1:14" ht="13.2">
      <c r="A13" s="1009" t="s">
        <v>32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2"/>
    </row>
    <row r="14" spans="1:14" ht="22.5" customHeight="1">
      <c r="A14" s="396" t="s">
        <v>165</v>
      </c>
      <c r="B14" s="431" t="s">
        <v>166</v>
      </c>
      <c r="C14" s="431" t="s">
        <v>167</v>
      </c>
      <c r="D14" s="334" t="s">
        <v>168</v>
      </c>
      <c r="E14" s="431" t="s">
        <v>169</v>
      </c>
      <c r="F14" s="742" t="s">
        <v>3722</v>
      </c>
      <c r="G14" s="743" t="s">
        <v>3723</v>
      </c>
      <c r="H14" s="744" t="s">
        <v>3724</v>
      </c>
      <c r="I14" s="744" t="s">
        <v>3725</v>
      </c>
      <c r="J14" s="745" t="s">
        <v>3726</v>
      </c>
      <c r="K14" s="745" t="s">
        <v>3727</v>
      </c>
      <c r="L14" s="431" t="s">
        <v>175</v>
      </c>
      <c r="M14" s="431" t="s">
        <v>3728</v>
      </c>
      <c r="N14" s="865" t="s">
        <v>177</v>
      </c>
    </row>
    <row r="15" spans="1:14" ht="13.8">
      <c r="A15" s="333">
        <v>1</v>
      </c>
      <c r="B15" s="333" t="s">
        <v>3729</v>
      </c>
      <c r="C15" s="333" t="s">
        <v>3730</v>
      </c>
      <c r="D15" s="333" t="s">
        <v>3731</v>
      </c>
      <c r="E15" s="384" t="s">
        <v>3732</v>
      </c>
      <c r="F15" s="766">
        <v>85</v>
      </c>
      <c r="G15" s="766">
        <f t="shared" ref="G15:G24" si="0">F15*E15</f>
        <v>340</v>
      </c>
      <c r="H15" s="385">
        <f t="shared" ref="H15:J15" si="1">F15*5</f>
        <v>425</v>
      </c>
      <c r="I15" s="385">
        <f t="shared" si="1"/>
        <v>1700</v>
      </c>
      <c r="J15" s="385">
        <f t="shared" si="1"/>
        <v>2125</v>
      </c>
      <c r="K15" s="385">
        <f t="shared" ref="K15:K24" si="2">J15*E15</f>
        <v>8500</v>
      </c>
      <c r="L15" s="385">
        <f t="shared" ref="L15:L24" si="3">J15/2</f>
        <v>1062.5</v>
      </c>
      <c r="M15" s="385">
        <f t="shared" ref="M15:M24" si="4">L15*E15</f>
        <v>4250</v>
      </c>
      <c r="N15" s="427"/>
    </row>
    <row r="16" spans="1:14" ht="13.8">
      <c r="A16" s="333">
        <v>2</v>
      </c>
      <c r="B16" s="333" t="s">
        <v>3733</v>
      </c>
      <c r="C16" s="333" t="s">
        <v>3734</v>
      </c>
      <c r="D16" s="333" t="s">
        <v>3735</v>
      </c>
      <c r="E16" s="384" t="s">
        <v>3736</v>
      </c>
      <c r="F16" s="766">
        <v>85</v>
      </c>
      <c r="G16" s="766">
        <f t="shared" si="0"/>
        <v>595</v>
      </c>
      <c r="H16" s="385">
        <f t="shared" ref="H16:J16" si="5">F16*5</f>
        <v>425</v>
      </c>
      <c r="I16" s="385">
        <f t="shared" si="5"/>
        <v>2975</v>
      </c>
      <c r="J16" s="385">
        <f t="shared" si="5"/>
        <v>2125</v>
      </c>
      <c r="K16" s="385">
        <f t="shared" si="2"/>
        <v>14875</v>
      </c>
      <c r="L16" s="385">
        <f t="shared" si="3"/>
        <v>1062.5</v>
      </c>
      <c r="M16" s="385">
        <f t="shared" si="4"/>
        <v>7437.5</v>
      </c>
      <c r="N16" s="457"/>
    </row>
    <row r="17" spans="1:14" ht="27.6">
      <c r="A17" s="333">
        <v>3</v>
      </c>
      <c r="B17" s="333" t="s">
        <v>3737</v>
      </c>
      <c r="C17" s="333" t="s">
        <v>3738</v>
      </c>
      <c r="D17" s="333" t="s">
        <v>3739</v>
      </c>
      <c r="E17" s="384" t="s">
        <v>3740</v>
      </c>
      <c r="F17" s="766">
        <v>85</v>
      </c>
      <c r="G17" s="766">
        <f t="shared" si="0"/>
        <v>552.5</v>
      </c>
      <c r="H17" s="385">
        <f t="shared" ref="H17:J17" si="6">F17*5</f>
        <v>425</v>
      </c>
      <c r="I17" s="385">
        <f t="shared" si="6"/>
        <v>2762.5</v>
      </c>
      <c r="J17" s="385">
        <f t="shared" si="6"/>
        <v>2125</v>
      </c>
      <c r="K17" s="385">
        <f t="shared" si="2"/>
        <v>13812.5</v>
      </c>
      <c r="L17" s="385">
        <f t="shared" si="3"/>
        <v>1062.5</v>
      </c>
      <c r="M17" s="385">
        <f t="shared" si="4"/>
        <v>6906.25</v>
      </c>
      <c r="N17" s="457"/>
    </row>
    <row r="18" spans="1:14" ht="13.8">
      <c r="A18" s="333">
        <v>4</v>
      </c>
      <c r="B18" s="333" t="s">
        <v>3741</v>
      </c>
      <c r="C18" s="333" t="s">
        <v>486</v>
      </c>
      <c r="D18" s="333" t="s">
        <v>3742</v>
      </c>
      <c r="E18" s="384" t="s">
        <v>3743</v>
      </c>
      <c r="F18" s="766">
        <v>85</v>
      </c>
      <c r="G18" s="766">
        <f t="shared" si="0"/>
        <v>612</v>
      </c>
      <c r="H18" s="385">
        <f t="shared" ref="H18:J18" si="7">F18*5</f>
        <v>425</v>
      </c>
      <c r="I18" s="385">
        <f t="shared" si="7"/>
        <v>3060</v>
      </c>
      <c r="J18" s="385">
        <f t="shared" si="7"/>
        <v>2125</v>
      </c>
      <c r="K18" s="385">
        <f t="shared" si="2"/>
        <v>15300</v>
      </c>
      <c r="L18" s="385">
        <f t="shared" si="3"/>
        <v>1062.5</v>
      </c>
      <c r="M18" s="385">
        <f t="shared" si="4"/>
        <v>7650</v>
      </c>
      <c r="N18" s="457"/>
    </row>
    <row r="19" spans="1:14" ht="13.8">
      <c r="A19" s="333">
        <v>5</v>
      </c>
      <c r="B19" s="333" t="s">
        <v>3744</v>
      </c>
      <c r="C19" s="333" t="s">
        <v>3745</v>
      </c>
      <c r="D19" s="333" t="s">
        <v>3746</v>
      </c>
      <c r="E19" s="384" t="s">
        <v>3747</v>
      </c>
      <c r="F19" s="766">
        <v>60</v>
      </c>
      <c r="G19" s="766">
        <f t="shared" si="0"/>
        <v>300</v>
      </c>
      <c r="H19" s="385">
        <f t="shared" ref="H19:J19" si="8">F19*5</f>
        <v>300</v>
      </c>
      <c r="I19" s="385">
        <f t="shared" si="8"/>
        <v>1500</v>
      </c>
      <c r="J19" s="385">
        <f t="shared" si="8"/>
        <v>1500</v>
      </c>
      <c r="K19" s="385">
        <f t="shared" si="2"/>
        <v>7500</v>
      </c>
      <c r="L19" s="385">
        <f t="shared" si="3"/>
        <v>750</v>
      </c>
      <c r="M19" s="385">
        <f t="shared" si="4"/>
        <v>3750</v>
      </c>
      <c r="N19" s="457"/>
    </row>
    <row r="20" spans="1:14" ht="13.8">
      <c r="A20" s="333">
        <v>6</v>
      </c>
      <c r="B20" s="333" t="s">
        <v>3748</v>
      </c>
      <c r="C20" s="333" t="s">
        <v>3749</v>
      </c>
      <c r="D20" s="333" t="s">
        <v>3750</v>
      </c>
      <c r="E20" s="384" t="s">
        <v>3747</v>
      </c>
      <c r="F20" s="766">
        <v>28</v>
      </c>
      <c r="G20" s="766">
        <f t="shared" si="0"/>
        <v>140</v>
      </c>
      <c r="H20" s="385">
        <f t="shared" ref="H20:J20" si="9">F20*5</f>
        <v>140</v>
      </c>
      <c r="I20" s="385">
        <f t="shared" si="9"/>
        <v>700</v>
      </c>
      <c r="J20" s="385">
        <f t="shared" si="9"/>
        <v>700</v>
      </c>
      <c r="K20" s="385">
        <f t="shared" si="2"/>
        <v>3500</v>
      </c>
      <c r="L20" s="385">
        <f t="shared" si="3"/>
        <v>350</v>
      </c>
      <c r="M20" s="385">
        <f t="shared" si="4"/>
        <v>1750</v>
      </c>
      <c r="N20" s="457"/>
    </row>
    <row r="21" spans="1:14" ht="13.8">
      <c r="A21" s="333">
        <v>7</v>
      </c>
      <c r="B21" s="333" t="s">
        <v>3751</v>
      </c>
      <c r="C21" s="333" t="s">
        <v>3752</v>
      </c>
      <c r="D21" s="333" t="s">
        <v>3750</v>
      </c>
      <c r="E21" s="384" t="s">
        <v>3747</v>
      </c>
      <c r="F21" s="766">
        <v>28</v>
      </c>
      <c r="G21" s="766">
        <f t="shared" si="0"/>
        <v>140</v>
      </c>
      <c r="H21" s="385">
        <f t="shared" ref="H21:J21" si="10">F21*5</f>
        <v>140</v>
      </c>
      <c r="I21" s="385">
        <f t="shared" si="10"/>
        <v>700</v>
      </c>
      <c r="J21" s="385">
        <f t="shared" si="10"/>
        <v>700</v>
      </c>
      <c r="K21" s="385">
        <f t="shared" si="2"/>
        <v>3500</v>
      </c>
      <c r="L21" s="385">
        <f t="shared" si="3"/>
        <v>350</v>
      </c>
      <c r="M21" s="385">
        <f t="shared" si="4"/>
        <v>1750</v>
      </c>
      <c r="N21" s="457"/>
    </row>
    <row r="22" spans="1:14" ht="13.8">
      <c r="A22" s="333">
        <v>8</v>
      </c>
      <c r="B22" s="333" t="s">
        <v>3753</v>
      </c>
      <c r="C22" s="333" t="s">
        <v>1736</v>
      </c>
      <c r="D22" s="333" t="s">
        <v>3750</v>
      </c>
      <c r="E22" s="384" t="s">
        <v>3747</v>
      </c>
      <c r="F22" s="766">
        <v>28</v>
      </c>
      <c r="G22" s="766">
        <f t="shared" si="0"/>
        <v>140</v>
      </c>
      <c r="H22" s="385">
        <f t="shared" ref="H22:J22" si="11">F22*5</f>
        <v>140</v>
      </c>
      <c r="I22" s="385">
        <f t="shared" si="11"/>
        <v>700</v>
      </c>
      <c r="J22" s="385">
        <f t="shared" si="11"/>
        <v>700</v>
      </c>
      <c r="K22" s="385">
        <f t="shared" si="2"/>
        <v>3500</v>
      </c>
      <c r="L22" s="385">
        <f t="shared" si="3"/>
        <v>350</v>
      </c>
      <c r="M22" s="385">
        <f t="shared" si="4"/>
        <v>1750</v>
      </c>
      <c r="N22" s="457"/>
    </row>
    <row r="23" spans="1:14" ht="13.8">
      <c r="A23" s="333">
        <v>9</v>
      </c>
      <c r="B23" s="333" t="s">
        <v>3754</v>
      </c>
      <c r="C23" s="333" t="s">
        <v>3755</v>
      </c>
      <c r="D23" s="333" t="s">
        <v>3756</v>
      </c>
      <c r="E23" s="384" t="s">
        <v>3747</v>
      </c>
      <c r="F23" s="766">
        <v>28</v>
      </c>
      <c r="G23" s="766">
        <f t="shared" si="0"/>
        <v>140</v>
      </c>
      <c r="H23" s="385">
        <f t="shared" ref="H23:J23" si="12">F23*5</f>
        <v>140</v>
      </c>
      <c r="I23" s="385">
        <f t="shared" si="12"/>
        <v>700</v>
      </c>
      <c r="J23" s="385">
        <f t="shared" si="12"/>
        <v>700</v>
      </c>
      <c r="K23" s="385">
        <f t="shared" si="2"/>
        <v>3500</v>
      </c>
      <c r="L23" s="385">
        <f t="shared" si="3"/>
        <v>350</v>
      </c>
      <c r="M23" s="385">
        <f t="shared" si="4"/>
        <v>1750</v>
      </c>
      <c r="N23" s="457"/>
    </row>
    <row r="24" spans="1:14" ht="13.8">
      <c r="A24" s="333">
        <v>10</v>
      </c>
      <c r="B24" s="333" t="s">
        <v>3757</v>
      </c>
      <c r="C24" s="333" t="s">
        <v>3758</v>
      </c>
      <c r="D24" s="333" t="s">
        <v>3756</v>
      </c>
      <c r="E24" s="384" t="s">
        <v>3747</v>
      </c>
      <c r="F24" s="766">
        <v>35</v>
      </c>
      <c r="G24" s="766">
        <f t="shared" si="0"/>
        <v>175</v>
      </c>
      <c r="H24" s="385">
        <f t="shared" ref="H24:J24" si="13">F24*5</f>
        <v>175</v>
      </c>
      <c r="I24" s="385">
        <f t="shared" si="13"/>
        <v>875</v>
      </c>
      <c r="J24" s="385">
        <f t="shared" si="13"/>
        <v>875</v>
      </c>
      <c r="K24" s="385">
        <f t="shared" si="2"/>
        <v>4375</v>
      </c>
      <c r="L24" s="385">
        <f t="shared" si="3"/>
        <v>437.5</v>
      </c>
      <c r="M24" s="385">
        <f t="shared" si="4"/>
        <v>2187.5</v>
      </c>
      <c r="N24" s="457"/>
    </row>
    <row r="25" spans="1:14" ht="13.8">
      <c r="A25" s="1001" t="s">
        <v>318</v>
      </c>
      <c r="B25" s="931"/>
      <c r="C25" s="932"/>
      <c r="D25" s="789">
        <f>COUNTA(D15:D24)</f>
        <v>10</v>
      </c>
      <c r="E25" s="789"/>
      <c r="F25" s="789"/>
      <c r="G25" s="768">
        <f>SUM(G15:G24)</f>
        <v>3134.5</v>
      </c>
      <c r="H25" s="789"/>
      <c r="I25" s="769">
        <f>SUM(I15:I24)</f>
        <v>15672.5</v>
      </c>
      <c r="J25" s="768"/>
      <c r="K25" s="769"/>
      <c r="L25" s="769"/>
      <c r="M25" s="769"/>
      <c r="N25" s="769"/>
    </row>
    <row r="26" spans="1:14" ht="13.8">
      <c r="A26" s="331"/>
      <c r="B26" s="334"/>
      <c r="C26" s="334"/>
      <c r="D26" s="331"/>
      <c r="E26" s="334"/>
      <c r="F26" s="331"/>
      <c r="G26" s="863"/>
      <c r="H26" s="331"/>
      <c r="I26" s="864"/>
      <c r="J26" s="343"/>
      <c r="K26" s="344"/>
      <c r="L26" s="344"/>
      <c r="M26" s="344"/>
      <c r="N26" s="344"/>
    </row>
    <row r="27" spans="1:14" ht="13.8">
      <c r="A27" s="331"/>
      <c r="B27" s="334"/>
      <c r="C27" s="334"/>
      <c r="D27" s="331"/>
      <c r="E27" s="334"/>
      <c r="F27" s="331"/>
      <c r="G27" s="863"/>
      <c r="H27" s="331"/>
      <c r="I27" s="864"/>
      <c r="J27" s="343"/>
      <c r="K27" s="344"/>
      <c r="L27" s="344"/>
      <c r="M27" s="344"/>
      <c r="N27" s="344"/>
    </row>
    <row r="28" spans="1:14" ht="13.8">
      <c r="A28" s="331"/>
      <c r="B28" s="334"/>
      <c r="C28" s="334"/>
      <c r="D28" s="331"/>
      <c r="E28" s="334"/>
      <c r="F28" s="331"/>
      <c r="G28" s="863"/>
      <c r="H28" s="331"/>
      <c r="I28" s="864"/>
      <c r="J28" s="343"/>
      <c r="K28" s="344"/>
      <c r="L28" s="344"/>
      <c r="M28" s="344"/>
      <c r="N28" s="344"/>
    </row>
    <row r="29" spans="1:14" ht="13.2">
      <c r="A29" s="1009" t="s">
        <v>65</v>
      </c>
      <c r="B29" s="931"/>
      <c r="C29" s="931"/>
      <c r="D29" s="931"/>
      <c r="E29" s="931"/>
      <c r="F29" s="931"/>
      <c r="G29" s="931"/>
      <c r="H29" s="931"/>
      <c r="I29" s="931"/>
      <c r="J29" s="931"/>
      <c r="K29" s="931"/>
      <c r="L29" s="931"/>
      <c r="M29" s="931"/>
      <c r="N29" s="932"/>
    </row>
    <row r="30" spans="1:14" ht="22.5" customHeight="1">
      <c r="A30" s="396" t="s">
        <v>165</v>
      </c>
      <c r="B30" s="431" t="s">
        <v>166</v>
      </c>
      <c r="C30" s="431" t="s">
        <v>167</v>
      </c>
      <c r="D30" s="334" t="s">
        <v>168</v>
      </c>
      <c r="E30" s="431" t="s">
        <v>169</v>
      </c>
      <c r="F30" s="742" t="s">
        <v>3759</v>
      </c>
      <c r="G30" s="743" t="s">
        <v>3760</v>
      </c>
      <c r="H30" s="744" t="s">
        <v>3761</v>
      </c>
      <c r="I30" s="744" t="s">
        <v>3762</v>
      </c>
      <c r="J30" s="745" t="s">
        <v>3763</v>
      </c>
      <c r="K30" s="745" t="s">
        <v>3764</v>
      </c>
      <c r="L30" s="431" t="s">
        <v>175</v>
      </c>
      <c r="M30" s="431" t="s">
        <v>3765</v>
      </c>
      <c r="N30" s="865" t="s">
        <v>177</v>
      </c>
    </row>
    <row r="31" spans="1:14" ht="13.8">
      <c r="A31" s="333">
        <v>11</v>
      </c>
      <c r="B31" s="333" t="s">
        <v>3766</v>
      </c>
      <c r="C31" s="352" t="s">
        <v>3767</v>
      </c>
      <c r="D31" s="333" t="s">
        <v>3768</v>
      </c>
      <c r="E31" s="384" t="s">
        <v>3769</v>
      </c>
      <c r="F31" s="766">
        <v>230</v>
      </c>
      <c r="G31" s="766">
        <f t="shared" ref="G31:G33" si="14">F31*E31</f>
        <v>1564</v>
      </c>
      <c r="H31" s="385">
        <f t="shared" ref="H31:J31" si="15">F31*5</f>
        <v>1150</v>
      </c>
      <c r="I31" s="385">
        <f t="shared" si="15"/>
        <v>7820</v>
      </c>
      <c r="J31" s="385">
        <f t="shared" si="15"/>
        <v>5750</v>
      </c>
      <c r="K31" s="385">
        <f t="shared" ref="K31:K33" si="16">J31*E31</f>
        <v>39100</v>
      </c>
      <c r="L31" s="385">
        <f t="shared" ref="L31:L33" si="17">J31/2</f>
        <v>2875</v>
      </c>
      <c r="M31" s="385">
        <f t="shared" ref="M31:M33" si="18">L31*E31</f>
        <v>19550</v>
      </c>
      <c r="N31" s="427"/>
    </row>
    <row r="32" spans="1:14" ht="13.8">
      <c r="A32" s="333">
        <v>12</v>
      </c>
      <c r="B32" s="333" t="s">
        <v>3770</v>
      </c>
      <c r="C32" s="333" t="s">
        <v>3771</v>
      </c>
      <c r="D32" s="333" t="s">
        <v>3772</v>
      </c>
      <c r="E32" s="384" t="s">
        <v>3773</v>
      </c>
      <c r="F32" s="766">
        <v>230</v>
      </c>
      <c r="G32" s="766">
        <f t="shared" si="14"/>
        <v>1587</v>
      </c>
      <c r="H32" s="385">
        <f t="shared" ref="H32:J32" si="19">F32*5</f>
        <v>1150</v>
      </c>
      <c r="I32" s="385">
        <f t="shared" si="19"/>
        <v>7935</v>
      </c>
      <c r="J32" s="385">
        <f t="shared" si="19"/>
        <v>5750</v>
      </c>
      <c r="K32" s="385">
        <f t="shared" si="16"/>
        <v>39675</v>
      </c>
      <c r="L32" s="385">
        <f t="shared" si="17"/>
        <v>2875</v>
      </c>
      <c r="M32" s="385">
        <f t="shared" si="18"/>
        <v>19837.5</v>
      </c>
      <c r="N32" s="457"/>
    </row>
    <row r="33" spans="1:14" ht="13.8">
      <c r="A33" s="333">
        <v>13</v>
      </c>
      <c r="B33" s="333" t="s">
        <v>3774</v>
      </c>
      <c r="C33" s="333" t="s">
        <v>3775</v>
      </c>
      <c r="D33" s="333" t="s">
        <v>3772</v>
      </c>
      <c r="E33" s="384" t="s">
        <v>3776</v>
      </c>
      <c r="F33" s="766">
        <v>200</v>
      </c>
      <c r="G33" s="766">
        <f t="shared" si="14"/>
        <v>1420</v>
      </c>
      <c r="H33" s="385">
        <f t="shared" ref="H33:J33" si="20">F33*5</f>
        <v>1000</v>
      </c>
      <c r="I33" s="385">
        <f t="shared" si="20"/>
        <v>7100</v>
      </c>
      <c r="J33" s="385">
        <f t="shared" si="20"/>
        <v>5000</v>
      </c>
      <c r="K33" s="385">
        <f t="shared" si="16"/>
        <v>35500</v>
      </c>
      <c r="L33" s="385">
        <f t="shared" si="17"/>
        <v>2500</v>
      </c>
      <c r="M33" s="385">
        <f t="shared" si="18"/>
        <v>17750</v>
      </c>
      <c r="N33" s="457"/>
    </row>
    <row r="34" spans="1:14" ht="15.6">
      <c r="A34" s="1008" t="s">
        <v>318</v>
      </c>
      <c r="B34" s="931"/>
      <c r="C34" s="932"/>
      <c r="D34" s="866">
        <f>COUNTA(D31:D33)</f>
        <v>3</v>
      </c>
      <c r="E34" s="743"/>
      <c r="F34" s="743"/>
      <c r="G34" s="867">
        <f>SUM(G31:G33)</f>
        <v>4571</v>
      </c>
      <c r="H34" s="743"/>
      <c r="I34" s="868">
        <f>SUM(I31:I33)</f>
        <v>22855</v>
      </c>
      <c r="J34" s="869"/>
      <c r="K34" s="870"/>
      <c r="L34" s="870"/>
      <c r="M34" s="870"/>
      <c r="N34" s="870"/>
    </row>
    <row r="35" spans="1:14" ht="13.8">
      <c r="A35" s="331"/>
      <c r="B35" s="334"/>
      <c r="C35" s="334"/>
      <c r="D35" s="331"/>
      <c r="E35" s="334"/>
      <c r="F35" s="331"/>
      <c r="G35" s="863"/>
      <c r="H35" s="331"/>
      <c r="I35" s="864"/>
      <c r="J35" s="343"/>
      <c r="K35" s="344"/>
      <c r="L35" s="344"/>
      <c r="M35" s="344"/>
      <c r="N35" s="344"/>
    </row>
    <row r="36" spans="1:14" ht="13.8">
      <c r="A36" s="331"/>
      <c r="B36" s="334"/>
      <c r="C36" s="334"/>
      <c r="D36" s="331"/>
      <c r="E36" s="334"/>
      <c r="F36" s="331"/>
      <c r="G36" s="863"/>
      <c r="H36" s="331"/>
      <c r="I36" s="864"/>
      <c r="J36" s="343"/>
      <c r="K36" s="344"/>
      <c r="L36" s="344"/>
      <c r="M36" s="344"/>
      <c r="N36" s="344"/>
    </row>
    <row r="37" spans="1:14" ht="13.8">
      <c r="A37" s="331"/>
      <c r="B37" s="334"/>
      <c r="C37" s="334"/>
      <c r="D37" s="331"/>
      <c r="E37" s="334"/>
      <c r="F37" s="331"/>
      <c r="G37" s="863"/>
      <c r="H37" s="331"/>
      <c r="I37" s="864"/>
      <c r="J37" s="343"/>
      <c r="K37" s="344"/>
      <c r="L37" s="344"/>
      <c r="M37" s="344"/>
      <c r="N37" s="344"/>
    </row>
    <row r="38" spans="1:14" ht="13.2">
      <c r="A38" s="1009" t="s">
        <v>66</v>
      </c>
      <c r="B38" s="931"/>
      <c r="C38" s="931"/>
      <c r="D38" s="931"/>
      <c r="E38" s="931"/>
      <c r="F38" s="931"/>
      <c r="G38" s="931"/>
      <c r="H38" s="931"/>
      <c r="I38" s="931"/>
      <c r="J38" s="931"/>
      <c r="K38" s="931"/>
      <c r="L38" s="931"/>
      <c r="M38" s="931"/>
      <c r="N38" s="932"/>
    </row>
    <row r="39" spans="1:14" ht="22.5" customHeight="1">
      <c r="A39" s="396" t="s">
        <v>165</v>
      </c>
      <c r="B39" s="431" t="s">
        <v>166</v>
      </c>
      <c r="C39" s="431" t="s">
        <v>167</v>
      </c>
      <c r="D39" s="334" t="s">
        <v>168</v>
      </c>
      <c r="E39" s="431" t="s">
        <v>169</v>
      </c>
      <c r="F39" s="742" t="s">
        <v>3777</v>
      </c>
      <c r="G39" s="743" t="s">
        <v>3778</v>
      </c>
      <c r="H39" s="744" t="s">
        <v>3779</v>
      </c>
      <c r="I39" s="744" t="s">
        <v>3780</v>
      </c>
      <c r="J39" s="745" t="s">
        <v>3781</v>
      </c>
      <c r="K39" s="745" t="s">
        <v>3782</v>
      </c>
      <c r="L39" s="431" t="s">
        <v>175</v>
      </c>
      <c r="M39" s="431" t="s">
        <v>3783</v>
      </c>
      <c r="N39" s="871" t="s">
        <v>177</v>
      </c>
    </row>
    <row r="40" spans="1:14" ht="27.6">
      <c r="A40" s="333">
        <v>15</v>
      </c>
      <c r="B40" s="333" t="s">
        <v>3784</v>
      </c>
      <c r="C40" s="333" t="s">
        <v>3785</v>
      </c>
      <c r="D40" s="333" t="s">
        <v>3786</v>
      </c>
      <c r="E40" s="384" t="s">
        <v>3787</v>
      </c>
      <c r="F40" s="766">
        <v>176</v>
      </c>
      <c r="G40" s="766">
        <f t="shared" ref="G40:G44" si="21">F40*E40</f>
        <v>792</v>
      </c>
      <c r="H40" s="385">
        <f t="shared" ref="H40:J40" si="22">F40*5</f>
        <v>880</v>
      </c>
      <c r="I40" s="385">
        <f t="shared" si="22"/>
        <v>3960</v>
      </c>
      <c r="J40" s="385">
        <f t="shared" si="22"/>
        <v>4400</v>
      </c>
      <c r="K40" s="385">
        <f t="shared" ref="K40:K44" si="23">J40*E40</f>
        <v>19800</v>
      </c>
      <c r="L40" s="385">
        <f t="shared" ref="L40:L44" si="24">J40/2</f>
        <v>2200</v>
      </c>
      <c r="M40" s="872">
        <f t="shared" ref="M40:M44" si="25">L40*E40</f>
        <v>9900</v>
      </c>
      <c r="N40" s="385"/>
    </row>
    <row r="41" spans="1:14" ht="13.8">
      <c r="A41" s="333">
        <v>16</v>
      </c>
      <c r="B41" s="333" t="s">
        <v>3788</v>
      </c>
      <c r="C41" s="333" t="s">
        <v>3789</v>
      </c>
      <c r="D41" s="333" t="s">
        <v>3790</v>
      </c>
      <c r="E41" s="384" t="s">
        <v>3791</v>
      </c>
      <c r="F41" s="766">
        <v>176</v>
      </c>
      <c r="G41" s="766">
        <f t="shared" si="21"/>
        <v>616</v>
      </c>
      <c r="H41" s="385">
        <f t="shared" ref="H41:J41" si="26">F41*5</f>
        <v>880</v>
      </c>
      <c r="I41" s="385">
        <f t="shared" si="26"/>
        <v>3080</v>
      </c>
      <c r="J41" s="385">
        <f t="shared" si="26"/>
        <v>4400</v>
      </c>
      <c r="K41" s="385">
        <f t="shared" si="23"/>
        <v>15400</v>
      </c>
      <c r="L41" s="385">
        <f t="shared" si="24"/>
        <v>2200</v>
      </c>
      <c r="M41" s="872">
        <f t="shared" si="25"/>
        <v>7700</v>
      </c>
      <c r="N41" s="385"/>
    </row>
    <row r="42" spans="1:14" ht="27.6">
      <c r="A42" s="333">
        <v>17</v>
      </c>
      <c r="B42" s="333" t="s">
        <v>3792</v>
      </c>
      <c r="C42" s="333" t="s">
        <v>3793</v>
      </c>
      <c r="D42" s="333" t="s">
        <v>3794</v>
      </c>
      <c r="E42" s="384" t="s">
        <v>3787</v>
      </c>
      <c r="F42" s="766">
        <v>176</v>
      </c>
      <c r="G42" s="766">
        <f t="shared" si="21"/>
        <v>792</v>
      </c>
      <c r="H42" s="385">
        <f t="shared" ref="H42:J42" si="27">F42*5</f>
        <v>880</v>
      </c>
      <c r="I42" s="385">
        <f t="shared" si="27"/>
        <v>3960</v>
      </c>
      <c r="J42" s="385">
        <f t="shared" si="27"/>
        <v>4400</v>
      </c>
      <c r="K42" s="385">
        <f t="shared" si="23"/>
        <v>19800</v>
      </c>
      <c r="L42" s="385">
        <f t="shared" si="24"/>
        <v>2200</v>
      </c>
      <c r="M42" s="872">
        <f t="shared" si="25"/>
        <v>9900</v>
      </c>
      <c r="N42" s="385"/>
    </row>
    <row r="43" spans="1:14" ht="27.6">
      <c r="A43" s="333">
        <v>18</v>
      </c>
      <c r="B43" s="333" t="s">
        <v>3795</v>
      </c>
      <c r="C43" s="333" t="s">
        <v>3796</v>
      </c>
      <c r="D43" s="333" t="s">
        <v>3797</v>
      </c>
      <c r="E43" s="384" t="s">
        <v>3787</v>
      </c>
      <c r="F43" s="766">
        <v>176</v>
      </c>
      <c r="G43" s="766">
        <f t="shared" si="21"/>
        <v>792</v>
      </c>
      <c r="H43" s="385">
        <f t="shared" ref="H43:J43" si="28">F43*5</f>
        <v>880</v>
      </c>
      <c r="I43" s="385">
        <f t="shared" si="28"/>
        <v>3960</v>
      </c>
      <c r="J43" s="385">
        <f t="shared" si="28"/>
        <v>4400</v>
      </c>
      <c r="K43" s="385">
        <f t="shared" si="23"/>
        <v>19800</v>
      </c>
      <c r="L43" s="385">
        <f t="shared" si="24"/>
        <v>2200</v>
      </c>
      <c r="M43" s="872">
        <f t="shared" si="25"/>
        <v>9900</v>
      </c>
      <c r="N43" s="385"/>
    </row>
    <row r="44" spans="1:14" ht="13.8">
      <c r="A44" s="333">
        <v>19</v>
      </c>
      <c r="B44" s="333" t="s">
        <v>3798</v>
      </c>
      <c r="C44" s="333" t="s">
        <v>3799</v>
      </c>
      <c r="D44" s="333" t="s">
        <v>3800</v>
      </c>
      <c r="E44" s="384" t="s">
        <v>3787</v>
      </c>
      <c r="F44" s="766">
        <v>176</v>
      </c>
      <c r="G44" s="766">
        <f t="shared" si="21"/>
        <v>792</v>
      </c>
      <c r="H44" s="385">
        <f t="shared" ref="H44:J44" si="29">F44*5</f>
        <v>880</v>
      </c>
      <c r="I44" s="385">
        <f t="shared" si="29"/>
        <v>3960</v>
      </c>
      <c r="J44" s="385">
        <f t="shared" si="29"/>
        <v>4400</v>
      </c>
      <c r="K44" s="385">
        <f t="shared" si="23"/>
        <v>19800</v>
      </c>
      <c r="L44" s="385">
        <f t="shared" si="24"/>
        <v>2200</v>
      </c>
      <c r="M44" s="872">
        <f t="shared" si="25"/>
        <v>9900</v>
      </c>
      <c r="N44" s="385"/>
    </row>
    <row r="45" spans="1:14" ht="13.8">
      <c r="A45" s="1001" t="s">
        <v>318</v>
      </c>
      <c r="B45" s="931"/>
      <c r="C45" s="932"/>
      <c r="D45" s="789">
        <f>COUNTA(D40:D44)</f>
        <v>5</v>
      </c>
      <c r="E45" s="743"/>
      <c r="F45" s="743"/>
      <c r="G45" s="768">
        <f>SUM(G40:G44)</f>
        <v>3784</v>
      </c>
      <c r="H45" s="743"/>
      <c r="I45" s="769">
        <f>G45*5</f>
        <v>18920</v>
      </c>
      <c r="J45" s="869"/>
      <c r="K45" s="870"/>
      <c r="L45" s="870"/>
      <c r="M45" s="870"/>
      <c r="N45" s="873"/>
    </row>
    <row r="46" spans="1:14" ht="13.8">
      <c r="A46" s="331"/>
      <c r="B46" s="334"/>
      <c r="C46" s="334"/>
      <c r="D46" s="331"/>
      <c r="E46" s="334"/>
      <c r="F46" s="331"/>
      <c r="G46" s="863"/>
      <c r="H46" s="331"/>
      <c r="I46" s="864"/>
      <c r="J46" s="343"/>
      <c r="K46" s="344"/>
      <c r="L46" s="344"/>
      <c r="M46" s="344"/>
      <c r="N46" s="344"/>
    </row>
    <row r="47" spans="1:14" ht="13.8">
      <c r="A47" s="331"/>
      <c r="B47" s="334"/>
      <c r="C47" s="334"/>
      <c r="D47" s="331"/>
      <c r="E47" s="334"/>
      <c r="F47" s="331"/>
      <c r="G47" s="863"/>
      <c r="H47" s="331"/>
      <c r="I47" s="864"/>
      <c r="J47" s="343"/>
      <c r="K47" s="344"/>
      <c r="L47" s="344"/>
      <c r="M47" s="344"/>
      <c r="N47" s="344"/>
    </row>
    <row r="48" spans="1:14" ht="13.8">
      <c r="A48" s="331"/>
      <c r="B48" s="334"/>
      <c r="C48" s="334"/>
      <c r="D48" s="331"/>
      <c r="E48" s="334"/>
      <c r="F48" s="331"/>
      <c r="G48" s="863"/>
      <c r="H48" s="331"/>
      <c r="I48" s="864"/>
      <c r="J48" s="343"/>
      <c r="K48" s="344"/>
      <c r="L48" s="344"/>
      <c r="M48" s="344"/>
      <c r="N48" s="344"/>
    </row>
    <row r="49" spans="1:14" ht="13.2">
      <c r="A49" s="1009" t="s">
        <v>67</v>
      </c>
      <c r="B49" s="931"/>
      <c r="C49" s="931"/>
      <c r="D49" s="931"/>
      <c r="E49" s="931"/>
      <c r="F49" s="931"/>
      <c r="G49" s="931"/>
      <c r="H49" s="931"/>
      <c r="I49" s="931"/>
      <c r="J49" s="931"/>
      <c r="K49" s="931"/>
      <c r="L49" s="931"/>
      <c r="M49" s="931"/>
      <c r="N49" s="932"/>
    </row>
    <row r="50" spans="1:14" ht="22.5" customHeight="1">
      <c r="A50" s="396" t="s">
        <v>165</v>
      </c>
      <c r="B50" s="431" t="s">
        <v>166</v>
      </c>
      <c r="C50" s="431" t="s">
        <v>167</v>
      </c>
      <c r="D50" s="334" t="s">
        <v>168</v>
      </c>
      <c r="E50" s="431" t="s">
        <v>169</v>
      </c>
      <c r="F50" s="742" t="s">
        <v>3801</v>
      </c>
      <c r="G50" s="743" t="s">
        <v>3802</v>
      </c>
      <c r="H50" s="744" t="s">
        <v>3803</v>
      </c>
      <c r="I50" s="744" t="s">
        <v>3804</v>
      </c>
      <c r="J50" s="745" t="s">
        <v>3805</v>
      </c>
      <c r="K50" s="745" t="s">
        <v>3806</v>
      </c>
      <c r="L50" s="431" t="s">
        <v>175</v>
      </c>
      <c r="M50" s="431" t="s">
        <v>3807</v>
      </c>
      <c r="N50" s="871" t="s">
        <v>177</v>
      </c>
    </row>
    <row r="51" spans="1:14" ht="13.8">
      <c r="A51" s="333">
        <v>20</v>
      </c>
      <c r="B51" s="333" t="s">
        <v>3808</v>
      </c>
      <c r="C51" s="333" t="s">
        <v>3809</v>
      </c>
      <c r="D51" s="333" t="s">
        <v>3810</v>
      </c>
      <c r="E51" s="384" t="s">
        <v>3811</v>
      </c>
      <c r="F51" s="766">
        <v>229</v>
      </c>
      <c r="G51" s="766">
        <f t="shared" ref="G51:G62" si="30">F51*E51</f>
        <v>1740.3999999999999</v>
      </c>
      <c r="H51" s="385">
        <f t="shared" ref="H51:J51" si="31">F51*5</f>
        <v>1145</v>
      </c>
      <c r="I51" s="385">
        <f t="shared" si="31"/>
        <v>8702</v>
      </c>
      <c r="J51" s="385">
        <f t="shared" si="31"/>
        <v>5725</v>
      </c>
      <c r="K51" s="385">
        <f t="shared" ref="K51:K62" si="32">J51*E51</f>
        <v>43510</v>
      </c>
      <c r="L51" s="385">
        <f t="shared" ref="L51:L62" si="33">J51/2</f>
        <v>2862.5</v>
      </c>
      <c r="M51" s="385">
        <f t="shared" ref="M51:M62" si="34">L51*E51</f>
        <v>21755</v>
      </c>
      <c r="N51" s="385"/>
    </row>
    <row r="52" spans="1:14" ht="13.8">
      <c r="A52" s="333">
        <v>21</v>
      </c>
      <c r="B52" s="333" t="s">
        <v>3812</v>
      </c>
      <c r="C52" s="333" t="s">
        <v>3809</v>
      </c>
      <c r="D52" s="333" t="s">
        <v>3813</v>
      </c>
      <c r="E52" s="384" t="s">
        <v>3814</v>
      </c>
      <c r="F52" s="766">
        <v>229</v>
      </c>
      <c r="G52" s="766">
        <f t="shared" si="30"/>
        <v>1694.6000000000001</v>
      </c>
      <c r="H52" s="385">
        <f t="shared" ref="H52:J52" si="35">F52*5</f>
        <v>1145</v>
      </c>
      <c r="I52" s="385">
        <f t="shared" si="35"/>
        <v>8473</v>
      </c>
      <c r="J52" s="385">
        <f t="shared" si="35"/>
        <v>5725</v>
      </c>
      <c r="K52" s="385">
        <f t="shared" si="32"/>
        <v>42365</v>
      </c>
      <c r="L52" s="385">
        <f t="shared" si="33"/>
        <v>2862.5</v>
      </c>
      <c r="M52" s="385">
        <f t="shared" si="34"/>
        <v>21182.5</v>
      </c>
      <c r="N52" s="385"/>
    </row>
    <row r="53" spans="1:14" ht="27.6">
      <c r="A53" s="333">
        <v>22</v>
      </c>
      <c r="B53" s="333" t="s">
        <v>3815</v>
      </c>
      <c r="C53" s="333" t="s">
        <v>3816</v>
      </c>
      <c r="D53" s="333" t="s">
        <v>3817</v>
      </c>
      <c r="E53" s="384" t="s">
        <v>3747</v>
      </c>
      <c r="F53" s="766">
        <v>264</v>
      </c>
      <c r="G53" s="766">
        <f t="shared" si="30"/>
        <v>1320</v>
      </c>
      <c r="H53" s="385">
        <f t="shared" ref="H53:J53" si="36">F53*5</f>
        <v>1320</v>
      </c>
      <c r="I53" s="385">
        <f t="shared" si="36"/>
        <v>6600</v>
      </c>
      <c r="J53" s="385">
        <f t="shared" si="36"/>
        <v>6600</v>
      </c>
      <c r="K53" s="385">
        <f t="shared" si="32"/>
        <v>33000</v>
      </c>
      <c r="L53" s="385">
        <f t="shared" si="33"/>
        <v>3300</v>
      </c>
      <c r="M53" s="385">
        <f t="shared" si="34"/>
        <v>16500</v>
      </c>
      <c r="N53" s="385"/>
    </row>
    <row r="54" spans="1:14" ht="27.6">
      <c r="A54" s="333">
        <v>23</v>
      </c>
      <c r="B54" s="333" t="s">
        <v>3818</v>
      </c>
      <c r="C54" s="333" t="s">
        <v>3819</v>
      </c>
      <c r="D54" s="333" t="s">
        <v>3820</v>
      </c>
      <c r="E54" s="384" t="s">
        <v>3821</v>
      </c>
      <c r="F54" s="766">
        <v>270</v>
      </c>
      <c r="G54" s="766">
        <f t="shared" si="30"/>
        <v>1971</v>
      </c>
      <c r="H54" s="385">
        <f t="shared" ref="H54:J54" si="37">F54*5</f>
        <v>1350</v>
      </c>
      <c r="I54" s="385">
        <f t="shared" si="37"/>
        <v>9855</v>
      </c>
      <c r="J54" s="385">
        <f t="shared" si="37"/>
        <v>6750</v>
      </c>
      <c r="K54" s="385">
        <f t="shared" si="32"/>
        <v>49275</v>
      </c>
      <c r="L54" s="385">
        <f t="shared" si="33"/>
        <v>3375</v>
      </c>
      <c r="M54" s="385">
        <f t="shared" si="34"/>
        <v>24637.5</v>
      </c>
      <c r="N54" s="385"/>
    </row>
    <row r="55" spans="1:14" ht="13.8">
      <c r="A55" s="333">
        <v>24</v>
      </c>
      <c r="B55" s="333" t="s">
        <v>3822</v>
      </c>
      <c r="C55" s="333" t="s">
        <v>3809</v>
      </c>
      <c r="D55" s="333" t="s">
        <v>3823</v>
      </c>
      <c r="E55" s="384" t="s">
        <v>3814</v>
      </c>
      <c r="F55" s="766">
        <v>229</v>
      </c>
      <c r="G55" s="766">
        <f t="shared" si="30"/>
        <v>1694.6000000000001</v>
      </c>
      <c r="H55" s="385">
        <f t="shared" ref="H55:J55" si="38">F55*5</f>
        <v>1145</v>
      </c>
      <c r="I55" s="385">
        <f t="shared" si="38"/>
        <v>8473</v>
      </c>
      <c r="J55" s="385">
        <f t="shared" si="38"/>
        <v>5725</v>
      </c>
      <c r="K55" s="385">
        <f t="shared" si="32"/>
        <v>42365</v>
      </c>
      <c r="L55" s="385">
        <f t="shared" si="33"/>
        <v>2862.5</v>
      </c>
      <c r="M55" s="385">
        <f t="shared" si="34"/>
        <v>21182.5</v>
      </c>
      <c r="N55" s="385"/>
    </row>
    <row r="56" spans="1:14" ht="13.8">
      <c r="A56" s="333">
        <v>26</v>
      </c>
      <c r="B56" s="333" t="s">
        <v>3824</v>
      </c>
      <c r="C56" s="333" t="s">
        <v>3816</v>
      </c>
      <c r="D56" s="333" t="s">
        <v>3825</v>
      </c>
      <c r="E56" s="384" t="s">
        <v>3826</v>
      </c>
      <c r="F56" s="766">
        <v>264</v>
      </c>
      <c r="G56" s="766">
        <f t="shared" si="30"/>
        <v>1372.8</v>
      </c>
      <c r="H56" s="385">
        <f t="shared" ref="H56:J56" si="39">F56*5</f>
        <v>1320</v>
      </c>
      <c r="I56" s="385">
        <f t="shared" si="39"/>
        <v>6864</v>
      </c>
      <c r="J56" s="385">
        <f t="shared" si="39"/>
        <v>6600</v>
      </c>
      <c r="K56" s="385">
        <f t="shared" si="32"/>
        <v>34320</v>
      </c>
      <c r="L56" s="385">
        <f t="shared" si="33"/>
        <v>3300</v>
      </c>
      <c r="M56" s="385">
        <f t="shared" si="34"/>
        <v>17160</v>
      </c>
      <c r="N56" s="385"/>
    </row>
    <row r="57" spans="1:14" ht="13.8">
      <c r="A57" s="333">
        <v>27</v>
      </c>
      <c r="B57" s="333" t="s">
        <v>3827</v>
      </c>
      <c r="C57" s="333" t="s">
        <v>3816</v>
      </c>
      <c r="D57" s="333" t="s">
        <v>3828</v>
      </c>
      <c r="E57" s="384" t="s">
        <v>3829</v>
      </c>
      <c r="F57" s="766">
        <v>264</v>
      </c>
      <c r="G57" s="766">
        <f t="shared" si="30"/>
        <v>1267.2</v>
      </c>
      <c r="H57" s="385">
        <f t="shared" ref="H57:J57" si="40">F57*5</f>
        <v>1320</v>
      </c>
      <c r="I57" s="385">
        <f t="shared" si="40"/>
        <v>6336</v>
      </c>
      <c r="J57" s="385">
        <f t="shared" si="40"/>
        <v>6600</v>
      </c>
      <c r="K57" s="385">
        <f t="shared" si="32"/>
        <v>31680</v>
      </c>
      <c r="L57" s="385">
        <f t="shared" si="33"/>
        <v>3300</v>
      </c>
      <c r="M57" s="385">
        <f t="shared" si="34"/>
        <v>15840</v>
      </c>
      <c r="N57" s="385"/>
    </row>
    <row r="58" spans="1:14" ht="13.8">
      <c r="A58" s="333">
        <v>28</v>
      </c>
      <c r="B58" s="333" t="s">
        <v>3830</v>
      </c>
      <c r="C58" s="333" t="s">
        <v>3831</v>
      </c>
      <c r="D58" s="333" t="s">
        <v>3832</v>
      </c>
      <c r="E58" s="384" t="s">
        <v>3821</v>
      </c>
      <c r="F58" s="766">
        <v>270</v>
      </c>
      <c r="G58" s="766">
        <f t="shared" si="30"/>
        <v>1971</v>
      </c>
      <c r="H58" s="385">
        <f t="shared" ref="H58:J58" si="41">F58*5</f>
        <v>1350</v>
      </c>
      <c r="I58" s="385">
        <f t="shared" si="41"/>
        <v>9855</v>
      </c>
      <c r="J58" s="385">
        <f t="shared" si="41"/>
        <v>6750</v>
      </c>
      <c r="K58" s="385">
        <f t="shared" si="32"/>
        <v>49275</v>
      </c>
      <c r="L58" s="385">
        <f t="shared" si="33"/>
        <v>3375</v>
      </c>
      <c r="M58" s="385">
        <f t="shared" si="34"/>
        <v>24637.5</v>
      </c>
      <c r="N58" s="385"/>
    </row>
    <row r="59" spans="1:14" ht="13.8">
      <c r="A59" s="333">
        <v>29</v>
      </c>
      <c r="B59" s="333" t="s">
        <v>3833</v>
      </c>
      <c r="C59" s="333" t="s">
        <v>3819</v>
      </c>
      <c r="D59" s="333" t="s">
        <v>3834</v>
      </c>
      <c r="E59" s="384" t="s">
        <v>3821</v>
      </c>
      <c r="F59" s="766">
        <v>270</v>
      </c>
      <c r="G59" s="766">
        <f t="shared" si="30"/>
        <v>1971</v>
      </c>
      <c r="H59" s="385">
        <f t="shared" ref="H59:J59" si="42">F59*5</f>
        <v>1350</v>
      </c>
      <c r="I59" s="385">
        <f t="shared" si="42"/>
        <v>9855</v>
      </c>
      <c r="J59" s="385">
        <f t="shared" si="42"/>
        <v>6750</v>
      </c>
      <c r="K59" s="385">
        <f t="shared" si="32"/>
        <v>49275</v>
      </c>
      <c r="L59" s="385">
        <f t="shared" si="33"/>
        <v>3375</v>
      </c>
      <c r="M59" s="385">
        <f t="shared" si="34"/>
        <v>24637.5</v>
      </c>
      <c r="N59" s="385"/>
    </row>
    <row r="60" spans="1:14" ht="13.8">
      <c r="A60" s="333">
        <v>30</v>
      </c>
      <c r="B60" s="333" t="s">
        <v>3835</v>
      </c>
      <c r="C60" s="333" t="s">
        <v>3831</v>
      </c>
      <c r="D60" s="333" t="s">
        <v>3836</v>
      </c>
      <c r="E60" s="384" t="s">
        <v>3814</v>
      </c>
      <c r="F60" s="766">
        <v>270</v>
      </c>
      <c r="G60" s="766">
        <f t="shared" si="30"/>
        <v>1998</v>
      </c>
      <c r="H60" s="385">
        <f t="shared" ref="H60:J60" si="43">F60*5</f>
        <v>1350</v>
      </c>
      <c r="I60" s="385">
        <f t="shared" si="43"/>
        <v>9990</v>
      </c>
      <c r="J60" s="385">
        <f t="shared" si="43"/>
        <v>6750</v>
      </c>
      <c r="K60" s="385">
        <f t="shared" si="32"/>
        <v>49950</v>
      </c>
      <c r="L60" s="385">
        <f t="shared" si="33"/>
        <v>3375</v>
      </c>
      <c r="M60" s="385">
        <f t="shared" si="34"/>
        <v>24975</v>
      </c>
      <c r="N60" s="385"/>
    </row>
    <row r="61" spans="1:14" ht="13.8">
      <c r="A61" s="333">
        <v>31</v>
      </c>
      <c r="B61" s="333" t="s">
        <v>3837</v>
      </c>
      <c r="C61" s="333" t="s">
        <v>3819</v>
      </c>
      <c r="D61" s="333" t="s">
        <v>3838</v>
      </c>
      <c r="E61" s="384" t="s">
        <v>3839</v>
      </c>
      <c r="F61" s="766">
        <v>270</v>
      </c>
      <c r="G61" s="766">
        <f t="shared" si="30"/>
        <v>1890</v>
      </c>
      <c r="H61" s="385">
        <f t="shared" ref="H61:J61" si="44">F61*5</f>
        <v>1350</v>
      </c>
      <c r="I61" s="385">
        <f t="shared" si="44"/>
        <v>9450</v>
      </c>
      <c r="J61" s="385">
        <f t="shared" si="44"/>
        <v>6750</v>
      </c>
      <c r="K61" s="385">
        <f t="shared" si="32"/>
        <v>47250</v>
      </c>
      <c r="L61" s="385">
        <f t="shared" si="33"/>
        <v>3375</v>
      </c>
      <c r="M61" s="385">
        <f t="shared" si="34"/>
        <v>23625</v>
      </c>
      <c r="N61" s="385"/>
    </row>
    <row r="62" spans="1:14" ht="13.8">
      <c r="A62" s="333">
        <v>32</v>
      </c>
      <c r="B62" s="333" t="s">
        <v>3840</v>
      </c>
      <c r="C62" s="333" t="s">
        <v>3841</v>
      </c>
      <c r="D62" s="333" t="s">
        <v>3842</v>
      </c>
      <c r="E62" s="384" t="s">
        <v>3839</v>
      </c>
      <c r="F62" s="766">
        <v>270</v>
      </c>
      <c r="G62" s="766">
        <f t="shared" si="30"/>
        <v>1890</v>
      </c>
      <c r="H62" s="385">
        <f t="shared" ref="H62:J62" si="45">F62*5</f>
        <v>1350</v>
      </c>
      <c r="I62" s="385">
        <f t="shared" si="45"/>
        <v>9450</v>
      </c>
      <c r="J62" s="385">
        <f t="shared" si="45"/>
        <v>6750</v>
      </c>
      <c r="K62" s="385">
        <f t="shared" si="32"/>
        <v>47250</v>
      </c>
      <c r="L62" s="385">
        <f t="shared" si="33"/>
        <v>3375</v>
      </c>
      <c r="M62" s="385">
        <f t="shared" si="34"/>
        <v>23625</v>
      </c>
      <c r="N62" s="385"/>
    </row>
    <row r="63" spans="1:14" ht="13.8">
      <c r="A63" s="1001" t="s">
        <v>318</v>
      </c>
      <c r="B63" s="931"/>
      <c r="C63" s="932"/>
      <c r="D63" s="789">
        <f>COUNTA(D51:D62)</f>
        <v>12</v>
      </c>
      <c r="E63" s="743"/>
      <c r="F63" s="743"/>
      <c r="G63" s="768">
        <f>SUM(G51:G62)</f>
        <v>20780.599999999999</v>
      </c>
      <c r="H63" s="743"/>
      <c r="I63" s="769">
        <f>SUM(I51:I62)</f>
        <v>103903</v>
      </c>
      <c r="J63" s="870"/>
      <c r="K63" s="870"/>
      <c r="L63" s="870"/>
      <c r="M63" s="870"/>
      <c r="N63" s="870"/>
    </row>
    <row r="64" spans="1:14" ht="13.8">
      <c r="A64" s="331"/>
      <c r="B64" s="334"/>
      <c r="C64" s="334"/>
      <c r="D64" s="331"/>
      <c r="E64" s="334"/>
      <c r="F64" s="331"/>
      <c r="G64" s="863"/>
      <c r="H64" s="331"/>
      <c r="I64" s="864"/>
      <c r="J64" s="343"/>
      <c r="K64" s="344"/>
      <c r="L64" s="344"/>
      <c r="M64" s="344"/>
      <c r="N64" s="344"/>
    </row>
    <row r="65" spans="1:14" ht="13.8">
      <c r="A65" s="331"/>
      <c r="B65" s="334"/>
      <c r="C65" s="334"/>
      <c r="D65" s="331"/>
      <c r="E65" s="334"/>
      <c r="F65" s="331"/>
      <c r="G65" s="863"/>
      <c r="H65" s="331"/>
      <c r="I65" s="864"/>
      <c r="J65" s="343"/>
      <c r="K65" s="344"/>
      <c r="L65" s="344"/>
      <c r="M65" s="344"/>
      <c r="N65" s="344"/>
    </row>
    <row r="66" spans="1:14" ht="13.8">
      <c r="A66" s="331"/>
      <c r="B66" s="334"/>
      <c r="C66" s="334"/>
      <c r="D66" s="331"/>
      <c r="E66" s="334"/>
      <c r="F66" s="331"/>
      <c r="G66" s="863"/>
      <c r="H66" s="331"/>
      <c r="I66" s="864"/>
      <c r="J66" s="343"/>
      <c r="K66" s="344"/>
      <c r="L66" s="344"/>
      <c r="M66" s="344"/>
      <c r="N66" s="344"/>
    </row>
    <row r="67" spans="1:14" ht="13.2">
      <c r="A67" s="1009" t="s">
        <v>68</v>
      </c>
      <c r="B67" s="931"/>
      <c r="C67" s="931"/>
      <c r="D67" s="931"/>
      <c r="E67" s="931"/>
      <c r="F67" s="931"/>
      <c r="G67" s="931"/>
      <c r="H67" s="931"/>
      <c r="I67" s="931"/>
      <c r="J67" s="931"/>
      <c r="K67" s="931"/>
      <c r="L67" s="931"/>
      <c r="M67" s="931"/>
      <c r="N67" s="932"/>
    </row>
    <row r="68" spans="1:14" ht="22.5" customHeight="1">
      <c r="A68" s="396" t="s">
        <v>165</v>
      </c>
      <c r="B68" s="431" t="s">
        <v>166</v>
      </c>
      <c r="C68" s="431" t="s">
        <v>167</v>
      </c>
      <c r="D68" s="334" t="s">
        <v>168</v>
      </c>
      <c r="E68" s="431" t="s">
        <v>169</v>
      </c>
      <c r="F68" s="742" t="s">
        <v>3843</v>
      </c>
      <c r="G68" s="743" t="s">
        <v>3844</v>
      </c>
      <c r="H68" s="744" t="s">
        <v>3845</v>
      </c>
      <c r="I68" s="744" t="s">
        <v>3846</v>
      </c>
      <c r="J68" s="745" t="s">
        <v>3847</v>
      </c>
      <c r="K68" s="745" t="s">
        <v>3848</v>
      </c>
      <c r="L68" s="431" t="s">
        <v>175</v>
      </c>
      <c r="M68" s="431" t="s">
        <v>3849</v>
      </c>
      <c r="N68" s="871" t="s">
        <v>177</v>
      </c>
    </row>
    <row r="69" spans="1:14" ht="13.8">
      <c r="A69" s="333">
        <v>33</v>
      </c>
      <c r="B69" s="333" t="s">
        <v>3850</v>
      </c>
      <c r="C69" s="333" t="s">
        <v>3851</v>
      </c>
      <c r="D69" s="333" t="s">
        <v>3852</v>
      </c>
      <c r="E69" s="384" t="s">
        <v>3853</v>
      </c>
      <c r="F69" s="766">
        <v>77</v>
      </c>
      <c r="G69" s="766">
        <f t="shared" ref="G69:G76" si="46">F69*E69</f>
        <v>515.9</v>
      </c>
      <c r="H69" s="385">
        <f t="shared" ref="H69:J69" si="47">F69*5</f>
        <v>385</v>
      </c>
      <c r="I69" s="385">
        <f t="shared" si="47"/>
        <v>2579.5</v>
      </c>
      <c r="J69" s="385">
        <f t="shared" si="47"/>
        <v>1925</v>
      </c>
      <c r="K69" s="385">
        <f t="shared" ref="K69:K76" si="48">J69*E69</f>
        <v>12897.5</v>
      </c>
      <c r="L69" s="385">
        <f t="shared" ref="L69:L76" si="49">J69/2</f>
        <v>962.5</v>
      </c>
      <c r="M69" s="385">
        <f t="shared" ref="M69:M76" si="50">L69*E69</f>
        <v>6448.75</v>
      </c>
      <c r="N69" s="385"/>
    </row>
    <row r="70" spans="1:14" ht="13.8">
      <c r="A70" s="333">
        <v>34</v>
      </c>
      <c r="B70" s="333" t="s">
        <v>3854</v>
      </c>
      <c r="C70" s="333" t="s">
        <v>3851</v>
      </c>
      <c r="D70" s="333" t="s">
        <v>3855</v>
      </c>
      <c r="E70" s="384" t="s">
        <v>3853</v>
      </c>
      <c r="F70" s="766">
        <v>77</v>
      </c>
      <c r="G70" s="766">
        <f t="shared" si="46"/>
        <v>515.9</v>
      </c>
      <c r="H70" s="385">
        <f t="shared" ref="H70:J70" si="51">F70*5</f>
        <v>385</v>
      </c>
      <c r="I70" s="385">
        <f t="shared" si="51"/>
        <v>2579.5</v>
      </c>
      <c r="J70" s="385">
        <f t="shared" si="51"/>
        <v>1925</v>
      </c>
      <c r="K70" s="385">
        <f t="shared" si="48"/>
        <v>12897.5</v>
      </c>
      <c r="L70" s="385">
        <f t="shared" si="49"/>
        <v>962.5</v>
      </c>
      <c r="M70" s="385">
        <f t="shared" si="50"/>
        <v>6448.75</v>
      </c>
      <c r="N70" s="385"/>
    </row>
    <row r="71" spans="1:14" ht="13.8">
      <c r="A71" s="333">
        <v>35</v>
      </c>
      <c r="B71" s="333" t="s">
        <v>3856</v>
      </c>
      <c r="C71" s="333" t="s">
        <v>3857</v>
      </c>
      <c r="D71" s="333" t="s">
        <v>3858</v>
      </c>
      <c r="E71" s="384" t="s">
        <v>3743</v>
      </c>
      <c r="F71" s="766">
        <v>60</v>
      </c>
      <c r="G71" s="766">
        <f t="shared" si="46"/>
        <v>432</v>
      </c>
      <c r="H71" s="385">
        <f t="shared" ref="H71:J71" si="52">F71*5</f>
        <v>300</v>
      </c>
      <c r="I71" s="385">
        <f t="shared" si="52"/>
        <v>2160</v>
      </c>
      <c r="J71" s="385">
        <f t="shared" si="52"/>
        <v>1500</v>
      </c>
      <c r="K71" s="385">
        <f t="shared" si="48"/>
        <v>10800</v>
      </c>
      <c r="L71" s="385">
        <f t="shared" si="49"/>
        <v>750</v>
      </c>
      <c r="M71" s="385">
        <f t="shared" si="50"/>
        <v>5400</v>
      </c>
      <c r="N71" s="385"/>
    </row>
    <row r="72" spans="1:14" ht="13.8">
      <c r="A72" s="333">
        <v>36</v>
      </c>
      <c r="B72" s="333" t="s">
        <v>3859</v>
      </c>
      <c r="C72" s="333" t="s">
        <v>3857</v>
      </c>
      <c r="D72" s="333" t="s">
        <v>3860</v>
      </c>
      <c r="E72" s="384" t="s">
        <v>3743</v>
      </c>
      <c r="F72" s="766">
        <v>60</v>
      </c>
      <c r="G72" s="766">
        <f t="shared" si="46"/>
        <v>432</v>
      </c>
      <c r="H72" s="385">
        <f t="shared" ref="H72:J72" si="53">F72*5</f>
        <v>300</v>
      </c>
      <c r="I72" s="385">
        <f t="shared" si="53"/>
        <v>2160</v>
      </c>
      <c r="J72" s="385">
        <f t="shared" si="53"/>
        <v>1500</v>
      </c>
      <c r="K72" s="385">
        <f t="shared" si="48"/>
        <v>10800</v>
      </c>
      <c r="L72" s="385">
        <f t="shared" si="49"/>
        <v>750</v>
      </c>
      <c r="M72" s="385">
        <f t="shared" si="50"/>
        <v>5400</v>
      </c>
      <c r="N72" s="385"/>
    </row>
    <row r="73" spans="1:14" ht="27.6">
      <c r="A73" s="333">
        <v>37</v>
      </c>
      <c r="B73" s="333" t="s">
        <v>3861</v>
      </c>
      <c r="C73" s="333" t="s">
        <v>3862</v>
      </c>
      <c r="D73" s="333" t="s">
        <v>3863</v>
      </c>
      <c r="E73" s="384" t="s">
        <v>3853</v>
      </c>
      <c r="F73" s="766">
        <v>68</v>
      </c>
      <c r="G73" s="766">
        <f t="shared" si="46"/>
        <v>455.6</v>
      </c>
      <c r="H73" s="385">
        <f t="shared" ref="H73:J73" si="54">F73*5</f>
        <v>340</v>
      </c>
      <c r="I73" s="385">
        <f t="shared" si="54"/>
        <v>2278</v>
      </c>
      <c r="J73" s="385">
        <f t="shared" si="54"/>
        <v>1700</v>
      </c>
      <c r="K73" s="385">
        <f t="shared" si="48"/>
        <v>11390</v>
      </c>
      <c r="L73" s="385">
        <f t="shared" si="49"/>
        <v>850</v>
      </c>
      <c r="M73" s="385">
        <f t="shared" si="50"/>
        <v>5695</v>
      </c>
      <c r="N73" s="385"/>
    </row>
    <row r="74" spans="1:14" ht="27.6">
      <c r="A74" s="333">
        <v>38</v>
      </c>
      <c r="B74" s="333" t="s">
        <v>3864</v>
      </c>
      <c r="C74" s="333" t="s">
        <v>3865</v>
      </c>
      <c r="D74" s="333" t="s">
        <v>3866</v>
      </c>
      <c r="E74" s="384" t="s">
        <v>3853</v>
      </c>
      <c r="F74" s="766">
        <v>90</v>
      </c>
      <c r="G74" s="766">
        <f t="shared" si="46"/>
        <v>603</v>
      </c>
      <c r="H74" s="385">
        <f t="shared" ref="H74:J74" si="55">F74*5</f>
        <v>450</v>
      </c>
      <c r="I74" s="385">
        <f t="shared" si="55"/>
        <v>3015</v>
      </c>
      <c r="J74" s="385">
        <f t="shared" si="55"/>
        <v>2250</v>
      </c>
      <c r="K74" s="385">
        <f t="shared" si="48"/>
        <v>15075</v>
      </c>
      <c r="L74" s="385">
        <f t="shared" si="49"/>
        <v>1125</v>
      </c>
      <c r="M74" s="385">
        <f t="shared" si="50"/>
        <v>7537.5</v>
      </c>
      <c r="N74" s="385"/>
    </row>
    <row r="75" spans="1:14" ht="13.8">
      <c r="A75" s="333">
        <v>39</v>
      </c>
      <c r="B75" s="333" t="s">
        <v>3867</v>
      </c>
      <c r="C75" s="333">
        <v>2509</v>
      </c>
      <c r="D75" s="333" t="s">
        <v>3868</v>
      </c>
      <c r="E75" s="384" t="s">
        <v>3869</v>
      </c>
      <c r="F75" s="766">
        <v>87</v>
      </c>
      <c r="G75" s="766">
        <f t="shared" si="46"/>
        <v>635.1</v>
      </c>
      <c r="H75" s="385">
        <f t="shared" ref="H75:J75" si="56">F75*5</f>
        <v>435</v>
      </c>
      <c r="I75" s="385">
        <f t="shared" si="56"/>
        <v>3175.5</v>
      </c>
      <c r="J75" s="385">
        <f t="shared" si="56"/>
        <v>2175</v>
      </c>
      <c r="K75" s="385">
        <f t="shared" si="48"/>
        <v>15877.5</v>
      </c>
      <c r="L75" s="385">
        <f t="shared" si="49"/>
        <v>1087.5</v>
      </c>
      <c r="M75" s="385">
        <f t="shared" si="50"/>
        <v>7938.75</v>
      </c>
      <c r="N75" s="385"/>
    </row>
    <row r="76" spans="1:14" ht="13.8">
      <c r="A76" s="333">
        <v>40</v>
      </c>
      <c r="B76" s="333" t="s">
        <v>3870</v>
      </c>
      <c r="C76" s="333">
        <v>5911</v>
      </c>
      <c r="D76" s="333" t="s">
        <v>3871</v>
      </c>
      <c r="E76" s="384" t="s">
        <v>3769</v>
      </c>
      <c r="F76" s="766">
        <v>98</v>
      </c>
      <c r="G76" s="766">
        <f t="shared" si="46"/>
        <v>666.4</v>
      </c>
      <c r="H76" s="385">
        <f t="shared" ref="H76:J76" si="57">F76*5</f>
        <v>490</v>
      </c>
      <c r="I76" s="385">
        <f t="shared" si="57"/>
        <v>3332</v>
      </c>
      <c r="J76" s="385">
        <f t="shared" si="57"/>
        <v>2450</v>
      </c>
      <c r="K76" s="385">
        <f t="shared" si="48"/>
        <v>16660</v>
      </c>
      <c r="L76" s="385">
        <f t="shared" si="49"/>
        <v>1225</v>
      </c>
      <c r="M76" s="385">
        <f t="shared" si="50"/>
        <v>8330</v>
      </c>
      <c r="N76" s="385"/>
    </row>
    <row r="77" spans="1:14" ht="13.8">
      <c r="A77" s="1001" t="s">
        <v>318</v>
      </c>
      <c r="B77" s="931"/>
      <c r="C77" s="932"/>
      <c r="D77" s="789">
        <f>COUNTA(D69:D76)</f>
        <v>8</v>
      </c>
      <c r="E77" s="743"/>
      <c r="F77" s="743"/>
      <c r="G77" s="768">
        <f>SUM(G69:G76)</f>
        <v>4255.8999999999996</v>
      </c>
      <c r="H77" s="743"/>
      <c r="I77" s="769">
        <f>G77*5</f>
        <v>21279.5</v>
      </c>
      <c r="J77" s="869"/>
      <c r="K77" s="870"/>
      <c r="L77" s="870"/>
      <c r="M77" s="870"/>
      <c r="N77" s="870"/>
    </row>
    <row r="78" spans="1:14" ht="13.8">
      <c r="A78" s="331"/>
      <c r="B78" s="334"/>
      <c r="C78" s="334"/>
      <c r="D78" s="331"/>
      <c r="E78" s="334"/>
      <c r="F78" s="331"/>
      <c r="G78" s="863"/>
      <c r="H78" s="331"/>
      <c r="I78" s="864"/>
      <c r="J78" s="343"/>
      <c r="K78" s="344"/>
      <c r="L78" s="344"/>
      <c r="M78" s="344"/>
      <c r="N78" s="344"/>
    </row>
    <row r="79" spans="1:14" ht="13.8">
      <c r="A79" s="331"/>
      <c r="B79" s="334"/>
      <c r="C79" s="334"/>
      <c r="D79" s="331"/>
      <c r="E79" s="334"/>
      <c r="F79" s="331"/>
      <c r="G79" s="863"/>
      <c r="H79" s="331"/>
      <c r="I79" s="864"/>
      <c r="J79" s="343"/>
      <c r="K79" s="344"/>
      <c r="L79" s="344"/>
      <c r="M79" s="344"/>
      <c r="N79" s="344"/>
    </row>
    <row r="80" spans="1:14" ht="13.8">
      <c r="A80" s="331"/>
      <c r="B80" s="334"/>
      <c r="C80" s="334"/>
      <c r="D80" s="331"/>
      <c r="E80" s="334"/>
      <c r="F80" s="331"/>
      <c r="G80" s="863"/>
      <c r="H80" s="331"/>
      <c r="I80" s="864"/>
      <c r="J80" s="343"/>
      <c r="K80" s="344"/>
      <c r="L80" s="344"/>
      <c r="M80" s="344"/>
      <c r="N80" s="344"/>
    </row>
    <row r="81" spans="1:14" ht="13.2">
      <c r="A81" s="1009" t="s">
        <v>69</v>
      </c>
      <c r="B81" s="931"/>
      <c r="C81" s="931"/>
      <c r="D81" s="931"/>
      <c r="E81" s="931"/>
      <c r="F81" s="931"/>
      <c r="G81" s="931"/>
      <c r="H81" s="931"/>
      <c r="I81" s="931"/>
      <c r="J81" s="931"/>
      <c r="K81" s="931"/>
      <c r="L81" s="931"/>
      <c r="M81" s="931"/>
      <c r="N81" s="932"/>
    </row>
    <row r="82" spans="1:14" ht="22.5" customHeight="1">
      <c r="A82" s="396" t="s">
        <v>165</v>
      </c>
      <c r="B82" s="431" t="s">
        <v>166</v>
      </c>
      <c r="C82" s="431" t="s">
        <v>167</v>
      </c>
      <c r="D82" s="334" t="s">
        <v>168</v>
      </c>
      <c r="E82" s="431" t="s">
        <v>169</v>
      </c>
      <c r="F82" s="742" t="s">
        <v>3872</v>
      </c>
      <c r="G82" s="743" t="s">
        <v>3873</v>
      </c>
      <c r="H82" s="744" t="s">
        <v>3874</v>
      </c>
      <c r="I82" s="744" t="s">
        <v>3875</v>
      </c>
      <c r="J82" s="745" t="s">
        <v>3876</v>
      </c>
      <c r="K82" s="745" t="s">
        <v>3877</v>
      </c>
      <c r="L82" s="431" t="s">
        <v>175</v>
      </c>
      <c r="M82" s="431" t="s">
        <v>3878</v>
      </c>
      <c r="N82" s="871" t="s">
        <v>177</v>
      </c>
    </row>
    <row r="83" spans="1:14" ht="13.8">
      <c r="A83" s="333">
        <v>41</v>
      </c>
      <c r="B83" s="333" t="s">
        <v>3879</v>
      </c>
      <c r="C83" s="333" t="s">
        <v>3880</v>
      </c>
      <c r="D83" s="333" t="s">
        <v>3881</v>
      </c>
      <c r="E83" s="384" t="s">
        <v>3882</v>
      </c>
      <c r="F83" s="766">
        <v>38</v>
      </c>
      <c r="G83" s="766">
        <f t="shared" ref="G83:G88" si="58">F83*E83</f>
        <v>190</v>
      </c>
      <c r="H83" s="385">
        <f t="shared" ref="H83:J83" si="59">F83*5</f>
        <v>190</v>
      </c>
      <c r="I83" s="385">
        <f t="shared" si="59"/>
        <v>950</v>
      </c>
      <c r="J83" s="385">
        <f t="shared" si="59"/>
        <v>950</v>
      </c>
      <c r="K83" s="385">
        <f t="shared" ref="K83:K88" si="60">J83*E83</f>
        <v>4750</v>
      </c>
      <c r="L83" s="385">
        <f t="shared" ref="L83:L88" si="61">J83/2</f>
        <v>475</v>
      </c>
      <c r="M83" s="385">
        <f t="shared" ref="M83:M88" si="62">L83*E83</f>
        <v>2375</v>
      </c>
      <c r="N83" s="385"/>
    </row>
    <row r="84" spans="1:14" ht="13.8">
      <c r="A84" s="333">
        <v>42</v>
      </c>
      <c r="B84" s="333" t="s">
        <v>3883</v>
      </c>
      <c r="C84" s="333" t="s">
        <v>3884</v>
      </c>
      <c r="D84" s="352" t="s">
        <v>3885</v>
      </c>
      <c r="E84" s="384" t="s">
        <v>3882</v>
      </c>
      <c r="F84" s="766">
        <v>38</v>
      </c>
      <c r="G84" s="766">
        <f t="shared" si="58"/>
        <v>190</v>
      </c>
      <c r="H84" s="385">
        <f t="shared" ref="H84:J84" si="63">F84*5</f>
        <v>190</v>
      </c>
      <c r="I84" s="385">
        <f t="shared" si="63"/>
        <v>950</v>
      </c>
      <c r="J84" s="385">
        <f t="shared" si="63"/>
        <v>950</v>
      </c>
      <c r="K84" s="385">
        <f t="shared" si="60"/>
        <v>4750</v>
      </c>
      <c r="L84" s="385">
        <f t="shared" si="61"/>
        <v>475</v>
      </c>
      <c r="M84" s="385">
        <f t="shared" si="62"/>
        <v>2375</v>
      </c>
      <c r="N84" s="385"/>
    </row>
    <row r="85" spans="1:14" ht="13.8">
      <c r="A85" s="333">
        <v>43</v>
      </c>
      <c r="B85" s="333" t="s">
        <v>3886</v>
      </c>
      <c r="C85" s="333" t="s">
        <v>3887</v>
      </c>
      <c r="D85" s="352" t="s">
        <v>3888</v>
      </c>
      <c r="E85" s="384" t="s">
        <v>3882</v>
      </c>
      <c r="F85" s="766">
        <v>38</v>
      </c>
      <c r="G85" s="766">
        <f t="shared" si="58"/>
        <v>190</v>
      </c>
      <c r="H85" s="385">
        <f t="shared" ref="H85:J85" si="64">F85*5</f>
        <v>190</v>
      </c>
      <c r="I85" s="385">
        <f t="shared" si="64"/>
        <v>950</v>
      </c>
      <c r="J85" s="385">
        <f t="shared" si="64"/>
        <v>950</v>
      </c>
      <c r="K85" s="385">
        <f t="shared" si="60"/>
        <v>4750</v>
      </c>
      <c r="L85" s="385">
        <f t="shared" si="61"/>
        <v>475</v>
      </c>
      <c r="M85" s="385">
        <f t="shared" si="62"/>
        <v>2375</v>
      </c>
      <c r="N85" s="385"/>
    </row>
    <row r="86" spans="1:14" ht="13.8">
      <c r="A86" s="333">
        <v>44</v>
      </c>
      <c r="B86" s="333" t="s">
        <v>3889</v>
      </c>
      <c r="C86" s="333" t="s">
        <v>3890</v>
      </c>
      <c r="D86" s="352" t="s">
        <v>3881</v>
      </c>
      <c r="E86" s="384" t="s">
        <v>3882</v>
      </c>
      <c r="F86" s="766">
        <v>38</v>
      </c>
      <c r="G86" s="766">
        <f t="shared" si="58"/>
        <v>190</v>
      </c>
      <c r="H86" s="385">
        <f t="shared" ref="H86:J86" si="65">F86*5</f>
        <v>190</v>
      </c>
      <c r="I86" s="385">
        <f t="shared" si="65"/>
        <v>950</v>
      </c>
      <c r="J86" s="385">
        <f t="shared" si="65"/>
        <v>950</v>
      </c>
      <c r="K86" s="385">
        <f t="shared" si="60"/>
        <v>4750</v>
      </c>
      <c r="L86" s="385">
        <f t="shared" si="61"/>
        <v>475</v>
      </c>
      <c r="M86" s="385">
        <f t="shared" si="62"/>
        <v>2375</v>
      </c>
      <c r="N86" s="385"/>
    </row>
    <row r="87" spans="1:14" ht="13.8">
      <c r="A87" s="333">
        <v>45</v>
      </c>
      <c r="B87" s="333" t="s">
        <v>3891</v>
      </c>
      <c r="C87" s="333" t="s">
        <v>3892</v>
      </c>
      <c r="D87" s="352" t="s">
        <v>3893</v>
      </c>
      <c r="E87" s="384" t="s">
        <v>3882</v>
      </c>
      <c r="F87" s="766">
        <v>38</v>
      </c>
      <c r="G87" s="766">
        <f t="shared" si="58"/>
        <v>190</v>
      </c>
      <c r="H87" s="385">
        <f t="shared" ref="H87:J87" si="66">F87*5</f>
        <v>190</v>
      </c>
      <c r="I87" s="385">
        <f t="shared" si="66"/>
        <v>950</v>
      </c>
      <c r="J87" s="385">
        <f t="shared" si="66"/>
        <v>950</v>
      </c>
      <c r="K87" s="385">
        <f t="shared" si="60"/>
        <v>4750</v>
      </c>
      <c r="L87" s="385">
        <f t="shared" si="61"/>
        <v>475</v>
      </c>
      <c r="M87" s="385">
        <f t="shared" si="62"/>
        <v>2375</v>
      </c>
      <c r="N87" s="385"/>
    </row>
    <row r="88" spans="1:14" ht="13.8">
      <c r="A88" s="333">
        <v>46</v>
      </c>
      <c r="B88" s="333" t="s">
        <v>3894</v>
      </c>
      <c r="C88" s="333" t="s">
        <v>3895</v>
      </c>
      <c r="D88" s="352" t="s">
        <v>3896</v>
      </c>
      <c r="E88" s="384" t="s">
        <v>3882</v>
      </c>
      <c r="F88" s="766">
        <v>38</v>
      </c>
      <c r="G88" s="766">
        <f t="shared" si="58"/>
        <v>190</v>
      </c>
      <c r="H88" s="385">
        <f t="shared" ref="H88:J88" si="67">F88*5</f>
        <v>190</v>
      </c>
      <c r="I88" s="385">
        <f t="shared" si="67"/>
        <v>950</v>
      </c>
      <c r="J88" s="385">
        <f t="shared" si="67"/>
        <v>950</v>
      </c>
      <c r="K88" s="385">
        <f t="shared" si="60"/>
        <v>4750</v>
      </c>
      <c r="L88" s="385">
        <f t="shared" si="61"/>
        <v>475</v>
      </c>
      <c r="M88" s="385">
        <f t="shared" si="62"/>
        <v>2375</v>
      </c>
      <c r="N88" s="385"/>
    </row>
    <row r="89" spans="1:14" ht="15.6">
      <c r="A89" s="1008" t="s">
        <v>26</v>
      </c>
      <c r="B89" s="931"/>
      <c r="C89" s="932"/>
      <c r="D89" s="866">
        <f>COUNTA(D83:D88)</f>
        <v>6</v>
      </c>
      <c r="E89" s="743"/>
      <c r="F89" s="743"/>
      <c r="G89" s="867">
        <f>SUM(G83:G88)</f>
        <v>1140</v>
      </c>
      <c r="H89" s="743"/>
      <c r="I89" s="868">
        <f>SUM(I83:I88)</f>
        <v>5700</v>
      </c>
      <c r="J89" s="869"/>
      <c r="K89" s="870"/>
      <c r="L89" s="870"/>
      <c r="M89" s="870"/>
      <c r="N89" s="870"/>
    </row>
    <row r="90" spans="1:14" ht="13.8">
      <c r="A90" s="331"/>
      <c r="B90" s="334"/>
      <c r="C90" s="334"/>
      <c r="D90" s="331"/>
      <c r="E90" s="334"/>
      <c r="F90" s="331"/>
      <c r="G90" s="863"/>
      <c r="H90" s="331"/>
      <c r="I90" s="864"/>
      <c r="J90" s="343"/>
      <c r="K90" s="344"/>
      <c r="L90" s="344"/>
      <c r="M90" s="344"/>
      <c r="N90" s="344"/>
    </row>
    <row r="91" spans="1:14" ht="13.8">
      <c r="A91" s="331"/>
      <c r="B91" s="334"/>
      <c r="C91" s="334"/>
      <c r="D91" s="331"/>
      <c r="E91" s="334"/>
      <c r="F91" s="331"/>
      <c r="G91" s="863"/>
      <c r="H91" s="331"/>
      <c r="I91" s="864"/>
      <c r="J91" s="343"/>
      <c r="K91" s="344"/>
      <c r="L91" s="344"/>
      <c r="M91" s="344"/>
      <c r="N91" s="344"/>
    </row>
    <row r="92" spans="1:14" ht="13.8">
      <c r="A92" s="331"/>
      <c r="B92" s="334"/>
      <c r="C92" s="334"/>
      <c r="D92" s="331"/>
      <c r="E92" s="334"/>
      <c r="F92" s="331"/>
      <c r="G92" s="863"/>
      <c r="H92" s="331"/>
      <c r="I92" s="864"/>
      <c r="J92" s="343"/>
      <c r="K92" s="344"/>
      <c r="L92" s="344"/>
      <c r="M92" s="344"/>
      <c r="N92" s="344"/>
    </row>
    <row r="93" spans="1:14" ht="13.2">
      <c r="A93" s="1009" t="s">
        <v>70</v>
      </c>
      <c r="B93" s="931"/>
      <c r="C93" s="931"/>
      <c r="D93" s="931"/>
      <c r="E93" s="931"/>
      <c r="F93" s="931"/>
      <c r="G93" s="931"/>
      <c r="H93" s="931"/>
      <c r="I93" s="931"/>
      <c r="J93" s="931"/>
      <c r="K93" s="931"/>
      <c r="L93" s="931"/>
      <c r="M93" s="931"/>
      <c r="N93" s="932"/>
    </row>
    <row r="94" spans="1:14" ht="22.5" customHeight="1">
      <c r="A94" s="396" t="s">
        <v>165</v>
      </c>
      <c r="B94" s="431" t="s">
        <v>166</v>
      </c>
      <c r="C94" s="431" t="s">
        <v>167</v>
      </c>
      <c r="D94" s="334" t="s">
        <v>168</v>
      </c>
      <c r="E94" s="431" t="s">
        <v>169</v>
      </c>
      <c r="F94" s="742" t="s">
        <v>3897</v>
      </c>
      <c r="G94" s="743" t="s">
        <v>3898</v>
      </c>
      <c r="H94" s="744" t="s">
        <v>3899</v>
      </c>
      <c r="I94" s="744" t="s">
        <v>3900</v>
      </c>
      <c r="J94" s="745" t="s">
        <v>3901</v>
      </c>
      <c r="K94" s="745" t="s">
        <v>3902</v>
      </c>
      <c r="L94" s="431" t="s">
        <v>175</v>
      </c>
      <c r="M94" s="431" t="s">
        <v>3903</v>
      </c>
      <c r="N94" s="871" t="s">
        <v>177</v>
      </c>
    </row>
    <row r="95" spans="1:14" ht="13.8">
      <c r="A95" s="333">
        <v>47</v>
      </c>
      <c r="B95" s="333" t="s">
        <v>3904</v>
      </c>
      <c r="C95" s="333">
        <v>216059</v>
      </c>
      <c r="D95" s="333" t="s">
        <v>3905</v>
      </c>
      <c r="E95" s="384" t="s">
        <v>3839</v>
      </c>
      <c r="F95" s="766">
        <v>72</v>
      </c>
      <c r="G95" s="766">
        <f t="shared" ref="G95:G98" si="68">F95*E95</f>
        <v>504</v>
      </c>
      <c r="H95" s="385">
        <f t="shared" ref="H95:J95" si="69">F95*5</f>
        <v>360</v>
      </c>
      <c r="I95" s="385">
        <f t="shared" si="69"/>
        <v>2520</v>
      </c>
      <c r="J95" s="385">
        <f t="shared" si="69"/>
        <v>1800</v>
      </c>
      <c r="K95" s="385">
        <f t="shared" ref="K95:K98" si="70">J95*E95</f>
        <v>12600</v>
      </c>
      <c r="L95" s="385">
        <f t="shared" ref="L95:L98" si="71">J95/2</f>
        <v>900</v>
      </c>
      <c r="M95" s="385">
        <f t="shared" ref="M95:M98" si="72">L95*E95</f>
        <v>6300</v>
      </c>
      <c r="N95" s="385"/>
    </row>
    <row r="96" spans="1:14" ht="13.8">
      <c r="A96" s="333">
        <v>48</v>
      </c>
      <c r="B96" s="333" t="s">
        <v>3906</v>
      </c>
      <c r="C96" s="333">
        <v>216059</v>
      </c>
      <c r="D96" s="333" t="s">
        <v>3907</v>
      </c>
      <c r="E96" s="384" t="s">
        <v>3839</v>
      </c>
      <c r="F96" s="766">
        <v>72</v>
      </c>
      <c r="G96" s="766">
        <f t="shared" si="68"/>
        <v>504</v>
      </c>
      <c r="H96" s="385">
        <f t="shared" ref="H96:J96" si="73">F96*5</f>
        <v>360</v>
      </c>
      <c r="I96" s="385">
        <f t="shared" si="73"/>
        <v>2520</v>
      </c>
      <c r="J96" s="385">
        <f t="shared" si="73"/>
        <v>1800</v>
      </c>
      <c r="K96" s="385">
        <f t="shared" si="70"/>
        <v>12600</v>
      </c>
      <c r="L96" s="385">
        <f t="shared" si="71"/>
        <v>900</v>
      </c>
      <c r="M96" s="385">
        <f t="shared" si="72"/>
        <v>6300</v>
      </c>
      <c r="N96" s="385"/>
    </row>
    <row r="97" spans="1:14" ht="13.8">
      <c r="A97" s="333">
        <v>49</v>
      </c>
      <c r="B97" s="333" t="s">
        <v>3908</v>
      </c>
      <c r="C97" s="333">
        <v>216059</v>
      </c>
      <c r="D97" s="333" t="s">
        <v>3909</v>
      </c>
      <c r="E97" s="384" t="s">
        <v>3839</v>
      </c>
      <c r="F97" s="766">
        <v>72</v>
      </c>
      <c r="G97" s="766">
        <f t="shared" si="68"/>
        <v>504</v>
      </c>
      <c r="H97" s="385">
        <f t="shared" ref="H97:J97" si="74">F97*5</f>
        <v>360</v>
      </c>
      <c r="I97" s="385">
        <f t="shared" si="74"/>
        <v>2520</v>
      </c>
      <c r="J97" s="385">
        <f t="shared" si="74"/>
        <v>1800</v>
      </c>
      <c r="K97" s="385">
        <f t="shared" si="70"/>
        <v>12600</v>
      </c>
      <c r="L97" s="385">
        <f t="shared" si="71"/>
        <v>900</v>
      </c>
      <c r="M97" s="385">
        <f t="shared" si="72"/>
        <v>6300</v>
      </c>
      <c r="N97" s="385"/>
    </row>
    <row r="98" spans="1:14" ht="27.6">
      <c r="A98" s="333">
        <v>50</v>
      </c>
      <c r="B98" s="333" t="s">
        <v>3910</v>
      </c>
      <c r="C98" s="333">
        <v>216059</v>
      </c>
      <c r="D98" s="333" t="s">
        <v>3911</v>
      </c>
      <c r="E98" s="384" t="s">
        <v>3839</v>
      </c>
      <c r="F98" s="766">
        <v>72</v>
      </c>
      <c r="G98" s="766">
        <f t="shared" si="68"/>
        <v>504</v>
      </c>
      <c r="H98" s="385">
        <f t="shared" ref="H98:J98" si="75">F98*5</f>
        <v>360</v>
      </c>
      <c r="I98" s="385">
        <f t="shared" si="75"/>
        <v>2520</v>
      </c>
      <c r="J98" s="385">
        <f t="shared" si="75"/>
        <v>1800</v>
      </c>
      <c r="K98" s="385">
        <f t="shared" si="70"/>
        <v>12600</v>
      </c>
      <c r="L98" s="385">
        <f t="shared" si="71"/>
        <v>900</v>
      </c>
      <c r="M98" s="385">
        <f t="shared" si="72"/>
        <v>6300</v>
      </c>
      <c r="N98" s="385"/>
    </row>
    <row r="99" spans="1:14" ht="15.6">
      <c r="A99" s="1008" t="s">
        <v>318</v>
      </c>
      <c r="B99" s="931"/>
      <c r="C99" s="932"/>
      <c r="D99" s="743">
        <f>COUNTA(D95:D98)</f>
        <v>4</v>
      </c>
      <c r="E99" s="743"/>
      <c r="F99" s="869"/>
      <c r="G99" s="867">
        <f>SUM(G95:G98)</f>
        <v>2016</v>
      </c>
      <c r="H99" s="743"/>
      <c r="I99" s="868">
        <f>SUM(I95:I98)</f>
        <v>10080</v>
      </c>
      <c r="J99" s="869"/>
      <c r="K99" s="870"/>
      <c r="L99" s="870"/>
      <c r="M99" s="870"/>
      <c r="N99" s="870"/>
    </row>
    <row r="100" spans="1:14" ht="13.8">
      <c r="A100" s="331"/>
      <c r="B100" s="334"/>
      <c r="C100" s="334"/>
      <c r="D100" s="331"/>
      <c r="E100" s="334"/>
      <c r="F100" s="331"/>
      <c r="G100" s="863"/>
      <c r="H100" s="331"/>
      <c r="I100" s="864"/>
      <c r="J100" s="343"/>
      <c r="K100" s="344"/>
      <c r="L100" s="344"/>
      <c r="M100" s="344"/>
      <c r="N100" s="344"/>
    </row>
    <row r="101" spans="1:14" ht="13.8">
      <c r="A101" s="331"/>
      <c r="B101" s="334"/>
      <c r="C101" s="334"/>
      <c r="D101" s="331"/>
      <c r="E101" s="334"/>
      <c r="F101" s="331"/>
      <c r="G101" s="863"/>
      <c r="H101" s="331"/>
      <c r="I101" s="864"/>
      <c r="J101" s="343"/>
      <c r="K101" s="344"/>
      <c r="L101" s="344"/>
      <c r="M101" s="344"/>
      <c r="N101" s="344"/>
    </row>
    <row r="102" spans="1:14" ht="13.8">
      <c r="A102" s="331"/>
      <c r="B102" s="334"/>
      <c r="C102" s="334"/>
      <c r="D102" s="331"/>
      <c r="E102" s="334"/>
      <c r="F102" s="331"/>
      <c r="G102" s="863"/>
      <c r="H102" s="331"/>
      <c r="I102" s="864"/>
      <c r="J102" s="343"/>
      <c r="K102" s="344"/>
      <c r="L102" s="344"/>
      <c r="M102" s="344"/>
      <c r="N102" s="344"/>
    </row>
    <row r="103" spans="1:14" ht="13.2">
      <c r="A103" s="1009" t="s">
        <v>3912</v>
      </c>
      <c r="B103" s="931"/>
      <c r="C103" s="931"/>
      <c r="D103" s="931"/>
      <c r="E103" s="931"/>
      <c r="F103" s="931"/>
      <c r="G103" s="931"/>
      <c r="H103" s="931"/>
      <c r="I103" s="931"/>
      <c r="J103" s="931"/>
      <c r="K103" s="931"/>
      <c r="L103" s="931"/>
      <c r="M103" s="931"/>
      <c r="N103" s="932"/>
    </row>
    <row r="104" spans="1:14" ht="22.5" customHeight="1">
      <c r="A104" s="396" t="s">
        <v>165</v>
      </c>
      <c r="B104" s="431" t="s">
        <v>166</v>
      </c>
      <c r="C104" s="431" t="s">
        <v>167</v>
      </c>
      <c r="D104" s="334" t="s">
        <v>168</v>
      </c>
      <c r="E104" s="431" t="s">
        <v>169</v>
      </c>
      <c r="F104" s="742" t="s">
        <v>3913</v>
      </c>
      <c r="G104" s="743" t="s">
        <v>3914</v>
      </c>
      <c r="H104" s="744" t="s">
        <v>3915</v>
      </c>
      <c r="I104" s="744" t="s">
        <v>3916</v>
      </c>
      <c r="J104" s="745" t="s">
        <v>3917</v>
      </c>
      <c r="K104" s="745" t="s">
        <v>3918</v>
      </c>
      <c r="L104" s="431" t="s">
        <v>175</v>
      </c>
      <c r="M104" s="431" t="s">
        <v>3919</v>
      </c>
      <c r="N104" s="871" t="s">
        <v>177</v>
      </c>
    </row>
    <row r="105" spans="1:14" ht="13.8">
      <c r="A105" s="333">
        <v>51</v>
      </c>
      <c r="B105" s="333" t="s">
        <v>3920</v>
      </c>
      <c r="C105" s="333" t="s">
        <v>3921</v>
      </c>
      <c r="D105" s="333" t="s">
        <v>3852</v>
      </c>
      <c r="E105" s="384" t="s">
        <v>2281</v>
      </c>
      <c r="F105" s="766">
        <v>50</v>
      </c>
      <c r="G105" s="766">
        <f t="shared" ref="G105:G119" si="76">F105*E105</f>
        <v>315</v>
      </c>
      <c r="H105" s="385">
        <f t="shared" ref="H105:J105" si="77">F105*5</f>
        <v>250</v>
      </c>
      <c r="I105" s="385">
        <f t="shared" si="77"/>
        <v>1575</v>
      </c>
      <c r="J105" s="385">
        <f t="shared" si="77"/>
        <v>1250</v>
      </c>
      <c r="K105" s="385">
        <f t="shared" ref="K105:K119" si="78">J105*E105</f>
        <v>7875</v>
      </c>
      <c r="L105" s="385">
        <f t="shared" ref="L105:L119" si="79">J105/2</f>
        <v>625</v>
      </c>
      <c r="M105" s="385">
        <f t="shared" ref="M105:M119" si="80">L105*E105</f>
        <v>3937.5</v>
      </c>
      <c r="N105" s="385"/>
    </row>
    <row r="106" spans="1:14" ht="13.8">
      <c r="A106" s="333">
        <v>52</v>
      </c>
      <c r="B106" s="333" t="s">
        <v>3922</v>
      </c>
      <c r="C106" s="333" t="s">
        <v>3923</v>
      </c>
      <c r="D106" s="333" t="s">
        <v>3924</v>
      </c>
      <c r="E106" s="384" t="s">
        <v>3925</v>
      </c>
      <c r="F106" s="766">
        <v>50</v>
      </c>
      <c r="G106" s="766">
        <f t="shared" si="76"/>
        <v>310</v>
      </c>
      <c r="H106" s="385">
        <f t="shared" ref="H106:J106" si="81">F106*5</f>
        <v>250</v>
      </c>
      <c r="I106" s="385">
        <f t="shared" si="81"/>
        <v>1550</v>
      </c>
      <c r="J106" s="385">
        <f t="shared" si="81"/>
        <v>1250</v>
      </c>
      <c r="K106" s="385">
        <f t="shared" si="78"/>
        <v>7750</v>
      </c>
      <c r="L106" s="385">
        <f t="shared" si="79"/>
        <v>625</v>
      </c>
      <c r="M106" s="385">
        <f t="shared" si="80"/>
        <v>3875</v>
      </c>
      <c r="N106" s="385"/>
    </row>
    <row r="107" spans="1:14" ht="13.8">
      <c r="A107" s="333">
        <v>53</v>
      </c>
      <c r="B107" s="333" t="s">
        <v>3926</v>
      </c>
      <c r="C107" s="333" t="s">
        <v>3927</v>
      </c>
      <c r="D107" s="333" t="s">
        <v>3928</v>
      </c>
      <c r="E107" s="384" t="s">
        <v>3929</v>
      </c>
      <c r="F107" s="766">
        <v>64</v>
      </c>
      <c r="G107" s="766">
        <f t="shared" si="76"/>
        <v>416</v>
      </c>
      <c r="H107" s="385">
        <f t="shared" ref="H107:J107" si="82">F107*5</f>
        <v>320</v>
      </c>
      <c r="I107" s="385">
        <f t="shared" si="82"/>
        <v>2080</v>
      </c>
      <c r="J107" s="385">
        <f t="shared" si="82"/>
        <v>1600</v>
      </c>
      <c r="K107" s="385">
        <f t="shared" si="78"/>
        <v>10400</v>
      </c>
      <c r="L107" s="385">
        <f t="shared" si="79"/>
        <v>800</v>
      </c>
      <c r="M107" s="385">
        <f t="shared" si="80"/>
        <v>5200</v>
      </c>
      <c r="N107" s="385"/>
    </row>
    <row r="108" spans="1:14" ht="13.8">
      <c r="A108" s="333">
        <v>54</v>
      </c>
      <c r="B108" s="333" t="s">
        <v>3930</v>
      </c>
      <c r="C108" s="333" t="s">
        <v>3931</v>
      </c>
      <c r="D108" s="333" t="s">
        <v>3932</v>
      </c>
      <c r="E108" s="384" t="s">
        <v>3933</v>
      </c>
      <c r="F108" s="766">
        <v>64</v>
      </c>
      <c r="G108" s="766">
        <f t="shared" si="76"/>
        <v>428.8</v>
      </c>
      <c r="H108" s="385">
        <f t="shared" ref="H108:J108" si="83">F108*5</f>
        <v>320</v>
      </c>
      <c r="I108" s="385">
        <f t="shared" si="83"/>
        <v>2144</v>
      </c>
      <c r="J108" s="385">
        <f t="shared" si="83"/>
        <v>1600</v>
      </c>
      <c r="K108" s="385">
        <f t="shared" si="78"/>
        <v>10720</v>
      </c>
      <c r="L108" s="385">
        <f t="shared" si="79"/>
        <v>800</v>
      </c>
      <c r="M108" s="385">
        <f t="shared" si="80"/>
        <v>5360</v>
      </c>
      <c r="N108" s="385"/>
    </row>
    <row r="109" spans="1:14" ht="27.6">
      <c r="A109" s="333">
        <v>55</v>
      </c>
      <c r="B109" s="333" t="s">
        <v>3934</v>
      </c>
      <c r="C109" s="333" t="s">
        <v>3935</v>
      </c>
      <c r="D109" s="333" t="s">
        <v>3936</v>
      </c>
      <c r="E109" s="384" t="s">
        <v>3937</v>
      </c>
      <c r="F109" s="766">
        <v>53</v>
      </c>
      <c r="G109" s="766">
        <f t="shared" si="76"/>
        <v>360.4</v>
      </c>
      <c r="H109" s="385">
        <f t="shared" ref="H109:J109" si="84">F109*5</f>
        <v>265</v>
      </c>
      <c r="I109" s="385">
        <f t="shared" si="84"/>
        <v>1802</v>
      </c>
      <c r="J109" s="385">
        <f t="shared" si="84"/>
        <v>1325</v>
      </c>
      <c r="K109" s="385">
        <f t="shared" si="78"/>
        <v>9010</v>
      </c>
      <c r="L109" s="385">
        <f t="shared" si="79"/>
        <v>662.5</v>
      </c>
      <c r="M109" s="385">
        <f t="shared" si="80"/>
        <v>4505</v>
      </c>
      <c r="N109" s="385"/>
    </row>
    <row r="110" spans="1:14" ht="13.8">
      <c r="A110" s="333">
        <v>56</v>
      </c>
      <c r="B110" s="333" t="s">
        <v>3938</v>
      </c>
      <c r="C110" s="333" t="s">
        <v>3939</v>
      </c>
      <c r="D110" s="333" t="s">
        <v>3940</v>
      </c>
      <c r="E110" s="384" t="s">
        <v>3941</v>
      </c>
      <c r="F110" s="766">
        <v>53</v>
      </c>
      <c r="G110" s="766">
        <f t="shared" si="76"/>
        <v>349.79999999999995</v>
      </c>
      <c r="H110" s="385">
        <f t="shared" ref="H110:J110" si="85">F110*5</f>
        <v>265</v>
      </c>
      <c r="I110" s="385">
        <f t="shared" si="85"/>
        <v>1748.9999999999998</v>
      </c>
      <c r="J110" s="385">
        <f t="shared" si="85"/>
        <v>1325</v>
      </c>
      <c r="K110" s="385">
        <f t="shared" si="78"/>
        <v>8745</v>
      </c>
      <c r="L110" s="385">
        <f t="shared" si="79"/>
        <v>662.5</v>
      </c>
      <c r="M110" s="385">
        <f t="shared" si="80"/>
        <v>4372.5</v>
      </c>
      <c r="N110" s="385"/>
    </row>
    <row r="111" spans="1:14" ht="13.8">
      <c r="A111" s="333">
        <v>57</v>
      </c>
      <c r="B111" s="333" t="s">
        <v>3942</v>
      </c>
      <c r="C111" s="333" t="s">
        <v>3943</v>
      </c>
      <c r="D111" s="333" t="s">
        <v>3944</v>
      </c>
      <c r="E111" s="384" t="s">
        <v>3925</v>
      </c>
      <c r="F111" s="766">
        <v>42</v>
      </c>
      <c r="G111" s="766">
        <f t="shared" si="76"/>
        <v>260.40000000000003</v>
      </c>
      <c r="H111" s="385">
        <f t="shared" ref="H111:J111" si="86">F111*5</f>
        <v>210</v>
      </c>
      <c r="I111" s="385">
        <f t="shared" si="86"/>
        <v>1302.0000000000002</v>
      </c>
      <c r="J111" s="385">
        <f t="shared" si="86"/>
        <v>1050</v>
      </c>
      <c r="K111" s="385">
        <f t="shared" si="78"/>
        <v>6510</v>
      </c>
      <c r="L111" s="385">
        <f t="shared" si="79"/>
        <v>525</v>
      </c>
      <c r="M111" s="385">
        <f t="shared" si="80"/>
        <v>3255</v>
      </c>
      <c r="N111" s="385"/>
    </row>
    <row r="112" spans="1:14" ht="13.8">
      <c r="A112" s="333">
        <v>58</v>
      </c>
      <c r="B112" s="333" t="s">
        <v>3945</v>
      </c>
      <c r="C112" s="333" t="s">
        <v>3943</v>
      </c>
      <c r="D112" s="333" t="s">
        <v>3852</v>
      </c>
      <c r="E112" s="384" t="s">
        <v>3925</v>
      </c>
      <c r="F112" s="766">
        <v>42</v>
      </c>
      <c r="G112" s="766">
        <f t="shared" si="76"/>
        <v>260.40000000000003</v>
      </c>
      <c r="H112" s="385">
        <f t="shared" ref="H112:J112" si="87">F112*5</f>
        <v>210</v>
      </c>
      <c r="I112" s="385">
        <f t="shared" si="87"/>
        <v>1302.0000000000002</v>
      </c>
      <c r="J112" s="385">
        <f t="shared" si="87"/>
        <v>1050</v>
      </c>
      <c r="K112" s="385">
        <f t="shared" si="78"/>
        <v>6510</v>
      </c>
      <c r="L112" s="385">
        <f t="shared" si="79"/>
        <v>525</v>
      </c>
      <c r="M112" s="385">
        <f t="shared" si="80"/>
        <v>3255</v>
      </c>
      <c r="N112" s="385"/>
    </row>
    <row r="113" spans="1:14" ht="13.8">
      <c r="A113" s="333">
        <v>59</v>
      </c>
      <c r="B113" s="333" t="s">
        <v>3946</v>
      </c>
      <c r="C113" s="333" t="s">
        <v>3947</v>
      </c>
      <c r="D113" s="333" t="s">
        <v>3928</v>
      </c>
      <c r="E113" s="384" t="s">
        <v>3929</v>
      </c>
      <c r="F113" s="766">
        <v>55</v>
      </c>
      <c r="G113" s="766">
        <f t="shared" si="76"/>
        <v>357.5</v>
      </c>
      <c r="H113" s="385">
        <f t="shared" ref="H113:J113" si="88">F113*5</f>
        <v>275</v>
      </c>
      <c r="I113" s="385">
        <f t="shared" si="88"/>
        <v>1787.5</v>
      </c>
      <c r="J113" s="385">
        <f t="shared" si="88"/>
        <v>1375</v>
      </c>
      <c r="K113" s="385">
        <f t="shared" si="78"/>
        <v>8937.5</v>
      </c>
      <c r="L113" s="385">
        <f t="shared" si="79"/>
        <v>687.5</v>
      </c>
      <c r="M113" s="385">
        <f t="shared" si="80"/>
        <v>4468.75</v>
      </c>
      <c r="N113" s="385"/>
    </row>
    <row r="114" spans="1:14" ht="13.8">
      <c r="A114" s="333">
        <v>60</v>
      </c>
      <c r="B114" s="333" t="s">
        <v>3948</v>
      </c>
      <c r="C114" s="333" t="s">
        <v>3949</v>
      </c>
      <c r="D114" s="333" t="s">
        <v>3944</v>
      </c>
      <c r="E114" s="384" t="s">
        <v>3929</v>
      </c>
      <c r="F114" s="766">
        <v>55</v>
      </c>
      <c r="G114" s="766">
        <f t="shared" si="76"/>
        <v>357.5</v>
      </c>
      <c r="H114" s="385">
        <f t="shared" ref="H114:J114" si="89">F114*5</f>
        <v>275</v>
      </c>
      <c r="I114" s="385">
        <f t="shared" si="89"/>
        <v>1787.5</v>
      </c>
      <c r="J114" s="385">
        <f t="shared" si="89"/>
        <v>1375</v>
      </c>
      <c r="K114" s="385">
        <f t="shared" si="78"/>
        <v>8937.5</v>
      </c>
      <c r="L114" s="385">
        <f t="shared" si="79"/>
        <v>687.5</v>
      </c>
      <c r="M114" s="385">
        <f t="shared" si="80"/>
        <v>4468.75</v>
      </c>
      <c r="N114" s="385"/>
    </row>
    <row r="115" spans="1:14" ht="13.8">
      <c r="A115" s="333">
        <v>61</v>
      </c>
      <c r="B115" s="333" t="s">
        <v>3950</v>
      </c>
      <c r="C115" s="333" t="s">
        <v>3951</v>
      </c>
      <c r="D115" s="333" t="s">
        <v>3852</v>
      </c>
      <c r="E115" s="384" t="s">
        <v>2281</v>
      </c>
      <c r="F115" s="766">
        <v>51</v>
      </c>
      <c r="G115" s="766">
        <f t="shared" si="76"/>
        <v>321.3</v>
      </c>
      <c r="H115" s="385">
        <f t="shared" ref="H115:J115" si="90">F115*5</f>
        <v>255</v>
      </c>
      <c r="I115" s="385">
        <f t="shared" si="90"/>
        <v>1606.5</v>
      </c>
      <c r="J115" s="385">
        <f t="shared" si="90"/>
        <v>1275</v>
      </c>
      <c r="K115" s="385">
        <f t="shared" si="78"/>
        <v>8032.5</v>
      </c>
      <c r="L115" s="385">
        <f t="shared" si="79"/>
        <v>637.5</v>
      </c>
      <c r="M115" s="385">
        <f t="shared" si="80"/>
        <v>4016.25</v>
      </c>
      <c r="N115" s="385"/>
    </row>
    <row r="116" spans="1:14" ht="13.8">
      <c r="A116" s="333">
        <v>62</v>
      </c>
      <c r="B116" s="333" t="s">
        <v>3952</v>
      </c>
      <c r="C116" s="333" t="s">
        <v>3953</v>
      </c>
      <c r="D116" s="333" t="s">
        <v>3954</v>
      </c>
      <c r="E116" s="384" t="s">
        <v>2281</v>
      </c>
      <c r="F116" s="766">
        <v>57</v>
      </c>
      <c r="G116" s="766">
        <f t="shared" si="76"/>
        <v>359.09999999999997</v>
      </c>
      <c r="H116" s="385">
        <f t="shared" ref="H116:J116" si="91">F116*5</f>
        <v>285</v>
      </c>
      <c r="I116" s="385">
        <f t="shared" si="91"/>
        <v>1795.4999999999998</v>
      </c>
      <c r="J116" s="385">
        <f t="shared" si="91"/>
        <v>1425</v>
      </c>
      <c r="K116" s="385">
        <f t="shared" si="78"/>
        <v>8977.5</v>
      </c>
      <c r="L116" s="385">
        <f t="shared" si="79"/>
        <v>712.5</v>
      </c>
      <c r="M116" s="385">
        <f t="shared" si="80"/>
        <v>4488.75</v>
      </c>
      <c r="N116" s="385"/>
    </row>
    <row r="117" spans="1:14" ht="13.8">
      <c r="A117" s="333">
        <v>63</v>
      </c>
      <c r="B117" s="333" t="s">
        <v>3955</v>
      </c>
      <c r="C117" s="333" t="s">
        <v>3956</v>
      </c>
      <c r="D117" s="333" t="s">
        <v>3924</v>
      </c>
      <c r="E117" s="384" t="s">
        <v>3957</v>
      </c>
      <c r="F117" s="766">
        <v>49</v>
      </c>
      <c r="G117" s="766">
        <f t="shared" si="76"/>
        <v>313.60000000000002</v>
      </c>
      <c r="H117" s="385">
        <f t="shared" ref="H117:J117" si="92">F117*5</f>
        <v>245</v>
      </c>
      <c r="I117" s="385">
        <f t="shared" si="92"/>
        <v>1568</v>
      </c>
      <c r="J117" s="385">
        <f t="shared" si="92"/>
        <v>1225</v>
      </c>
      <c r="K117" s="385">
        <f t="shared" si="78"/>
        <v>7840</v>
      </c>
      <c r="L117" s="385">
        <f t="shared" si="79"/>
        <v>612.5</v>
      </c>
      <c r="M117" s="385">
        <f t="shared" si="80"/>
        <v>3920</v>
      </c>
      <c r="N117" s="385"/>
    </row>
    <row r="118" spans="1:14" ht="13.8">
      <c r="A118" s="333">
        <v>64</v>
      </c>
      <c r="B118" s="333" t="s">
        <v>3958</v>
      </c>
      <c r="C118" s="333" t="s">
        <v>3959</v>
      </c>
      <c r="D118" s="333" t="s">
        <v>3960</v>
      </c>
      <c r="E118" s="384" t="s">
        <v>3929</v>
      </c>
      <c r="F118" s="766">
        <v>63</v>
      </c>
      <c r="G118" s="766">
        <f t="shared" si="76"/>
        <v>409.5</v>
      </c>
      <c r="H118" s="385">
        <f t="shared" ref="H118:J118" si="93">F118*5</f>
        <v>315</v>
      </c>
      <c r="I118" s="385">
        <f t="shared" si="93"/>
        <v>2047.5</v>
      </c>
      <c r="J118" s="385">
        <f t="shared" si="93"/>
        <v>1575</v>
      </c>
      <c r="K118" s="385">
        <f t="shared" si="78"/>
        <v>10237.5</v>
      </c>
      <c r="L118" s="385">
        <f t="shared" si="79"/>
        <v>787.5</v>
      </c>
      <c r="M118" s="385">
        <f t="shared" si="80"/>
        <v>5118.75</v>
      </c>
      <c r="N118" s="385"/>
    </row>
    <row r="119" spans="1:14" ht="13.8">
      <c r="A119" s="333">
        <v>65</v>
      </c>
      <c r="B119" s="333" t="s">
        <v>3961</v>
      </c>
      <c r="C119" s="333" t="s">
        <v>3962</v>
      </c>
      <c r="D119" s="333" t="s">
        <v>3963</v>
      </c>
      <c r="E119" s="384" t="s">
        <v>3933</v>
      </c>
      <c r="F119" s="766">
        <v>63</v>
      </c>
      <c r="G119" s="766">
        <f t="shared" si="76"/>
        <v>422.1</v>
      </c>
      <c r="H119" s="385">
        <f t="shared" ref="H119:J119" si="94">F119*5</f>
        <v>315</v>
      </c>
      <c r="I119" s="385">
        <f t="shared" si="94"/>
        <v>2110.5</v>
      </c>
      <c r="J119" s="385">
        <f t="shared" si="94"/>
        <v>1575</v>
      </c>
      <c r="K119" s="385">
        <f t="shared" si="78"/>
        <v>10552.5</v>
      </c>
      <c r="L119" s="385">
        <f t="shared" si="79"/>
        <v>787.5</v>
      </c>
      <c r="M119" s="385">
        <f t="shared" si="80"/>
        <v>5276.25</v>
      </c>
      <c r="N119" s="385"/>
    </row>
    <row r="120" spans="1:14" ht="15.6">
      <c r="A120" s="1008" t="s">
        <v>318</v>
      </c>
      <c r="B120" s="931"/>
      <c r="C120" s="932"/>
      <c r="D120" s="789">
        <f>COUNTA(D105:D119)</f>
        <v>15</v>
      </c>
      <c r="E120" s="743"/>
      <c r="F120" s="743"/>
      <c r="G120" s="867">
        <f>SUM(G105:G119)</f>
        <v>5241.4000000000015</v>
      </c>
      <c r="H120" s="743"/>
      <c r="I120" s="868">
        <f>SUM(I105:I119)</f>
        <v>26207</v>
      </c>
      <c r="J120" s="869"/>
      <c r="K120" s="870"/>
      <c r="L120" s="870"/>
      <c r="M120" s="870"/>
      <c r="N120" s="870"/>
    </row>
    <row r="121" spans="1:14" ht="13.8">
      <c r="A121" s="331"/>
      <c r="B121" s="334"/>
      <c r="C121" s="334"/>
      <c r="D121" s="331"/>
      <c r="E121" s="334"/>
      <c r="F121" s="331"/>
      <c r="G121" s="863"/>
      <c r="H121" s="331"/>
      <c r="I121" s="864"/>
      <c r="J121" s="343"/>
      <c r="K121" s="344"/>
      <c r="L121" s="344"/>
      <c r="M121" s="344"/>
      <c r="N121" s="344"/>
    </row>
    <row r="122" spans="1:14" ht="13.8">
      <c r="A122" s="331"/>
      <c r="B122" s="334"/>
      <c r="C122" s="334"/>
      <c r="D122" s="331"/>
      <c r="E122" s="334"/>
      <c r="F122" s="331"/>
      <c r="G122" s="863"/>
      <c r="H122" s="331"/>
      <c r="I122" s="864"/>
      <c r="J122" s="343"/>
      <c r="K122" s="344"/>
      <c r="L122" s="344"/>
      <c r="M122" s="344"/>
      <c r="N122" s="344"/>
    </row>
    <row r="123" spans="1:14" ht="13.8">
      <c r="A123" s="331"/>
      <c r="B123" s="334"/>
      <c r="C123" s="334"/>
      <c r="D123" s="331"/>
      <c r="E123" s="334"/>
      <c r="F123" s="331"/>
      <c r="G123" s="863"/>
      <c r="H123" s="331"/>
      <c r="I123" s="864"/>
      <c r="J123" s="343"/>
      <c r="K123" s="344"/>
      <c r="L123" s="344"/>
      <c r="M123" s="344"/>
      <c r="N123" s="344"/>
    </row>
    <row r="124" spans="1:14" ht="13.2">
      <c r="A124" s="1009" t="s">
        <v>3964</v>
      </c>
      <c r="B124" s="931"/>
      <c r="C124" s="931"/>
      <c r="D124" s="931"/>
      <c r="E124" s="931"/>
      <c r="F124" s="931"/>
      <c r="G124" s="931"/>
      <c r="H124" s="931"/>
      <c r="I124" s="931"/>
      <c r="J124" s="931"/>
      <c r="K124" s="931"/>
      <c r="L124" s="931"/>
      <c r="M124" s="931"/>
      <c r="N124" s="932"/>
    </row>
    <row r="125" spans="1:14" ht="22.5" customHeight="1">
      <c r="A125" s="396" t="s">
        <v>165</v>
      </c>
      <c r="B125" s="431" t="s">
        <v>166</v>
      </c>
      <c r="C125" s="431" t="s">
        <v>167</v>
      </c>
      <c r="D125" s="334" t="s">
        <v>168</v>
      </c>
      <c r="E125" s="431" t="s">
        <v>169</v>
      </c>
      <c r="F125" s="742" t="s">
        <v>3965</v>
      </c>
      <c r="G125" s="743" t="s">
        <v>3966</v>
      </c>
      <c r="H125" s="744" t="s">
        <v>3967</v>
      </c>
      <c r="I125" s="744" t="s">
        <v>3968</v>
      </c>
      <c r="J125" s="745" t="s">
        <v>3969</v>
      </c>
      <c r="K125" s="745" t="s">
        <v>3970</v>
      </c>
      <c r="L125" s="431" t="s">
        <v>175</v>
      </c>
      <c r="M125" s="431" t="s">
        <v>3971</v>
      </c>
      <c r="N125" s="871" t="s">
        <v>177</v>
      </c>
    </row>
    <row r="126" spans="1:14" ht="13.8">
      <c r="A126" s="333">
        <v>66</v>
      </c>
      <c r="B126" s="333" t="s">
        <v>3972</v>
      </c>
      <c r="C126" s="333" t="s">
        <v>3973</v>
      </c>
      <c r="D126" s="333" t="s">
        <v>3974</v>
      </c>
      <c r="E126" s="384" t="s">
        <v>3975</v>
      </c>
      <c r="F126" s="766">
        <v>35</v>
      </c>
      <c r="G126" s="766">
        <f t="shared" ref="G126:G141" si="95">F126*E126</f>
        <v>189</v>
      </c>
      <c r="H126" s="385">
        <f t="shared" ref="H126:J126" si="96">F126*5</f>
        <v>175</v>
      </c>
      <c r="I126" s="385">
        <f t="shared" si="96"/>
        <v>945</v>
      </c>
      <c r="J126" s="385">
        <f t="shared" si="96"/>
        <v>875</v>
      </c>
      <c r="K126" s="385">
        <f t="shared" ref="K126:K141" si="97">J126*E126</f>
        <v>4725</v>
      </c>
      <c r="L126" s="385">
        <f t="shared" ref="L126:L141" si="98">J126/2</f>
        <v>437.5</v>
      </c>
      <c r="M126" s="385">
        <f t="shared" ref="M126:M141" si="99">L126*E126</f>
        <v>2362.5</v>
      </c>
      <c r="N126" s="385"/>
    </row>
    <row r="127" spans="1:14" ht="27.6">
      <c r="A127" s="333">
        <v>67</v>
      </c>
      <c r="B127" s="333" t="s">
        <v>3976</v>
      </c>
      <c r="C127" s="333" t="s">
        <v>3977</v>
      </c>
      <c r="D127" s="333" t="s">
        <v>3978</v>
      </c>
      <c r="E127" s="384" t="s">
        <v>3747</v>
      </c>
      <c r="F127" s="766">
        <v>25</v>
      </c>
      <c r="G127" s="766">
        <f t="shared" si="95"/>
        <v>125</v>
      </c>
      <c r="H127" s="385">
        <f t="shared" ref="H127:J127" si="100">F127*5</f>
        <v>125</v>
      </c>
      <c r="I127" s="385">
        <f t="shared" si="100"/>
        <v>625</v>
      </c>
      <c r="J127" s="385">
        <f t="shared" si="100"/>
        <v>625</v>
      </c>
      <c r="K127" s="385">
        <f t="shared" si="97"/>
        <v>3125</v>
      </c>
      <c r="L127" s="385">
        <f t="shared" si="98"/>
        <v>312.5</v>
      </c>
      <c r="M127" s="385">
        <f t="shared" si="99"/>
        <v>1562.5</v>
      </c>
      <c r="N127" s="385"/>
    </row>
    <row r="128" spans="1:14" ht="27.6">
      <c r="A128" s="333">
        <v>68</v>
      </c>
      <c r="B128" s="333" t="s">
        <v>3979</v>
      </c>
      <c r="C128" s="333" t="s">
        <v>3977</v>
      </c>
      <c r="D128" s="333" t="s">
        <v>3980</v>
      </c>
      <c r="E128" s="384" t="s">
        <v>3981</v>
      </c>
      <c r="F128" s="766">
        <v>25</v>
      </c>
      <c r="G128" s="766">
        <f t="shared" si="95"/>
        <v>120</v>
      </c>
      <c r="H128" s="385">
        <f t="shared" ref="H128:J128" si="101">F128*5</f>
        <v>125</v>
      </c>
      <c r="I128" s="385">
        <f t="shared" si="101"/>
        <v>600</v>
      </c>
      <c r="J128" s="385">
        <f t="shared" si="101"/>
        <v>625</v>
      </c>
      <c r="K128" s="385">
        <f t="shared" si="97"/>
        <v>3000</v>
      </c>
      <c r="L128" s="385">
        <f t="shared" si="98"/>
        <v>312.5</v>
      </c>
      <c r="M128" s="385">
        <f t="shared" si="99"/>
        <v>1500</v>
      </c>
      <c r="N128" s="385"/>
    </row>
    <row r="129" spans="1:14" ht="27.6">
      <c r="A129" s="333">
        <v>69</v>
      </c>
      <c r="B129" s="333" t="s">
        <v>3982</v>
      </c>
      <c r="C129" s="333" t="s">
        <v>3983</v>
      </c>
      <c r="D129" s="333" t="s">
        <v>3984</v>
      </c>
      <c r="E129" s="384" t="s">
        <v>3747</v>
      </c>
      <c r="F129" s="766">
        <v>36</v>
      </c>
      <c r="G129" s="766">
        <f t="shared" si="95"/>
        <v>180</v>
      </c>
      <c r="H129" s="385">
        <f t="shared" ref="H129:J129" si="102">F129*5</f>
        <v>180</v>
      </c>
      <c r="I129" s="385">
        <f t="shared" si="102"/>
        <v>900</v>
      </c>
      <c r="J129" s="385">
        <f t="shared" si="102"/>
        <v>900</v>
      </c>
      <c r="K129" s="385">
        <f t="shared" si="97"/>
        <v>4500</v>
      </c>
      <c r="L129" s="385">
        <f t="shared" si="98"/>
        <v>450</v>
      </c>
      <c r="M129" s="385">
        <f t="shared" si="99"/>
        <v>2250</v>
      </c>
      <c r="N129" s="385"/>
    </row>
    <row r="130" spans="1:14" ht="27.6">
      <c r="A130" s="333">
        <v>70</v>
      </c>
      <c r="B130" s="333" t="s">
        <v>3985</v>
      </c>
      <c r="C130" s="333" t="s">
        <v>3983</v>
      </c>
      <c r="D130" s="333" t="s">
        <v>3978</v>
      </c>
      <c r="E130" s="384" t="s">
        <v>3747</v>
      </c>
      <c r="F130" s="766">
        <v>36</v>
      </c>
      <c r="G130" s="766">
        <f t="shared" si="95"/>
        <v>180</v>
      </c>
      <c r="H130" s="385">
        <f t="shared" ref="H130:J130" si="103">F130*5</f>
        <v>180</v>
      </c>
      <c r="I130" s="385">
        <f t="shared" si="103"/>
        <v>900</v>
      </c>
      <c r="J130" s="385">
        <f t="shared" si="103"/>
        <v>900</v>
      </c>
      <c r="K130" s="385">
        <f t="shared" si="97"/>
        <v>4500</v>
      </c>
      <c r="L130" s="385">
        <f t="shared" si="98"/>
        <v>450</v>
      </c>
      <c r="M130" s="385">
        <f t="shared" si="99"/>
        <v>2250</v>
      </c>
      <c r="N130" s="385"/>
    </row>
    <row r="131" spans="1:14" ht="13.8">
      <c r="A131" s="333">
        <v>71</v>
      </c>
      <c r="B131" s="333" t="s">
        <v>3986</v>
      </c>
      <c r="C131" s="333" t="s">
        <v>3983</v>
      </c>
      <c r="D131" s="333" t="s">
        <v>3987</v>
      </c>
      <c r="E131" s="384" t="s">
        <v>3747</v>
      </c>
      <c r="F131" s="766">
        <v>36</v>
      </c>
      <c r="G131" s="766">
        <f t="shared" si="95"/>
        <v>180</v>
      </c>
      <c r="H131" s="385">
        <f t="shared" ref="H131:J131" si="104">F131*5</f>
        <v>180</v>
      </c>
      <c r="I131" s="385">
        <f t="shared" si="104"/>
        <v>900</v>
      </c>
      <c r="J131" s="385">
        <f t="shared" si="104"/>
        <v>900</v>
      </c>
      <c r="K131" s="385">
        <f t="shared" si="97"/>
        <v>4500</v>
      </c>
      <c r="L131" s="385">
        <f t="shared" si="98"/>
        <v>450</v>
      </c>
      <c r="M131" s="385">
        <f t="shared" si="99"/>
        <v>2250</v>
      </c>
      <c r="N131" s="385"/>
    </row>
    <row r="132" spans="1:14" ht="13.8">
      <c r="A132" s="333">
        <v>72</v>
      </c>
      <c r="B132" s="333" t="s">
        <v>3988</v>
      </c>
      <c r="C132" s="333" t="s">
        <v>3989</v>
      </c>
      <c r="D132" s="333" t="s">
        <v>3990</v>
      </c>
      <c r="E132" s="384" t="s">
        <v>3991</v>
      </c>
      <c r="F132" s="766">
        <v>33</v>
      </c>
      <c r="G132" s="766">
        <f t="shared" si="95"/>
        <v>191.4</v>
      </c>
      <c r="H132" s="385">
        <f t="shared" ref="H132:J132" si="105">F132*5</f>
        <v>165</v>
      </c>
      <c r="I132" s="385">
        <f t="shared" si="105"/>
        <v>957</v>
      </c>
      <c r="J132" s="385">
        <f t="shared" si="105"/>
        <v>825</v>
      </c>
      <c r="K132" s="385">
        <f t="shared" si="97"/>
        <v>4785</v>
      </c>
      <c r="L132" s="385">
        <f t="shared" si="98"/>
        <v>412.5</v>
      </c>
      <c r="M132" s="385">
        <f t="shared" si="99"/>
        <v>2392.5</v>
      </c>
      <c r="N132" s="385"/>
    </row>
    <row r="133" spans="1:14" ht="27.6">
      <c r="A133" s="333">
        <v>73</v>
      </c>
      <c r="B133" s="333" t="s">
        <v>3992</v>
      </c>
      <c r="C133" s="333" t="s">
        <v>3993</v>
      </c>
      <c r="D133" s="333" t="s">
        <v>3994</v>
      </c>
      <c r="E133" s="384" t="s">
        <v>3995</v>
      </c>
      <c r="F133" s="766">
        <v>33</v>
      </c>
      <c r="G133" s="766">
        <f t="shared" si="95"/>
        <v>188.1</v>
      </c>
      <c r="H133" s="385">
        <f t="shared" ref="H133:J133" si="106">F133*5</f>
        <v>165</v>
      </c>
      <c r="I133" s="385">
        <f t="shared" si="106"/>
        <v>940.5</v>
      </c>
      <c r="J133" s="385">
        <f t="shared" si="106"/>
        <v>825</v>
      </c>
      <c r="K133" s="385">
        <f t="shared" si="97"/>
        <v>4702.5</v>
      </c>
      <c r="L133" s="385">
        <f t="shared" si="98"/>
        <v>412.5</v>
      </c>
      <c r="M133" s="385">
        <f t="shared" si="99"/>
        <v>2351.25</v>
      </c>
      <c r="N133" s="385"/>
    </row>
    <row r="134" spans="1:14" ht="27.6">
      <c r="A134" s="333">
        <v>74</v>
      </c>
      <c r="B134" s="333" t="s">
        <v>3996</v>
      </c>
      <c r="C134" s="333" t="s">
        <v>3977</v>
      </c>
      <c r="D134" s="333" t="s">
        <v>3997</v>
      </c>
      <c r="E134" s="384" t="s">
        <v>3998</v>
      </c>
      <c r="F134" s="766">
        <v>25</v>
      </c>
      <c r="G134" s="766">
        <f t="shared" si="95"/>
        <v>132.5</v>
      </c>
      <c r="H134" s="385">
        <f t="shared" ref="H134:J134" si="107">F134*5</f>
        <v>125</v>
      </c>
      <c r="I134" s="385">
        <f t="shared" si="107"/>
        <v>662.5</v>
      </c>
      <c r="J134" s="385">
        <f t="shared" si="107"/>
        <v>625</v>
      </c>
      <c r="K134" s="385">
        <f t="shared" si="97"/>
        <v>3312.5</v>
      </c>
      <c r="L134" s="385">
        <f t="shared" si="98"/>
        <v>312.5</v>
      </c>
      <c r="M134" s="385">
        <f t="shared" si="99"/>
        <v>1656.25</v>
      </c>
      <c r="N134" s="385"/>
    </row>
    <row r="135" spans="1:14" ht="13.8">
      <c r="A135" s="333">
        <v>75</v>
      </c>
      <c r="B135" s="333" t="s">
        <v>3999</v>
      </c>
      <c r="C135" s="333" t="s">
        <v>4000</v>
      </c>
      <c r="D135" s="333" t="s">
        <v>4001</v>
      </c>
      <c r="E135" s="384" t="s">
        <v>4002</v>
      </c>
      <c r="F135" s="766">
        <v>50</v>
      </c>
      <c r="G135" s="766">
        <f t="shared" si="95"/>
        <v>270</v>
      </c>
      <c r="H135" s="385">
        <f t="shared" ref="H135:J135" si="108">F135*5</f>
        <v>250</v>
      </c>
      <c r="I135" s="385">
        <f t="shared" si="108"/>
        <v>1350</v>
      </c>
      <c r="J135" s="385">
        <f t="shared" si="108"/>
        <v>1250</v>
      </c>
      <c r="K135" s="385">
        <f t="shared" si="97"/>
        <v>6750</v>
      </c>
      <c r="L135" s="385">
        <f t="shared" si="98"/>
        <v>625</v>
      </c>
      <c r="M135" s="385">
        <f t="shared" si="99"/>
        <v>3375</v>
      </c>
      <c r="N135" s="385"/>
    </row>
    <row r="136" spans="1:14" ht="27.6">
      <c r="A136" s="333">
        <v>76</v>
      </c>
      <c r="B136" s="333" t="s">
        <v>4003</v>
      </c>
      <c r="C136" s="333" t="s">
        <v>4004</v>
      </c>
      <c r="D136" s="333" t="s">
        <v>4005</v>
      </c>
      <c r="E136" s="384" t="s">
        <v>4006</v>
      </c>
      <c r="F136" s="766">
        <v>50</v>
      </c>
      <c r="G136" s="766">
        <f t="shared" si="95"/>
        <v>254.99999999999997</v>
      </c>
      <c r="H136" s="385">
        <f t="shared" ref="H136:J136" si="109">F136*5</f>
        <v>250</v>
      </c>
      <c r="I136" s="385">
        <f t="shared" si="109"/>
        <v>1274.9999999999998</v>
      </c>
      <c r="J136" s="385">
        <f t="shared" si="109"/>
        <v>1250</v>
      </c>
      <c r="K136" s="385">
        <f t="shared" si="97"/>
        <v>6375</v>
      </c>
      <c r="L136" s="385">
        <f t="shared" si="98"/>
        <v>625</v>
      </c>
      <c r="M136" s="385">
        <f t="shared" si="99"/>
        <v>3187.5</v>
      </c>
      <c r="N136" s="385"/>
    </row>
    <row r="137" spans="1:14" ht="27.6">
      <c r="A137" s="333">
        <v>77</v>
      </c>
      <c r="B137" s="333" t="s">
        <v>4007</v>
      </c>
      <c r="C137" s="333" t="s">
        <v>4008</v>
      </c>
      <c r="D137" s="333" t="s">
        <v>3984</v>
      </c>
      <c r="E137" s="384" t="s">
        <v>4009</v>
      </c>
      <c r="F137" s="766">
        <v>40</v>
      </c>
      <c r="G137" s="766">
        <f t="shared" si="95"/>
        <v>188</v>
      </c>
      <c r="H137" s="385">
        <f t="shared" ref="H137:J137" si="110">F137*5</f>
        <v>200</v>
      </c>
      <c r="I137" s="385">
        <f t="shared" si="110"/>
        <v>940</v>
      </c>
      <c r="J137" s="385">
        <f t="shared" si="110"/>
        <v>1000</v>
      </c>
      <c r="K137" s="385">
        <f t="shared" si="97"/>
        <v>4700</v>
      </c>
      <c r="L137" s="385">
        <f t="shared" si="98"/>
        <v>500</v>
      </c>
      <c r="M137" s="385">
        <f t="shared" si="99"/>
        <v>2350</v>
      </c>
      <c r="N137" s="385"/>
    </row>
    <row r="138" spans="1:14" ht="27.6">
      <c r="A138" s="333">
        <v>78</v>
      </c>
      <c r="B138" s="333" t="s">
        <v>4010</v>
      </c>
      <c r="C138" s="333" t="s">
        <v>4011</v>
      </c>
      <c r="D138" s="333" t="s">
        <v>4012</v>
      </c>
      <c r="E138" s="384" t="s">
        <v>3998</v>
      </c>
      <c r="F138" s="766">
        <v>64</v>
      </c>
      <c r="G138" s="766">
        <f t="shared" si="95"/>
        <v>339.2</v>
      </c>
      <c r="H138" s="385">
        <f t="shared" ref="H138:J138" si="111">F138*5</f>
        <v>320</v>
      </c>
      <c r="I138" s="385">
        <f t="shared" si="111"/>
        <v>1696</v>
      </c>
      <c r="J138" s="385">
        <f t="shared" si="111"/>
        <v>1600</v>
      </c>
      <c r="K138" s="385">
        <f t="shared" si="97"/>
        <v>8480</v>
      </c>
      <c r="L138" s="385">
        <f t="shared" si="98"/>
        <v>800</v>
      </c>
      <c r="M138" s="385">
        <f t="shared" si="99"/>
        <v>4240</v>
      </c>
      <c r="N138" s="385"/>
    </row>
    <row r="139" spans="1:14" ht="27.6">
      <c r="A139" s="333">
        <v>79</v>
      </c>
      <c r="B139" s="333" t="s">
        <v>4013</v>
      </c>
      <c r="C139" s="333" t="s">
        <v>4014</v>
      </c>
      <c r="D139" s="333" t="s">
        <v>4012</v>
      </c>
      <c r="E139" s="384" t="s">
        <v>3747</v>
      </c>
      <c r="F139" s="766">
        <v>40</v>
      </c>
      <c r="G139" s="766">
        <f t="shared" si="95"/>
        <v>200</v>
      </c>
      <c r="H139" s="385">
        <f t="shared" ref="H139:J139" si="112">F139*5</f>
        <v>200</v>
      </c>
      <c r="I139" s="385">
        <f t="shared" si="112"/>
        <v>1000</v>
      </c>
      <c r="J139" s="385">
        <f t="shared" si="112"/>
        <v>1000</v>
      </c>
      <c r="K139" s="385">
        <f t="shared" si="97"/>
        <v>5000</v>
      </c>
      <c r="L139" s="385">
        <f t="shared" si="98"/>
        <v>500</v>
      </c>
      <c r="M139" s="385">
        <f t="shared" si="99"/>
        <v>2500</v>
      </c>
      <c r="N139" s="385"/>
    </row>
    <row r="140" spans="1:14" ht="13.8">
      <c r="A140" s="333">
        <v>80</v>
      </c>
      <c r="B140" s="333" t="s">
        <v>4015</v>
      </c>
      <c r="C140" s="333" t="s">
        <v>4016</v>
      </c>
      <c r="D140" s="333" t="s">
        <v>4017</v>
      </c>
      <c r="E140" s="384" t="s">
        <v>3747</v>
      </c>
      <c r="F140" s="766">
        <v>32</v>
      </c>
      <c r="G140" s="766">
        <f t="shared" si="95"/>
        <v>160</v>
      </c>
      <c r="H140" s="385">
        <f t="shared" ref="H140:J140" si="113">F140*5</f>
        <v>160</v>
      </c>
      <c r="I140" s="385">
        <f t="shared" si="113"/>
        <v>800</v>
      </c>
      <c r="J140" s="385">
        <f t="shared" si="113"/>
        <v>800</v>
      </c>
      <c r="K140" s="385">
        <f t="shared" si="97"/>
        <v>4000</v>
      </c>
      <c r="L140" s="385">
        <f t="shared" si="98"/>
        <v>400</v>
      </c>
      <c r="M140" s="385">
        <f t="shared" si="99"/>
        <v>2000</v>
      </c>
      <c r="N140" s="385"/>
    </row>
    <row r="141" spans="1:14" ht="27.6">
      <c r="A141" s="333">
        <v>81</v>
      </c>
      <c r="B141" s="333" t="s">
        <v>4018</v>
      </c>
      <c r="C141" s="333" t="s">
        <v>4019</v>
      </c>
      <c r="D141" s="333" t="s">
        <v>4020</v>
      </c>
      <c r="E141" s="384" t="s">
        <v>3787</v>
      </c>
      <c r="F141" s="766">
        <v>45</v>
      </c>
      <c r="G141" s="766">
        <f t="shared" si="95"/>
        <v>202.5</v>
      </c>
      <c r="H141" s="385">
        <f t="shared" ref="H141:J141" si="114">F141*5</f>
        <v>225</v>
      </c>
      <c r="I141" s="385">
        <f t="shared" si="114"/>
        <v>1012.5</v>
      </c>
      <c r="J141" s="385">
        <f t="shared" si="114"/>
        <v>1125</v>
      </c>
      <c r="K141" s="385">
        <f t="shared" si="97"/>
        <v>5062.5</v>
      </c>
      <c r="L141" s="385">
        <f t="shared" si="98"/>
        <v>562.5</v>
      </c>
      <c r="M141" s="385">
        <f t="shared" si="99"/>
        <v>2531.25</v>
      </c>
      <c r="N141" s="385"/>
    </row>
    <row r="142" spans="1:14" ht="13.8">
      <c r="A142" s="1001" t="s">
        <v>318</v>
      </c>
      <c r="B142" s="931"/>
      <c r="C142" s="932"/>
      <c r="D142" s="789">
        <f>COUNTA(D126:D141)</f>
        <v>16</v>
      </c>
      <c r="E142" s="743"/>
      <c r="F142" s="743"/>
      <c r="G142" s="768">
        <f>SUM(G126:G141)</f>
        <v>3100.7</v>
      </c>
      <c r="H142" s="743"/>
      <c r="I142" s="769">
        <f>SUM(I126:I141)</f>
        <v>15503.5</v>
      </c>
      <c r="J142" s="869"/>
      <c r="K142" s="870"/>
      <c r="L142" s="870"/>
      <c r="M142" s="870"/>
      <c r="N142" s="870"/>
    </row>
    <row r="143" spans="1:14" ht="13.8">
      <c r="A143" s="331"/>
      <c r="B143" s="334"/>
      <c r="C143" s="334"/>
      <c r="D143" s="331"/>
      <c r="E143" s="334"/>
      <c r="F143" s="331"/>
      <c r="G143" s="863"/>
      <c r="H143" s="331"/>
      <c r="I143" s="864"/>
      <c r="J143" s="343"/>
      <c r="K143" s="344"/>
      <c r="L143" s="344"/>
      <c r="M143" s="344"/>
      <c r="N143" s="344"/>
    </row>
    <row r="144" spans="1:14" ht="13.8">
      <c r="A144" s="331"/>
      <c r="B144" s="334"/>
      <c r="C144" s="334"/>
      <c r="D144" s="331"/>
      <c r="E144" s="334"/>
      <c r="F144" s="331"/>
      <c r="G144" s="863"/>
      <c r="H144" s="331"/>
      <c r="I144" s="864"/>
      <c r="J144" s="343"/>
      <c r="K144" s="344"/>
      <c r="L144" s="344"/>
      <c r="M144" s="344"/>
      <c r="N144" s="344"/>
    </row>
    <row r="145" spans="1:14" ht="13.8">
      <c r="A145" s="331"/>
      <c r="B145" s="334"/>
      <c r="C145" s="334"/>
      <c r="D145" s="331"/>
      <c r="E145" s="334"/>
      <c r="F145" s="331"/>
      <c r="G145" s="863"/>
      <c r="H145" s="331"/>
      <c r="I145" s="864"/>
      <c r="J145" s="343"/>
      <c r="K145" s="344"/>
      <c r="L145" s="344"/>
      <c r="M145" s="344"/>
      <c r="N145" s="344"/>
    </row>
    <row r="146" spans="1:14" ht="13.2">
      <c r="A146" s="1009" t="s">
        <v>4021</v>
      </c>
      <c r="B146" s="931"/>
      <c r="C146" s="931"/>
      <c r="D146" s="931"/>
      <c r="E146" s="931"/>
      <c r="F146" s="931"/>
      <c r="G146" s="931"/>
      <c r="H146" s="931"/>
      <c r="I146" s="931"/>
      <c r="J146" s="931"/>
      <c r="K146" s="931"/>
      <c r="L146" s="931"/>
      <c r="M146" s="931"/>
      <c r="N146" s="932"/>
    </row>
    <row r="147" spans="1:14" ht="22.5" customHeight="1">
      <c r="A147" s="396" t="s">
        <v>165</v>
      </c>
      <c r="B147" s="431" t="s">
        <v>166</v>
      </c>
      <c r="C147" s="431" t="s">
        <v>167</v>
      </c>
      <c r="D147" s="334" t="s">
        <v>168</v>
      </c>
      <c r="E147" s="431" t="s">
        <v>169</v>
      </c>
      <c r="F147" s="742" t="s">
        <v>4022</v>
      </c>
      <c r="G147" s="743" t="s">
        <v>4023</v>
      </c>
      <c r="H147" s="744" t="s">
        <v>4024</v>
      </c>
      <c r="I147" s="744" t="s">
        <v>4025</v>
      </c>
      <c r="J147" s="745" t="s">
        <v>4026</v>
      </c>
      <c r="K147" s="745" t="s">
        <v>4027</v>
      </c>
      <c r="L147" s="431" t="s">
        <v>175</v>
      </c>
      <c r="M147" s="431" t="s">
        <v>4028</v>
      </c>
      <c r="N147" s="871" t="s">
        <v>177</v>
      </c>
    </row>
    <row r="148" spans="1:14" ht="13.8">
      <c r="A148" s="333">
        <v>82</v>
      </c>
      <c r="B148" s="333" t="s">
        <v>4029</v>
      </c>
      <c r="C148" s="333" t="s">
        <v>4030</v>
      </c>
      <c r="D148" s="333" t="s">
        <v>4031</v>
      </c>
      <c r="E148" s="384" t="s">
        <v>4032</v>
      </c>
      <c r="F148" s="766">
        <v>170</v>
      </c>
      <c r="G148" s="766">
        <f t="shared" ref="G148:G159" si="115">F148*E148</f>
        <v>1360</v>
      </c>
      <c r="H148" s="385">
        <f t="shared" ref="H148:J148" si="116">F148*5</f>
        <v>850</v>
      </c>
      <c r="I148" s="385">
        <f t="shared" si="116"/>
        <v>6800</v>
      </c>
      <c r="J148" s="385">
        <f t="shared" si="116"/>
        <v>4250</v>
      </c>
      <c r="K148" s="385">
        <f t="shared" ref="K148:K159" si="117">J148*E148</f>
        <v>34000</v>
      </c>
      <c r="L148" s="385">
        <f t="shared" ref="L148:L159" si="118">J148/2</f>
        <v>2125</v>
      </c>
      <c r="M148" s="385">
        <f t="shared" ref="M148:M159" si="119">L148*E148</f>
        <v>17000</v>
      </c>
      <c r="N148" s="385"/>
    </row>
    <row r="149" spans="1:14" ht="13.8">
      <c r="A149" s="333">
        <v>83</v>
      </c>
      <c r="B149" s="333" t="s">
        <v>4033</v>
      </c>
      <c r="C149" s="333" t="s">
        <v>4034</v>
      </c>
      <c r="D149" s="333" t="s">
        <v>4031</v>
      </c>
      <c r="E149" s="384" t="s">
        <v>4032</v>
      </c>
      <c r="F149" s="766">
        <v>170</v>
      </c>
      <c r="G149" s="766">
        <f t="shared" si="115"/>
        <v>1360</v>
      </c>
      <c r="H149" s="385">
        <f t="shared" ref="H149:J149" si="120">F149*5</f>
        <v>850</v>
      </c>
      <c r="I149" s="385">
        <f t="shared" si="120"/>
        <v>6800</v>
      </c>
      <c r="J149" s="385">
        <f t="shared" si="120"/>
        <v>4250</v>
      </c>
      <c r="K149" s="385">
        <f t="shared" si="117"/>
        <v>34000</v>
      </c>
      <c r="L149" s="385">
        <f t="shared" si="118"/>
        <v>2125</v>
      </c>
      <c r="M149" s="385">
        <f t="shared" si="119"/>
        <v>17000</v>
      </c>
      <c r="N149" s="385"/>
    </row>
    <row r="150" spans="1:14" ht="13.8">
      <c r="A150" s="333">
        <v>84</v>
      </c>
      <c r="B150" s="333" t="s">
        <v>4035</v>
      </c>
      <c r="C150" s="333" t="s">
        <v>4030</v>
      </c>
      <c r="D150" s="333" t="s">
        <v>4031</v>
      </c>
      <c r="E150" s="384" t="s">
        <v>4032</v>
      </c>
      <c r="F150" s="766">
        <v>170</v>
      </c>
      <c r="G150" s="766">
        <f t="shared" si="115"/>
        <v>1360</v>
      </c>
      <c r="H150" s="385">
        <f t="shared" ref="H150:J150" si="121">F150*5</f>
        <v>850</v>
      </c>
      <c r="I150" s="385">
        <f t="shared" si="121"/>
        <v>6800</v>
      </c>
      <c r="J150" s="385">
        <f t="shared" si="121"/>
        <v>4250</v>
      </c>
      <c r="K150" s="385">
        <f t="shared" si="117"/>
        <v>34000</v>
      </c>
      <c r="L150" s="385">
        <f t="shared" si="118"/>
        <v>2125</v>
      </c>
      <c r="M150" s="385">
        <f t="shared" si="119"/>
        <v>17000</v>
      </c>
      <c r="N150" s="385"/>
    </row>
    <row r="151" spans="1:14" ht="13.8">
      <c r="A151" s="333">
        <v>85</v>
      </c>
      <c r="B151" s="333" t="s">
        <v>4036</v>
      </c>
      <c r="C151" s="333" t="s">
        <v>4034</v>
      </c>
      <c r="D151" s="333" t="s">
        <v>4031</v>
      </c>
      <c r="E151" s="384" t="s">
        <v>4032</v>
      </c>
      <c r="F151" s="766">
        <v>170</v>
      </c>
      <c r="G151" s="766">
        <f t="shared" si="115"/>
        <v>1360</v>
      </c>
      <c r="H151" s="385">
        <f t="shared" ref="H151:J151" si="122">F151*5</f>
        <v>850</v>
      </c>
      <c r="I151" s="385">
        <f t="shared" si="122"/>
        <v>6800</v>
      </c>
      <c r="J151" s="385">
        <f t="shared" si="122"/>
        <v>4250</v>
      </c>
      <c r="K151" s="385">
        <f t="shared" si="117"/>
        <v>34000</v>
      </c>
      <c r="L151" s="385">
        <f t="shared" si="118"/>
        <v>2125</v>
      </c>
      <c r="M151" s="385">
        <f t="shared" si="119"/>
        <v>17000</v>
      </c>
      <c r="N151" s="385"/>
    </row>
    <row r="152" spans="1:14" ht="13.8">
      <c r="A152" s="333">
        <v>86</v>
      </c>
      <c r="B152" s="333" t="s">
        <v>4037</v>
      </c>
      <c r="C152" s="333" t="s">
        <v>4030</v>
      </c>
      <c r="D152" s="333" t="s">
        <v>4031</v>
      </c>
      <c r="E152" s="384" t="s">
        <v>4032</v>
      </c>
      <c r="F152" s="766">
        <v>170</v>
      </c>
      <c r="G152" s="766">
        <f t="shared" si="115"/>
        <v>1360</v>
      </c>
      <c r="H152" s="385">
        <f t="shared" ref="H152:J152" si="123">F152*5</f>
        <v>850</v>
      </c>
      <c r="I152" s="385">
        <f t="shared" si="123"/>
        <v>6800</v>
      </c>
      <c r="J152" s="385">
        <f t="shared" si="123"/>
        <v>4250</v>
      </c>
      <c r="K152" s="385">
        <f t="shared" si="117"/>
        <v>34000</v>
      </c>
      <c r="L152" s="385">
        <f t="shared" si="118"/>
        <v>2125</v>
      </c>
      <c r="M152" s="385">
        <f t="shared" si="119"/>
        <v>17000</v>
      </c>
      <c r="N152" s="385"/>
    </row>
    <row r="153" spans="1:14" ht="13.8">
      <c r="A153" s="333">
        <v>87</v>
      </c>
      <c r="B153" s="333" t="s">
        <v>4038</v>
      </c>
      <c r="C153" s="333" t="s">
        <v>4034</v>
      </c>
      <c r="D153" s="333" t="s">
        <v>4031</v>
      </c>
      <c r="E153" s="384" t="s">
        <v>4039</v>
      </c>
      <c r="F153" s="766">
        <v>170</v>
      </c>
      <c r="G153" s="766">
        <f t="shared" si="115"/>
        <v>425</v>
      </c>
      <c r="H153" s="385">
        <f t="shared" ref="H153:J153" si="124">F153*5</f>
        <v>850</v>
      </c>
      <c r="I153" s="385">
        <f t="shared" si="124"/>
        <v>2125</v>
      </c>
      <c r="J153" s="385">
        <f t="shared" si="124"/>
        <v>4250</v>
      </c>
      <c r="K153" s="385">
        <f t="shared" si="117"/>
        <v>10625</v>
      </c>
      <c r="L153" s="385">
        <f t="shared" si="118"/>
        <v>2125</v>
      </c>
      <c r="M153" s="385">
        <f t="shared" si="119"/>
        <v>5312.5</v>
      </c>
      <c r="N153" s="385"/>
    </row>
    <row r="154" spans="1:14" ht="13.8">
      <c r="A154" s="333">
        <v>88</v>
      </c>
      <c r="B154" s="333" t="s">
        <v>4040</v>
      </c>
      <c r="C154" s="333" t="s">
        <v>4030</v>
      </c>
      <c r="D154" s="333" t="s">
        <v>4031</v>
      </c>
      <c r="E154" s="384" t="s">
        <v>4032</v>
      </c>
      <c r="F154" s="766">
        <v>170</v>
      </c>
      <c r="G154" s="766">
        <f t="shared" si="115"/>
        <v>1360</v>
      </c>
      <c r="H154" s="385">
        <f t="shared" ref="H154:J154" si="125">F154*5</f>
        <v>850</v>
      </c>
      <c r="I154" s="385">
        <f t="shared" si="125"/>
        <v>6800</v>
      </c>
      <c r="J154" s="385">
        <f t="shared" si="125"/>
        <v>4250</v>
      </c>
      <c r="K154" s="385">
        <f t="shared" si="117"/>
        <v>34000</v>
      </c>
      <c r="L154" s="385">
        <f t="shared" si="118"/>
        <v>2125</v>
      </c>
      <c r="M154" s="385">
        <f t="shared" si="119"/>
        <v>17000</v>
      </c>
      <c r="N154" s="385"/>
    </row>
    <row r="155" spans="1:14" ht="13.8">
      <c r="A155" s="333">
        <v>89</v>
      </c>
      <c r="B155" s="333" t="s">
        <v>4041</v>
      </c>
      <c r="C155" s="333" t="s">
        <v>4042</v>
      </c>
      <c r="D155" s="333" t="s">
        <v>122</v>
      </c>
      <c r="E155" s="384" t="s">
        <v>4032</v>
      </c>
      <c r="F155" s="766">
        <v>198</v>
      </c>
      <c r="G155" s="766">
        <f t="shared" si="115"/>
        <v>1584</v>
      </c>
      <c r="H155" s="385">
        <f t="shared" ref="H155:J155" si="126">F155*5</f>
        <v>990</v>
      </c>
      <c r="I155" s="385">
        <f t="shared" si="126"/>
        <v>7920</v>
      </c>
      <c r="J155" s="385">
        <f t="shared" si="126"/>
        <v>4950</v>
      </c>
      <c r="K155" s="385">
        <f t="shared" si="117"/>
        <v>39600</v>
      </c>
      <c r="L155" s="385">
        <f t="shared" si="118"/>
        <v>2475</v>
      </c>
      <c r="M155" s="385">
        <f t="shared" si="119"/>
        <v>19800</v>
      </c>
      <c r="N155" s="385"/>
    </row>
    <row r="156" spans="1:14" ht="13.8">
      <c r="A156" s="333">
        <v>90</v>
      </c>
      <c r="B156" s="333" t="s">
        <v>4043</v>
      </c>
      <c r="C156" s="333">
        <v>13357</v>
      </c>
      <c r="D156" s="333" t="s">
        <v>4031</v>
      </c>
      <c r="E156" s="384" t="s">
        <v>4032</v>
      </c>
      <c r="F156" s="766">
        <v>170</v>
      </c>
      <c r="G156" s="766">
        <f t="shared" si="115"/>
        <v>1360</v>
      </c>
      <c r="H156" s="385">
        <f t="shared" ref="H156:J156" si="127">F156*5</f>
        <v>850</v>
      </c>
      <c r="I156" s="385">
        <f t="shared" si="127"/>
        <v>6800</v>
      </c>
      <c r="J156" s="385">
        <f t="shared" si="127"/>
        <v>4250</v>
      </c>
      <c r="K156" s="385">
        <f t="shared" si="117"/>
        <v>34000</v>
      </c>
      <c r="L156" s="385">
        <f t="shared" si="118"/>
        <v>2125</v>
      </c>
      <c r="M156" s="385">
        <f t="shared" si="119"/>
        <v>17000</v>
      </c>
      <c r="N156" s="385"/>
    </row>
    <row r="157" spans="1:14" ht="13.8">
      <c r="A157" s="333">
        <v>91</v>
      </c>
      <c r="B157" s="333" t="s">
        <v>4044</v>
      </c>
      <c r="C157" s="333">
        <v>13357</v>
      </c>
      <c r="D157" s="333" t="s">
        <v>4031</v>
      </c>
      <c r="E157" s="384" t="s">
        <v>4032</v>
      </c>
      <c r="F157" s="766">
        <v>170</v>
      </c>
      <c r="G157" s="766">
        <f t="shared" si="115"/>
        <v>1360</v>
      </c>
      <c r="H157" s="385">
        <f t="shared" ref="H157:J157" si="128">F157*5</f>
        <v>850</v>
      </c>
      <c r="I157" s="385">
        <f t="shared" si="128"/>
        <v>6800</v>
      </c>
      <c r="J157" s="385">
        <f t="shared" si="128"/>
        <v>4250</v>
      </c>
      <c r="K157" s="385">
        <f t="shared" si="117"/>
        <v>34000</v>
      </c>
      <c r="L157" s="385">
        <f t="shared" si="118"/>
        <v>2125</v>
      </c>
      <c r="M157" s="385">
        <f t="shared" si="119"/>
        <v>17000</v>
      </c>
      <c r="N157" s="385"/>
    </row>
    <row r="158" spans="1:14" ht="13.8">
      <c r="A158" s="333">
        <v>92</v>
      </c>
      <c r="B158" s="333" t="s">
        <v>4045</v>
      </c>
      <c r="C158" s="333">
        <v>13561</v>
      </c>
      <c r="D158" s="333" t="s">
        <v>4031</v>
      </c>
      <c r="E158" s="384" t="s">
        <v>4032</v>
      </c>
      <c r="F158" s="766">
        <v>170</v>
      </c>
      <c r="G158" s="766">
        <f t="shared" si="115"/>
        <v>1360</v>
      </c>
      <c r="H158" s="385">
        <f t="shared" ref="H158:J158" si="129">F158*5</f>
        <v>850</v>
      </c>
      <c r="I158" s="385">
        <f t="shared" si="129"/>
        <v>6800</v>
      </c>
      <c r="J158" s="385">
        <f t="shared" si="129"/>
        <v>4250</v>
      </c>
      <c r="K158" s="385">
        <f t="shared" si="117"/>
        <v>34000</v>
      </c>
      <c r="L158" s="385">
        <f t="shared" si="118"/>
        <v>2125</v>
      </c>
      <c r="M158" s="385">
        <f t="shared" si="119"/>
        <v>17000</v>
      </c>
      <c r="N158" s="385"/>
    </row>
    <row r="159" spans="1:14" ht="13.8">
      <c r="A159" s="333">
        <v>93</v>
      </c>
      <c r="B159" s="333" t="s">
        <v>4046</v>
      </c>
      <c r="C159" s="333">
        <v>13561</v>
      </c>
      <c r="D159" s="333" t="s">
        <v>4031</v>
      </c>
      <c r="E159" s="384" t="s">
        <v>4039</v>
      </c>
      <c r="F159" s="766">
        <v>170</v>
      </c>
      <c r="G159" s="766">
        <f t="shared" si="115"/>
        <v>425</v>
      </c>
      <c r="H159" s="385">
        <f t="shared" ref="H159:J159" si="130">F159*5</f>
        <v>850</v>
      </c>
      <c r="I159" s="385">
        <f t="shared" si="130"/>
        <v>2125</v>
      </c>
      <c r="J159" s="385">
        <f t="shared" si="130"/>
        <v>4250</v>
      </c>
      <c r="K159" s="385">
        <f t="shared" si="117"/>
        <v>10625</v>
      </c>
      <c r="L159" s="385">
        <f t="shared" si="118"/>
        <v>2125</v>
      </c>
      <c r="M159" s="385">
        <f t="shared" si="119"/>
        <v>5312.5</v>
      </c>
      <c r="N159" s="385"/>
    </row>
    <row r="160" spans="1:14" ht="15.6">
      <c r="A160" s="1008" t="s">
        <v>318</v>
      </c>
      <c r="B160" s="931"/>
      <c r="C160" s="932"/>
      <c r="D160" s="789">
        <f>COUNTA(D148:D159)</f>
        <v>12</v>
      </c>
      <c r="E160" s="743"/>
      <c r="F160" s="743"/>
      <c r="G160" s="867">
        <f>SUM(G148:G159)</f>
        <v>14674</v>
      </c>
      <c r="H160" s="743"/>
      <c r="I160" s="868">
        <f>SUM(I148:I159)</f>
        <v>73370</v>
      </c>
      <c r="J160" s="870"/>
      <c r="K160" s="870"/>
      <c r="L160" s="870"/>
      <c r="M160" s="870"/>
      <c r="N160" s="385"/>
    </row>
    <row r="161" spans="1:14" ht="13.8">
      <c r="A161" s="331"/>
      <c r="B161" s="334"/>
      <c r="C161" s="334"/>
      <c r="D161" s="331"/>
      <c r="E161" s="334"/>
      <c r="F161" s="331"/>
      <c r="G161" s="863"/>
      <c r="H161" s="331"/>
      <c r="I161" s="864"/>
      <c r="J161" s="343"/>
      <c r="K161" s="344"/>
      <c r="L161" s="344"/>
      <c r="M161" s="344"/>
      <c r="N161" s="344"/>
    </row>
    <row r="162" spans="1:14" ht="13.8">
      <c r="A162" s="331"/>
      <c r="B162" s="334"/>
      <c r="C162" s="334"/>
      <c r="D162" s="331"/>
      <c r="E162" s="334"/>
      <c r="F162" s="331"/>
      <c r="G162" s="863"/>
      <c r="H162" s="331"/>
      <c r="I162" s="864"/>
      <c r="J162" s="343"/>
      <c r="K162" s="344"/>
      <c r="L162" s="344"/>
      <c r="M162" s="344"/>
      <c r="N162" s="344"/>
    </row>
    <row r="163" spans="1:14" ht="13.8">
      <c r="A163" s="331"/>
      <c r="B163" s="334"/>
      <c r="C163" s="334"/>
      <c r="D163" s="331"/>
      <c r="E163" s="334"/>
      <c r="F163" s="331"/>
      <c r="G163" s="863"/>
      <c r="H163" s="331"/>
      <c r="I163" s="864"/>
      <c r="J163" s="343"/>
      <c r="K163" s="344"/>
      <c r="L163" s="344"/>
      <c r="M163" s="344"/>
      <c r="N163" s="344"/>
    </row>
    <row r="164" spans="1:14" ht="13.2">
      <c r="A164" s="1009" t="s">
        <v>74</v>
      </c>
      <c r="B164" s="931"/>
      <c r="C164" s="931"/>
      <c r="D164" s="931"/>
      <c r="E164" s="931"/>
      <c r="F164" s="931"/>
      <c r="G164" s="931"/>
      <c r="H164" s="931"/>
      <c r="I164" s="931"/>
      <c r="J164" s="931"/>
      <c r="K164" s="931"/>
      <c r="L164" s="931"/>
      <c r="M164" s="931"/>
      <c r="N164" s="932"/>
    </row>
    <row r="165" spans="1:14" ht="22.5" customHeight="1">
      <c r="A165" s="396" t="s">
        <v>165</v>
      </c>
      <c r="B165" s="431" t="s">
        <v>166</v>
      </c>
      <c r="C165" s="431" t="s">
        <v>167</v>
      </c>
      <c r="D165" s="334" t="s">
        <v>168</v>
      </c>
      <c r="E165" s="431" t="s">
        <v>169</v>
      </c>
      <c r="F165" s="742" t="s">
        <v>4047</v>
      </c>
      <c r="G165" s="743" t="s">
        <v>4048</v>
      </c>
      <c r="H165" s="744" t="s">
        <v>4049</v>
      </c>
      <c r="I165" s="744" t="s">
        <v>4050</v>
      </c>
      <c r="J165" s="745" t="s">
        <v>4051</v>
      </c>
      <c r="K165" s="745" t="s">
        <v>4052</v>
      </c>
      <c r="L165" s="431" t="s">
        <v>175</v>
      </c>
      <c r="M165" s="431" t="s">
        <v>4053</v>
      </c>
      <c r="N165" s="871" t="s">
        <v>177</v>
      </c>
    </row>
    <row r="166" spans="1:14" ht="13.8">
      <c r="A166" s="352">
        <v>94</v>
      </c>
      <c r="B166" s="352" t="s">
        <v>4054</v>
      </c>
      <c r="C166" s="333" t="s">
        <v>4055</v>
      </c>
      <c r="D166" s="333" t="s">
        <v>4056</v>
      </c>
      <c r="E166" s="384" t="s">
        <v>4057</v>
      </c>
      <c r="F166" s="766">
        <v>110</v>
      </c>
      <c r="G166" s="766">
        <f t="shared" ref="G166:G209" si="131">F166*E166</f>
        <v>357.5</v>
      </c>
      <c r="H166" s="385">
        <f t="shared" ref="H166:J166" si="132">F166*5</f>
        <v>550</v>
      </c>
      <c r="I166" s="385">
        <f t="shared" si="132"/>
        <v>1787.5</v>
      </c>
      <c r="J166" s="874">
        <f t="shared" si="132"/>
        <v>2750</v>
      </c>
      <c r="K166" s="372">
        <f t="shared" ref="K166:K209" si="133">J166*E166</f>
        <v>8937.5</v>
      </c>
      <c r="L166" s="372">
        <f t="shared" ref="L166:L209" si="134">J166/2</f>
        <v>1375</v>
      </c>
      <c r="M166" s="372">
        <f t="shared" ref="M166:M209" si="135">L166*E166</f>
        <v>4468.75</v>
      </c>
      <c r="N166" s="385"/>
    </row>
    <row r="167" spans="1:14" ht="13.8">
      <c r="A167" s="352">
        <v>95</v>
      </c>
      <c r="B167" s="352" t="s">
        <v>4058</v>
      </c>
      <c r="C167" s="333" t="s">
        <v>4059</v>
      </c>
      <c r="D167" s="333" t="s">
        <v>4056</v>
      </c>
      <c r="E167" s="384" t="s">
        <v>4057</v>
      </c>
      <c r="F167" s="766">
        <v>110</v>
      </c>
      <c r="G167" s="766">
        <f t="shared" si="131"/>
        <v>357.5</v>
      </c>
      <c r="H167" s="385">
        <f t="shared" ref="H167:J167" si="136">F167*5</f>
        <v>550</v>
      </c>
      <c r="I167" s="385">
        <f t="shared" si="136"/>
        <v>1787.5</v>
      </c>
      <c r="J167" s="874">
        <f t="shared" si="136"/>
        <v>2750</v>
      </c>
      <c r="K167" s="372">
        <f t="shared" si="133"/>
        <v>8937.5</v>
      </c>
      <c r="L167" s="372">
        <f t="shared" si="134"/>
        <v>1375</v>
      </c>
      <c r="M167" s="372">
        <f t="shared" si="135"/>
        <v>4468.75</v>
      </c>
      <c r="N167" s="385"/>
    </row>
    <row r="168" spans="1:14" ht="13.8">
      <c r="A168" s="352">
        <v>96</v>
      </c>
      <c r="B168" s="352" t="s">
        <v>4060</v>
      </c>
      <c r="C168" s="333" t="s">
        <v>4061</v>
      </c>
      <c r="D168" s="333" t="s">
        <v>4062</v>
      </c>
      <c r="E168" s="384" t="s">
        <v>4057</v>
      </c>
      <c r="F168" s="766">
        <v>95</v>
      </c>
      <c r="G168" s="766">
        <f t="shared" si="131"/>
        <v>308.75</v>
      </c>
      <c r="H168" s="385">
        <f t="shared" ref="H168:J168" si="137">F168*5</f>
        <v>475</v>
      </c>
      <c r="I168" s="385">
        <f t="shared" si="137"/>
        <v>1543.75</v>
      </c>
      <c r="J168" s="874">
        <f t="shared" si="137"/>
        <v>2375</v>
      </c>
      <c r="K168" s="372">
        <f t="shared" si="133"/>
        <v>7718.75</v>
      </c>
      <c r="L168" s="372">
        <f t="shared" si="134"/>
        <v>1187.5</v>
      </c>
      <c r="M168" s="372">
        <f t="shared" si="135"/>
        <v>3859.375</v>
      </c>
      <c r="N168" s="385"/>
    </row>
    <row r="169" spans="1:14" ht="13.8">
      <c r="A169" s="352">
        <v>97</v>
      </c>
      <c r="B169" s="352" t="s">
        <v>4063</v>
      </c>
      <c r="C169" s="333" t="s">
        <v>4064</v>
      </c>
      <c r="D169" s="333" t="s">
        <v>4062</v>
      </c>
      <c r="E169" s="384" t="s">
        <v>4057</v>
      </c>
      <c r="F169" s="766">
        <v>95</v>
      </c>
      <c r="G169" s="766">
        <f t="shared" si="131"/>
        <v>308.75</v>
      </c>
      <c r="H169" s="385">
        <f t="shared" ref="H169:J169" si="138">F169*5</f>
        <v>475</v>
      </c>
      <c r="I169" s="385">
        <f t="shared" si="138"/>
        <v>1543.75</v>
      </c>
      <c r="J169" s="874">
        <f t="shared" si="138"/>
        <v>2375</v>
      </c>
      <c r="K169" s="372">
        <f t="shared" si="133"/>
        <v>7718.75</v>
      </c>
      <c r="L169" s="372">
        <f t="shared" si="134"/>
        <v>1187.5</v>
      </c>
      <c r="M169" s="372">
        <f t="shared" si="135"/>
        <v>3859.375</v>
      </c>
      <c r="N169" s="385"/>
    </row>
    <row r="170" spans="1:14" ht="27.6">
      <c r="A170" s="352">
        <v>98</v>
      </c>
      <c r="B170" s="352" t="s">
        <v>4065</v>
      </c>
      <c r="C170" s="333" t="s">
        <v>4066</v>
      </c>
      <c r="D170" s="333" t="s">
        <v>4067</v>
      </c>
      <c r="E170" s="384" t="s">
        <v>4068</v>
      </c>
      <c r="F170" s="766">
        <v>110</v>
      </c>
      <c r="G170" s="766">
        <f t="shared" si="131"/>
        <v>363</v>
      </c>
      <c r="H170" s="385">
        <f t="shared" ref="H170:J170" si="139">F170*5</f>
        <v>550</v>
      </c>
      <c r="I170" s="385">
        <f t="shared" si="139"/>
        <v>1815</v>
      </c>
      <c r="J170" s="874">
        <f t="shared" si="139"/>
        <v>2750</v>
      </c>
      <c r="K170" s="372">
        <f t="shared" si="133"/>
        <v>9075</v>
      </c>
      <c r="L170" s="372">
        <f t="shared" si="134"/>
        <v>1375</v>
      </c>
      <c r="M170" s="372">
        <f t="shared" si="135"/>
        <v>4537.5</v>
      </c>
      <c r="N170" s="385"/>
    </row>
    <row r="171" spans="1:14" ht="27.6">
      <c r="A171" s="352">
        <v>99</v>
      </c>
      <c r="B171" s="352" t="s">
        <v>4069</v>
      </c>
      <c r="C171" s="333" t="s">
        <v>4066</v>
      </c>
      <c r="D171" s="333" t="s">
        <v>4067</v>
      </c>
      <c r="E171" s="384" t="s">
        <v>4068</v>
      </c>
      <c r="F171" s="766">
        <v>110</v>
      </c>
      <c r="G171" s="766">
        <f t="shared" si="131"/>
        <v>363</v>
      </c>
      <c r="H171" s="385">
        <f t="shared" ref="H171:J171" si="140">F171*5</f>
        <v>550</v>
      </c>
      <c r="I171" s="385">
        <f t="shared" si="140"/>
        <v>1815</v>
      </c>
      <c r="J171" s="874">
        <f t="shared" si="140"/>
        <v>2750</v>
      </c>
      <c r="K171" s="372">
        <f t="shared" si="133"/>
        <v>9075</v>
      </c>
      <c r="L171" s="372">
        <f t="shared" si="134"/>
        <v>1375</v>
      </c>
      <c r="M171" s="372">
        <f t="shared" si="135"/>
        <v>4537.5</v>
      </c>
      <c r="N171" s="385"/>
    </row>
    <row r="172" spans="1:14" ht="27.6">
      <c r="A172" s="352">
        <v>100</v>
      </c>
      <c r="B172" s="352" t="s">
        <v>4070</v>
      </c>
      <c r="C172" s="333" t="s">
        <v>4071</v>
      </c>
      <c r="D172" s="333" t="s">
        <v>4072</v>
      </c>
      <c r="E172" s="384" t="s">
        <v>4068</v>
      </c>
      <c r="F172" s="766">
        <v>95</v>
      </c>
      <c r="G172" s="766">
        <f t="shared" si="131"/>
        <v>313.5</v>
      </c>
      <c r="H172" s="385">
        <f t="shared" ref="H172:J172" si="141">F172*5</f>
        <v>475</v>
      </c>
      <c r="I172" s="385">
        <f t="shared" si="141"/>
        <v>1567.5</v>
      </c>
      <c r="J172" s="874">
        <f t="shared" si="141"/>
        <v>2375</v>
      </c>
      <c r="K172" s="372">
        <f t="shared" si="133"/>
        <v>7837.5</v>
      </c>
      <c r="L172" s="372">
        <f t="shared" si="134"/>
        <v>1187.5</v>
      </c>
      <c r="M172" s="372">
        <f t="shared" si="135"/>
        <v>3918.75</v>
      </c>
      <c r="N172" s="385"/>
    </row>
    <row r="173" spans="1:14" ht="27.6">
      <c r="A173" s="352">
        <v>101</v>
      </c>
      <c r="B173" s="352" t="s">
        <v>4073</v>
      </c>
      <c r="C173" s="333" t="s">
        <v>4071</v>
      </c>
      <c r="D173" s="333" t="s">
        <v>4072</v>
      </c>
      <c r="E173" s="384" t="s">
        <v>4068</v>
      </c>
      <c r="F173" s="766">
        <v>95</v>
      </c>
      <c r="G173" s="766">
        <f t="shared" si="131"/>
        <v>313.5</v>
      </c>
      <c r="H173" s="385">
        <f t="shared" ref="H173:J173" si="142">F173*5</f>
        <v>475</v>
      </c>
      <c r="I173" s="385">
        <f t="shared" si="142"/>
        <v>1567.5</v>
      </c>
      <c r="J173" s="874">
        <f t="shared" si="142"/>
        <v>2375</v>
      </c>
      <c r="K173" s="372">
        <f t="shared" si="133"/>
        <v>7837.5</v>
      </c>
      <c r="L173" s="372">
        <f t="shared" si="134"/>
        <v>1187.5</v>
      </c>
      <c r="M173" s="372">
        <f t="shared" si="135"/>
        <v>3918.75</v>
      </c>
      <c r="N173" s="385"/>
    </row>
    <row r="174" spans="1:14" ht="13.8">
      <c r="A174" s="352">
        <v>102</v>
      </c>
      <c r="B174" s="352" t="s">
        <v>4074</v>
      </c>
      <c r="C174" s="333" t="s">
        <v>4055</v>
      </c>
      <c r="D174" s="333" t="s">
        <v>4075</v>
      </c>
      <c r="E174" s="384" t="s">
        <v>4057</v>
      </c>
      <c r="F174" s="766">
        <v>110</v>
      </c>
      <c r="G174" s="766">
        <f t="shared" si="131"/>
        <v>357.5</v>
      </c>
      <c r="H174" s="385">
        <f t="shared" ref="H174:J174" si="143">F174*5</f>
        <v>550</v>
      </c>
      <c r="I174" s="385">
        <f t="shared" si="143"/>
        <v>1787.5</v>
      </c>
      <c r="J174" s="874">
        <f t="shared" si="143"/>
        <v>2750</v>
      </c>
      <c r="K174" s="372">
        <f t="shared" si="133"/>
        <v>8937.5</v>
      </c>
      <c r="L174" s="372">
        <f t="shared" si="134"/>
        <v>1375</v>
      </c>
      <c r="M174" s="372">
        <f t="shared" si="135"/>
        <v>4468.75</v>
      </c>
      <c r="N174" s="385"/>
    </row>
    <row r="175" spans="1:14" ht="27.6">
      <c r="A175" s="352">
        <v>103</v>
      </c>
      <c r="B175" s="352" t="s">
        <v>4076</v>
      </c>
      <c r="C175" s="333" t="s">
        <v>4059</v>
      </c>
      <c r="D175" s="333" t="s">
        <v>4075</v>
      </c>
      <c r="E175" s="384" t="s">
        <v>4057</v>
      </c>
      <c r="F175" s="766">
        <v>110</v>
      </c>
      <c r="G175" s="766">
        <f t="shared" si="131"/>
        <v>357.5</v>
      </c>
      <c r="H175" s="385">
        <f t="shared" ref="H175:J175" si="144">F175*5</f>
        <v>550</v>
      </c>
      <c r="I175" s="385">
        <f t="shared" si="144"/>
        <v>1787.5</v>
      </c>
      <c r="J175" s="874">
        <f t="shared" si="144"/>
        <v>2750</v>
      </c>
      <c r="K175" s="372">
        <f t="shared" si="133"/>
        <v>8937.5</v>
      </c>
      <c r="L175" s="372">
        <f t="shared" si="134"/>
        <v>1375</v>
      </c>
      <c r="M175" s="372">
        <f t="shared" si="135"/>
        <v>4468.75</v>
      </c>
      <c r="N175" s="385"/>
    </row>
    <row r="176" spans="1:14" ht="27.6">
      <c r="A176" s="352">
        <v>104</v>
      </c>
      <c r="B176" s="352" t="s">
        <v>4077</v>
      </c>
      <c r="C176" s="333" t="s">
        <v>4071</v>
      </c>
      <c r="D176" s="333" t="s">
        <v>4078</v>
      </c>
      <c r="E176" s="384" t="s">
        <v>4057</v>
      </c>
      <c r="F176" s="766">
        <v>95</v>
      </c>
      <c r="G176" s="766">
        <f t="shared" si="131"/>
        <v>308.75</v>
      </c>
      <c r="H176" s="385">
        <f t="shared" ref="H176:J176" si="145">F176*5</f>
        <v>475</v>
      </c>
      <c r="I176" s="385">
        <f t="shared" si="145"/>
        <v>1543.75</v>
      </c>
      <c r="J176" s="874">
        <f t="shared" si="145"/>
        <v>2375</v>
      </c>
      <c r="K176" s="372">
        <f t="shared" si="133"/>
        <v>7718.75</v>
      </c>
      <c r="L176" s="372">
        <f t="shared" si="134"/>
        <v>1187.5</v>
      </c>
      <c r="M176" s="372">
        <f t="shared" si="135"/>
        <v>3859.375</v>
      </c>
      <c r="N176" s="385"/>
    </row>
    <row r="177" spans="1:14" ht="27.6">
      <c r="A177" s="352">
        <v>105</v>
      </c>
      <c r="B177" s="352" t="s">
        <v>4079</v>
      </c>
      <c r="C177" s="333" t="s">
        <v>4071</v>
      </c>
      <c r="D177" s="333" t="s">
        <v>4078</v>
      </c>
      <c r="E177" s="384" t="s">
        <v>4057</v>
      </c>
      <c r="F177" s="766">
        <v>95</v>
      </c>
      <c r="G177" s="766">
        <f t="shared" si="131"/>
        <v>308.75</v>
      </c>
      <c r="H177" s="385">
        <f t="shared" ref="H177:J177" si="146">F177*5</f>
        <v>475</v>
      </c>
      <c r="I177" s="385">
        <f t="shared" si="146"/>
        <v>1543.75</v>
      </c>
      <c r="J177" s="874">
        <f t="shared" si="146"/>
        <v>2375</v>
      </c>
      <c r="K177" s="372">
        <f t="shared" si="133"/>
        <v>7718.75</v>
      </c>
      <c r="L177" s="372">
        <f t="shared" si="134"/>
        <v>1187.5</v>
      </c>
      <c r="M177" s="372">
        <f t="shared" si="135"/>
        <v>3859.375</v>
      </c>
      <c r="N177" s="385"/>
    </row>
    <row r="178" spans="1:14" ht="13.8">
      <c r="A178" s="352">
        <v>106</v>
      </c>
      <c r="B178" s="352" t="s">
        <v>4080</v>
      </c>
      <c r="C178" s="333" t="s">
        <v>4066</v>
      </c>
      <c r="D178" s="333" t="s">
        <v>4081</v>
      </c>
      <c r="E178" s="384" t="s">
        <v>4068</v>
      </c>
      <c r="F178" s="766">
        <v>110</v>
      </c>
      <c r="G178" s="766">
        <f t="shared" si="131"/>
        <v>363</v>
      </c>
      <c r="H178" s="385">
        <f t="shared" ref="H178:J178" si="147">F178*5</f>
        <v>550</v>
      </c>
      <c r="I178" s="385">
        <f t="shared" si="147"/>
        <v>1815</v>
      </c>
      <c r="J178" s="874">
        <f t="shared" si="147"/>
        <v>2750</v>
      </c>
      <c r="K178" s="372">
        <f t="shared" si="133"/>
        <v>9075</v>
      </c>
      <c r="L178" s="372">
        <f t="shared" si="134"/>
        <v>1375</v>
      </c>
      <c r="M178" s="372">
        <f t="shared" si="135"/>
        <v>4537.5</v>
      </c>
      <c r="N178" s="385"/>
    </row>
    <row r="179" spans="1:14" ht="27.6">
      <c r="A179" s="352">
        <v>107</v>
      </c>
      <c r="B179" s="352" t="s">
        <v>4082</v>
      </c>
      <c r="C179" s="333" t="s">
        <v>4066</v>
      </c>
      <c r="D179" s="333" t="s">
        <v>4081</v>
      </c>
      <c r="E179" s="384" t="s">
        <v>4068</v>
      </c>
      <c r="F179" s="766">
        <v>110</v>
      </c>
      <c r="G179" s="766">
        <f t="shared" si="131"/>
        <v>363</v>
      </c>
      <c r="H179" s="385">
        <f t="shared" ref="H179:J179" si="148">F179*5</f>
        <v>550</v>
      </c>
      <c r="I179" s="385">
        <f t="shared" si="148"/>
        <v>1815</v>
      </c>
      <c r="J179" s="874">
        <f t="shared" si="148"/>
        <v>2750</v>
      </c>
      <c r="K179" s="372">
        <f t="shared" si="133"/>
        <v>9075</v>
      </c>
      <c r="L179" s="372">
        <f t="shared" si="134"/>
        <v>1375</v>
      </c>
      <c r="M179" s="372">
        <f t="shared" si="135"/>
        <v>4537.5</v>
      </c>
      <c r="N179" s="385"/>
    </row>
    <row r="180" spans="1:14" ht="27.6">
      <c r="A180" s="352">
        <v>108</v>
      </c>
      <c r="B180" s="352" t="s">
        <v>4083</v>
      </c>
      <c r="C180" s="333" t="s">
        <v>4071</v>
      </c>
      <c r="D180" s="333" t="s">
        <v>4084</v>
      </c>
      <c r="E180" s="384" t="s">
        <v>4068</v>
      </c>
      <c r="F180" s="766">
        <v>95</v>
      </c>
      <c r="G180" s="766">
        <f t="shared" si="131"/>
        <v>313.5</v>
      </c>
      <c r="H180" s="385">
        <f t="shared" ref="H180:J180" si="149">F180*5</f>
        <v>475</v>
      </c>
      <c r="I180" s="385">
        <f t="shared" si="149"/>
        <v>1567.5</v>
      </c>
      <c r="J180" s="874">
        <f t="shared" si="149"/>
        <v>2375</v>
      </c>
      <c r="K180" s="372">
        <f t="shared" si="133"/>
        <v>7837.5</v>
      </c>
      <c r="L180" s="372">
        <f t="shared" si="134"/>
        <v>1187.5</v>
      </c>
      <c r="M180" s="372">
        <f t="shared" si="135"/>
        <v>3918.75</v>
      </c>
      <c r="N180" s="385"/>
    </row>
    <row r="181" spans="1:14" ht="27.6">
      <c r="A181" s="352">
        <v>109</v>
      </c>
      <c r="B181" s="352" t="s">
        <v>4085</v>
      </c>
      <c r="C181" s="333" t="s">
        <v>4071</v>
      </c>
      <c r="D181" s="333" t="s">
        <v>4084</v>
      </c>
      <c r="E181" s="384" t="s">
        <v>4068</v>
      </c>
      <c r="F181" s="766">
        <v>95</v>
      </c>
      <c r="G181" s="766">
        <f t="shared" si="131"/>
        <v>313.5</v>
      </c>
      <c r="H181" s="385">
        <f t="shared" ref="H181:J181" si="150">F181*5</f>
        <v>475</v>
      </c>
      <c r="I181" s="385">
        <f t="shared" si="150"/>
        <v>1567.5</v>
      </c>
      <c r="J181" s="874">
        <f t="shared" si="150"/>
        <v>2375</v>
      </c>
      <c r="K181" s="372">
        <f t="shared" si="133"/>
        <v>7837.5</v>
      </c>
      <c r="L181" s="372">
        <f t="shared" si="134"/>
        <v>1187.5</v>
      </c>
      <c r="M181" s="372">
        <f t="shared" si="135"/>
        <v>3918.75</v>
      </c>
      <c r="N181" s="385"/>
    </row>
    <row r="182" spans="1:14" ht="13.8">
      <c r="A182" s="352">
        <v>110</v>
      </c>
      <c r="B182" s="352" t="s">
        <v>4086</v>
      </c>
      <c r="C182" s="333">
        <v>18734</v>
      </c>
      <c r="D182" s="333" t="s">
        <v>2702</v>
      </c>
      <c r="E182" s="384" t="s">
        <v>4087</v>
      </c>
      <c r="F182" s="766">
        <v>65</v>
      </c>
      <c r="G182" s="766">
        <f t="shared" si="131"/>
        <v>468</v>
      </c>
      <c r="H182" s="385">
        <f t="shared" ref="H182:J182" si="151">F182*5</f>
        <v>325</v>
      </c>
      <c r="I182" s="385">
        <f t="shared" si="151"/>
        <v>2340</v>
      </c>
      <c r="J182" s="874">
        <f t="shared" si="151"/>
        <v>1625</v>
      </c>
      <c r="K182" s="372">
        <f t="shared" si="133"/>
        <v>11700</v>
      </c>
      <c r="L182" s="372">
        <f t="shared" si="134"/>
        <v>812.5</v>
      </c>
      <c r="M182" s="372">
        <f t="shared" si="135"/>
        <v>5850</v>
      </c>
      <c r="N182" s="385"/>
    </row>
    <row r="183" spans="1:14" ht="27.6">
      <c r="A183" s="352">
        <v>111</v>
      </c>
      <c r="B183" s="352" t="s">
        <v>4088</v>
      </c>
      <c r="C183" s="333" t="s">
        <v>4089</v>
      </c>
      <c r="D183" s="333" t="s">
        <v>2594</v>
      </c>
      <c r="E183" s="384" t="s">
        <v>3791</v>
      </c>
      <c r="F183" s="766">
        <v>130</v>
      </c>
      <c r="G183" s="766">
        <f t="shared" si="131"/>
        <v>455</v>
      </c>
      <c r="H183" s="385">
        <f t="shared" ref="H183:J183" si="152">F183*5</f>
        <v>650</v>
      </c>
      <c r="I183" s="385">
        <f t="shared" si="152"/>
        <v>2275</v>
      </c>
      <c r="J183" s="874">
        <f t="shared" si="152"/>
        <v>3250</v>
      </c>
      <c r="K183" s="372">
        <f t="shared" si="133"/>
        <v>11375</v>
      </c>
      <c r="L183" s="372">
        <f t="shared" si="134"/>
        <v>1625</v>
      </c>
      <c r="M183" s="372">
        <f t="shared" si="135"/>
        <v>5687.5</v>
      </c>
      <c r="N183" s="385"/>
    </row>
    <row r="184" spans="1:14" ht="27.6">
      <c r="A184" s="352">
        <v>112</v>
      </c>
      <c r="B184" s="352" t="s">
        <v>4090</v>
      </c>
      <c r="C184" s="333" t="s">
        <v>4091</v>
      </c>
      <c r="D184" s="333" t="s">
        <v>2594</v>
      </c>
      <c r="E184" s="384" t="s">
        <v>3791</v>
      </c>
      <c r="F184" s="766">
        <v>130</v>
      </c>
      <c r="G184" s="766">
        <f t="shared" si="131"/>
        <v>455</v>
      </c>
      <c r="H184" s="385">
        <f t="shared" ref="H184:J184" si="153">F184*5</f>
        <v>650</v>
      </c>
      <c r="I184" s="385">
        <f t="shared" si="153"/>
        <v>2275</v>
      </c>
      <c r="J184" s="874">
        <f t="shared" si="153"/>
        <v>3250</v>
      </c>
      <c r="K184" s="372">
        <f t="shared" si="133"/>
        <v>11375</v>
      </c>
      <c r="L184" s="372">
        <f t="shared" si="134"/>
        <v>1625</v>
      </c>
      <c r="M184" s="372">
        <f t="shared" si="135"/>
        <v>5687.5</v>
      </c>
      <c r="N184" s="385"/>
    </row>
    <row r="185" spans="1:14" ht="27.6">
      <c r="A185" s="352">
        <v>113</v>
      </c>
      <c r="B185" s="352" t="s">
        <v>4092</v>
      </c>
      <c r="C185" s="333" t="s">
        <v>4089</v>
      </c>
      <c r="D185" s="333" t="s">
        <v>2702</v>
      </c>
      <c r="E185" s="384" t="s">
        <v>3791</v>
      </c>
      <c r="F185" s="766">
        <v>130</v>
      </c>
      <c r="G185" s="766">
        <f t="shared" si="131"/>
        <v>455</v>
      </c>
      <c r="H185" s="385">
        <f t="shared" ref="H185:J185" si="154">F185*5</f>
        <v>650</v>
      </c>
      <c r="I185" s="385">
        <f t="shared" si="154"/>
        <v>2275</v>
      </c>
      <c r="J185" s="874">
        <f t="shared" si="154"/>
        <v>3250</v>
      </c>
      <c r="K185" s="372">
        <f t="shared" si="133"/>
        <v>11375</v>
      </c>
      <c r="L185" s="372">
        <f t="shared" si="134"/>
        <v>1625</v>
      </c>
      <c r="M185" s="372">
        <f t="shared" si="135"/>
        <v>5687.5</v>
      </c>
      <c r="N185" s="385"/>
    </row>
    <row r="186" spans="1:14" ht="27.6">
      <c r="A186" s="352">
        <v>114</v>
      </c>
      <c r="B186" s="352" t="s">
        <v>4093</v>
      </c>
      <c r="C186" s="333" t="s">
        <v>4091</v>
      </c>
      <c r="D186" s="333" t="s">
        <v>2702</v>
      </c>
      <c r="E186" s="384" t="s">
        <v>3791</v>
      </c>
      <c r="F186" s="766">
        <v>130</v>
      </c>
      <c r="G186" s="766">
        <f t="shared" si="131"/>
        <v>455</v>
      </c>
      <c r="H186" s="385">
        <f t="shared" ref="H186:J186" si="155">F186*5</f>
        <v>650</v>
      </c>
      <c r="I186" s="385">
        <f t="shared" si="155"/>
        <v>2275</v>
      </c>
      <c r="J186" s="874">
        <f t="shared" si="155"/>
        <v>3250</v>
      </c>
      <c r="K186" s="372">
        <f t="shared" si="133"/>
        <v>11375</v>
      </c>
      <c r="L186" s="372">
        <f t="shared" si="134"/>
        <v>1625</v>
      </c>
      <c r="M186" s="372">
        <f t="shared" si="135"/>
        <v>5687.5</v>
      </c>
      <c r="N186" s="385"/>
    </row>
    <row r="187" spans="1:14" ht="27.6">
      <c r="A187" s="352">
        <v>115</v>
      </c>
      <c r="B187" s="352" t="s">
        <v>4094</v>
      </c>
      <c r="C187" s="333" t="s">
        <v>4095</v>
      </c>
      <c r="D187" s="333" t="s">
        <v>4096</v>
      </c>
      <c r="E187" s="384" t="s">
        <v>3791</v>
      </c>
      <c r="F187" s="766">
        <v>102</v>
      </c>
      <c r="G187" s="766">
        <f t="shared" si="131"/>
        <v>357</v>
      </c>
      <c r="H187" s="385">
        <f t="shared" ref="H187:J187" si="156">F187*5</f>
        <v>510</v>
      </c>
      <c r="I187" s="385">
        <f t="shared" si="156"/>
        <v>1785</v>
      </c>
      <c r="J187" s="874">
        <f t="shared" si="156"/>
        <v>2550</v>
      </c>
      <c r="K187" s="372">
        <f t="shared" si="133"/>
        <v>8925</v>
      </c>
      <c r="L187" s="372">
        <f t="shared" si="134"/>
        <v>1275</v>
      </c>
      <c r="M187" s="372">
        <f t="shared" si="135"/>
        <v>4462.5</v>
      </c>
      <c r="N187" s="385"/>
    </row>
    <row r="188" spans="1:14" ht="27.6">
      <c r="A188" s="352">
        <v>116</v>
      </c>
      <c r="B188" s="352" t="s">
        <v>4097</v>
      </c>
      <c r="C188" s="333" t="s">
        <v>4098</v>
      </c>
      <c r="D188" s="333" t="s">
        <v>4096</v>
      </c>
      <c r="E188" s="384" t="s">
        <v>4099</v>
      </c>
      <c r="F188" s="766">
        <v>102</v>
      </c>
      <c r="G188" s="766">
        <f t="shared" si="131"/>
        <v>336.59999999999997</v>
      </c>
      <c r="H188" s="385">
        <f t="shared" ref="H188:J188" si="157">F188*5</f>
        <v>510</v>
      </c>
      <c r="I188" s="385">
        <f t="shared" si="157"/>
        <v>1682.9999999999998</v>
      </c>
      <c r="J188" s="874">
        <f t="shared" si="157"/>
        <v>2550</v>
      </c>
      <c r="K188" s="372">
        <f t="shared" si="133"/>
        <v>8415</v>
      </c>
      <c r="L188" s="372">
        <f t="shared" si="134"/>
        <v>1275</v>
      </c>
      <c r="M188" s="372">
        <f t="shared" si="135"/>
        <v>4207.5</v>
      </c>
      <c r="N188" s="385"/>
    </row>
    <row r="189" spans="1:14" ht="27.6">
      <c r="A189" s="352">
        <v>117</v>
      </c>
      <c r="B189" s="352" t="s">
        <v>4100</v>
      </c>
      <c r="C189" s="333" t="s">
        <v>4095</v>
      </c>
      <c r="D189" s="333" t="s">
        <v>2497</v>
      </c>
      <c r="E189" s="384" t="s">
        <v>3933</v>
      </c>
      <c r="F189" s="766">
        <v>102</v>
      </c>
      <c r="G189" s="766">
        <f t="shared" si="131"/>
        <v>683.4</v>
      </c>
      <c r="H189" s="385">
        <f t="shared" ref="H189:J189" si="158">F189*5</f>
        <v>510</v>
      </c>
      <c r="I189" s="385">
        <f t="shared" si="158"/>
        <v>3417</v>
      </c>
      <c r="J189" s="874">
        <f t="shared" si="158"/>
        <v>2550</v>
      </c>
      <c r="K189" s="372">
        <f t="shared" si="133"/>
        <v>17085</v>
      </c>
      <c r="L189" s="372">
        <f t="shared" si="134"/>
        <v>1275</v>
      </c>
      <c r="M189" s="372">
        <f t="shared" si="135"/>
        <v>8542.5</v>
      </c>
      <c r="N189" s="385"/>
    </row>
    <row r="190" spans="1:14" ht="27.6">
      <c r="A190" s="352">
        <v>118</v>
      </c>
      <c r="B190" s="352" t="s">
        <v>4101</v>
      </c>
      <c r="C190" s="333" t="s">
        <v>4098</v>
      </c>
      <c r="D190" s="333" t="s">
        <v>2497</v>
      </c>
      <c r="E190" s="384" t="s">
        <v>3933</v>
      </c>
      <c r="F190" s="766">
        <v>102</v>
      </c>
      <c r="G190" s="766">
        <f t="shared" si="131"/>
        <v>683.4</v>
      </c>
      <c r="H190" s="385">
        <f t="shared" ref="H190:J190" si="159">F190*5</f>
        <v>510</v>
      </c>
      <c r="I190" s="385">
        <f t="shared" si="159"/>
        <v>3417</v>
      </c>
      <c r="J190" s="874">
        <f t="shared" si="159"/>
        <v>2550</v>
      </c>
      <c r="K190" s="372">
        <f t="shared" si="133"/>
        <v>17085</v>
      </c>
      <c r="L190" s="372">
        <f t="shared" si="134"/>
        <v>1275</v>
      </c>
      <c r="M190" s="372">
        <f t="shared" si="135"/>
        <v>8542.5</v>
      </c>
      <c r="N190" s="385"/>
    </row>
    <row r="191" spans="1:14" ht="13.8">
      <c r="A191" s="352">
        <v>119</v>
      </c>
      <c r="B191" s="352" t="s">
        <v>4102</v>
      </c>
      <c r="C191" s="333" t="s">
        <v>4103</v>
      </c>
      <c r="D191" s="333" t="s">
        <v>2722</v>
      </c>
      <c r="E191" s="384" t="s">
        <v>3839</v>
      </c>
      <c r="F191" s="766">
        <v>102</v>
      </c>
      <c r="G191" s="766">
        <f t="shared" si="131"/>
        <v>714</v>
      </c>
      <c r="H191" s="385">
        <f t="shared" ref="H191:J191" si="160">F191*5</f>
        <v>510</v>
      </c>
      <c r="I191" s="385">
        <f t="shared" si="160"/>
        <v>3570</v>
      </c>
      <c r="J191" s="874">
        <f t="shared" si="160"/>
        <v>2550</v>
      </c>
      <c r="K191" s="372">
        <f t="shared" si="133"/>
        <v>17850</v>
      </c>
      <c r="L191" s="372">
        <f t="shared" si="134"/>
        <v>1275</v>
      </c>
      <c r="M191" s="372">
        <f t="shared" si="135"/>
        <v>8925</v>
      </c>
      <c r="N191" s="385"/>
    </row>
    <row r="192" spans="1:14" ht="13.8">
      <c r="A192" s="352">
        <v>120</v>
      </c>
      <c r="B192" s="352" t="s">
        <v>4104</v>
      </c>
      <c r="C192" s="333" t="s">
        <v>4103</v>
      </c>
      <c r="D192" s="333" t="s">
        <v>4105</v>
      </c>
      <c r="E192" s="384" t="s">
        <v>3839</v>
      </c>
      <c r="F192" s="766">
        <v>102</v>
      </c>
      <c r="G192" s="766">
        <f t="shared" si="131"/>
        <v>714</v>
      </c>
      <c r="H192" s="385">
        <f t="shared" ref="H192:J192" si="161">F192*5</f>
        <v>510</v>
      </c>
      <c r="I192" s="385">
        <f t="shared" si="161"/>
        <v>3570</v>
      </c>
      <c r="J192" s="874">
        <f t="shared" si="161"/>
        <v>2550</v>
      </c>
      <c r="K192" s="372">
        <f t="shared" si="133"/>
        <v>17850</v>
      </c>
      <c r="L192" s="372">
        <f t="shared" si="134"/>
        <v>1275</v>
      </c>
      <c r="M192" s="372">
        <f t="shared" si="135"/>
        <v>8925</v>
      </c>
      <c r="N192" s="385"/>
    </row>
    <row r="193" spans="1:14" ht="13.8">
      <c r="A193" s="352">
        <v>121</v>
      </c>
      <c r="B193" s="352" t="s">
        <v>4106</v>
      </c>
      <c r="C193" s="333" t="s">
        <v>4103</v>
      </c>
      <c r="D193" s="333" t="s">
        <v>4107</v>
      </c>
      <c r="E193" s="384" t="s">
        <v>3929</v>
      </c>
      <c r="F193" s="766">
        <v>102</v>
      </c>
      <c r="G193" s="766">
        <f t="shared" si="131"/>
        <v>663</v>
      </c>
      <c r="H193" s="385">
        <f t="shared" ref="H193:J193" si="162">F193*5</f>
        <v>510</v>
      </c>
      <c r="I193" s="385">
        <f t="shared" si="162"/>
        <v>3315</v>
      </c>
      <c r="J193" s="874">
        <f t="shared" si="162"/>
        <v>2550</v>
      </c>
      <c r="K193" s="372">
        <f t="shared" si="133"/>
        <v>16575</v>
      </c>
      <c r="L193" s="372">
        <f t="shared" si="134"/>
        <v>1275</v>
      </c>
      <c r="M193" s="372">
        <f t="shared" si="135"/>
        <v>8287.5</v>
      </c>
      <c r="N193" s="385"/>
    </row>
    <row r="194" spans="1:14" ht="13.8">
      <c r="A194" s="352">
        <v>122</v>
      </c>
      <c r="B194" s="352" t="s">
        <v>4108</v>
      </c>
      <c r="C194" s="333" t="s">
        <v>4103</v>
      </c>
      <c r="D194" s="333" t="s">
        <v>2902</v>
      </c>
      <c r="E194" s="384" t="s">
        <v>4109</v>
      </c>
      <c r="F194" s="766">
        <v>102</v>
      </c>
      <c r="G194" s="766">
        <f t="shared" si="131"/>
        <v>591.6</v>
      </c>
      <c r="H194" s="385">
        <f t="shared" ref="H194:J194" si="163">F194*5</f>
        <v>510</v>
      </c>
      <c r="I194" s="385">
        <f t="shared" si="163"/>
        <v>2958</v>
      </c>
      <c r="J194" s="874">
        <f t="shared" si="163"/>
        <v>2550</v>
      </c>
      <c r="K194" s="372">
        <f t="shared" si="133"/>
        <v>14790</v>
      </c>
      <c r="L194" s="372">
        <f t="shared" si="134"/>
        <v>1275</v>
      </c>
      <c r="M194" s="372">
        <f t="shared" si="135"/>
        <v>7395</v>
      </c>
      <c r="N194" s="385"/>
    </row>
    <row r="195" spans="1:14" ht="13.8">
      <c r="A195" s="352">
        <v>123</v>
      </c>
      <c r="B195" s="352" t="s">
        <v>4110</v>
      </c>
      <c r="C195" s="333" t="s">
        <v>4111</v>
      </c>
      <c r="D195" s="333" t="s">
        <v>4112</v>
      </c>
      <c r="E195" s="384" t="s">
        <v>3839</v>
      </c>
      <c r="F195" s="766">
        <v>115</v>
      </c>
      <c r="G195" s="766">
        <f t="shared" si="131"/>
        <v>805</v>
      </c>
      <c r="H195" s="385">
        <f t="shared" ref="H195:J195" si="164">F195*5</f>
        <v>575</v>
      </c>
      <c r="I195" s="385">
        <f t="shared" si="164"/>
        <v>4025</v>
      </c>
      <c r="J195" s="874">
        <f t="shared" si="164"/>
        <v>2875</v>
      </c>
      <c r="K195" s="372">
        <f t="shared" si="133"/>
        <v>20125</v>
      </c>
      <c r="L195" s="372">
        <f t="shared" si="134"/>
        <v>1437.5</v>
      </c>
      <c r="M195" s="372">
        <f t="shared" si="135"/>
        <v>10062.5</v>
      </c>
      <c r="N195" s="385"/>
    </row>
    <row r="196" spans="1:14" ht="13.8">
      <c r="A196" s="352">
        <v>124</v>
      </c>
      <c r="B196" s="352" t="s">
        <v>4113</v>
      </c>
      <c r="C196" s="333" t="s">
        <v>4111</v>
      </c>
      <c r="D196" s="333" t="s">
        <v>4114</v>
      </c>
      <c r="E196" s="384" t="s">
        <v>3839</v>
      </c>
      <c r="F196" s="766">
        <v>115</v>
      </c>
      <c r="G196" s="766">
        <f t="shared" si="131"/>
        <v>805</v>
      </c>
      <c r="H196" s="385">
        <f t="shared" ref="H196:J196" si="165">F196*5</f>
        <v>575</v>
      </c>
      <c r="I196" s="385">
        <f t="shared" si="165"/>
        <v>4025</v>
      </c>
      <c r="J196" s="874">
        <f t="shared" si="165"/>
        <v>2875</v>
      </c>
      <c r="K196" s="372">
        <f t="shared" si="133"/>
        <v>20125</v>
      </c>
      <c r="L196" s="372">
        <f t="shared" si="134"/>
        <v>1437.5</v>
      </c>
      <c r="M196" s="372">
        <f t="shared" si="135"/>
        <v>10062.5</v>
      </c>
      <c r="N196" s="385"/>
    </row>
    <row r="197" spans="1:14" ht="13.8">
      <c r="A197" s="352">
        <v>125</v>
      </c>
      <c r="B197" s="352" t="s">
        <v>4115</v>
      </c>
      <c r="C197" s="333" t="s">
        <v>4111</v>
      </c>
      <c r="D197" s="333" t="s">
        <v>4116</v>
      </c>
      <c r="E197" s="384" t="s">
        <v>3839</v>
      </c>
      <c r="F197" s="766">
        <v>115</v>
      </c>
      <c r="G197" s="766">
        <f t="shared" si="131"/>
        <v>805</v>
      </c>
      <c r="H197" s="385">
        <f t="shared" ref="H197:J197" si="166">F197*5</f>
        <v>575</v>
      </c>
      <c r="I197" s="385">
        <f t="shared" si="166"/>
        <v>4025</v>
      </c>
      <c r="J197" s="874">
        <f t="shared" si="166"/>
        <v>2875</v>
      </c>
      <c r="K197" s="372">
        <f t="shared" si="133"/>
        <v>20125</v>
      </c>
      <c r="L197" s="372">
        <f t="shared" si="134"/>
        <v>1437.5</v>
      </c>
      <c r="M197" s="372">
        <f t="shared" si="135"/>
        <v>10062.5</v>
      </c>
      <c r="N197" s="385"/>
    </row>
    <row r="198" spans="1:14" ht="27.6">
      <c r="A198" s="352">
        <v>126</v>
      </c>
      <c r="B198" s="352" t="s">
        <v>4117</v>
      </c>
      <c r="C198" s="333" t="s">
        <v>4118</v>
      </c>
      <c r="D198" s="333" t="s">
        <v>4119</v>
      </c>
      <c r="E198" s="384" t="s">
        <v>4120</v>
      </c>
      <c r="F198" s="766">
        <v>82</v>
      </c>
      <c r="G198" s="766">
        <f t="shared" si="131"/>
        <v>295.2</v>
      </c>
      <c r="H198" s="385">
        <f t="shared" ref="H198:J198" si="167">F198*5</f>
        <v>410</v>
      </c>
      <c r="I198" s="385">
        <f t="shared" si="167"/>
        <v>1476</v>
      </c>
      <c r="J198" s="874">
        <f t="shared" si="167"/>
        <v>2050</v>
      </c>
      <c r="K198" s="372">
        <f t="shared" si="133"/>
        <v>7380</v>
      </c>
      <c r="L198" s="372">
        <f t="shared" si="134"/>
        <v>1025</v>
      </c>
      <c r="M198" s="372">
        <f t="shared" si="135"/>
        <v>3690</v>
      </c>
      <c r="N198" s="385"/>
    </row>
    <row r="199" spans="1:14" ht="27.6">
      <c r="A199" s="352">
        <v>127</v>
      </c>
      <c r="B199" s="352" t="s">
        <v>4121</v>
      </c>
      <c r="C199" s="333" t="s">
        <v>4122</v>
      </c>
      <c r="D199" s="333" t="s">
        <v>4119</v>
      </c>
      <c r="E199" s="384" t="s">
        <v>4120</v>
      </c>
      <c r="F199" s="766">
        <v>82</v>
      </c>
      <c r="G199" s="766">
        <f t="shared" si="131"/>
        <v>295.2</v>
      </c>
      <c r="H199" s="385">
        <f t="shared" ref="H199:J199" si="168">F199*5</f>
        <v>410</v>
      </c>
      <c r="I199" s="385">
        <f t="shared" si="168"/>
        <v>1476</v>
      </c>
      <c r="J199" s="874">
        <f t="shared" si="168"/>
        <v>2050</v>
      </c>
      <c r="K199" s="372">
        <f t="shared" si="133"/>
        <v>7380</v>
      </c>
      <c r="L199" s="372">
        <f t="shared" si="134"/>
        <v>1025</v>
      </c>
      <c r="M199" s="372">
        <f t="shared" si="135"/>
        <v>3690</v>
      </c>
      <c r="N199" s="385"/>
    </row>
    <row r="200" spans="1:14" ht="27.6">
      <c r="A200" s="352">
        <v>128</v>
      </c>
      <c r="B200" s="352" t="s">
        <v>4123</v>
      </c>
      <c r="C200" s="333" t="s">
        <v>4118</v>
      </c>
      <c r="D200" s="333" t="s">
        <v>4124</v>
      </c>
      <c r="E200" s="384" t="s">
        <v>4125</v>
      </c>
      <c r="F200" s="766">
        <v>82</v>
      </c>
      <c r="G200" s="766">
        <f t="shared" si="131"/>
        <v>328</v>
      </c>
      <c r="H200" s="385">
        <f t="shared" ref="H200:J200" si="169">F200*5</f>
        <v>410</v>
      </c>
      <c r="I200" s="385">
        <f t="shared" si="169"/>
        <v>1640</v>
      </c>
      <c r="J200" s="874">
        <f t="shared" si="169"/>
        <v>2050</v>
      </c>
      <c r="K200" s="372">
        <f t="shared" si="133"/>
        <v>8200</v>
      </c>
      <c r="L200" s="372">
        <f t="shared" si="134"/>
        <v>1025</v>
      </c>
      <c r="M200" s="372">
        <f t="shared" si="135"/>
        <v>4100</v>
      </c>
      <c r="N200" s="385"/>
    </row>
    <row r="201" spans="1:14" ht="27.6">
      <c r="A201" s="352">
        <v>129</v>
      </c>
      <c r="B201" s="352" t="s">
        <v>4126</v>
      </c>
      <c r="C201" s="333" t="s">
        <v>4122</v>
      </c>
      <c r="D201" s="333" t="s">
        <v>4124</v>
      </c>
      <c r="E201" s="384" t="s">
        <v>4125</v>
      </c>
      <c r="F201" s="766">
        <v>82</v>
      </c>
      <c r="G201" s="766">
        <f t="shared" si="131"/>
        <v>328</v>
      </c>
      <c r="H201" s="385">
        <f t="shared" ref="H201:J201" si="170">F201*5</f>
        <v>410</v>
      </c>
      <c r="I201" s="385">
        <f t="shared" si="170"/>
        <v>1640</v>
      </c>
      <c r="J201" s="874">
        <f t="shared" si="170"/>
        <v>2050</v>
      </c>
      <c r="K201" s="372">
        <f t="shared" si="133"/>
        <v>8200</v>
      </c>
      <c r="L201" s="372">
        <f t="shared" si="134"/>
        <v>1025</v>
      </c>
      <c r="M201" s="372">
        <f t="shared" si="135"/>
        <v>4100</v>
      </c>
      <c r="N201" s="385"/>
    </row>
    <row r="202" spans="1:14" ht="13.8">
      <c r="A202" s="352">
        <v>130</v>
      </c>
      <c r="B202" s="352" t="s">
        <v>4127</v>
      </c>
      <c r="C202" s="333" t="s">
        <v>4118</v>
      </c>
      <c r="D202" s="333" t="s">
        <v>4128</v>
      </c>
      <c r="E202" s="384" t="s">
        <v>3791</v>
      </c>
      <c r="F202" s="766">
        <v>82</v>
      </c>
      <c r="G202" s="766">
        <f t="shared" si="131"/>
        <v>287</v>
      </c>
      <c r="H202" s="385">
        <f t="shared" ref="H202:J202" si="171">F202*5</f>
        <v>410</v>
      </c>
      <c r="I202" s="385">
        <f t="shared" si="171"/>
        <v>1435</v>
      </c>
      <c r="J202" s="874">
        <f t="shared" si="171"/>
        <v>2050</v>
      </c>
      <c r="K202" s="372">
        <f t="shared" si="133"/>
        <v>7175</v>
      </c>
      <c r="L202" s="372">
        <f t="shared" si="134"/>
        <v>1025</v>
      </c>
      <c r="M202" s="372">
        <f t="shared" si="135"/>
        <v>3587.5</v>
      </c>
      <c r="N202" s="385"/>
    </row>
    <row r="203" spans="1:14" ht="27.6">
      <c r="A203" s="352">
        <v>131</v>
      </c>
      <c r="B203" s="352" t="s">
        <v>4129</v>
      </c>
      <c r="C203" s="333" t="s">
        <v>4122</v>
      </c>
      <c r="D203" s="333" t="s">
        <v>4128</v>
      </c>
      <c r="E203" s="384" t="s">
        <v>3791</v>
      </c>
      <c r="F203" s="766">
        <v>82</v>
      </c>
      <c r="G203" s="766">
        <f t="shared" si="131"/>
        <v>287</v>
      </c>
      <c r="H203" s="385">
        <f t="shared" ref="H203:J203" si="172">F203*5</f>
        <v>410</v>
      </c>
      <c r="I203" s="385">
        <f t="shared" si="172"/>
        <v>1435</v>
      </c>
      <c r="J203" s="874">
        <f t="shared" si="172"/>
        <v>2050</v>
      </c>
      <c r="K203" s="372">
        <f t="shared" si="133"/>
        <v>7175</v>
      </c>
      <c r="L203" s="372">
        <f t="shared" si="134"/>
        <v>1025</v>
      </c>
      <c r="M203" s="372">
        <f t="shared" si="135"/>
        <v>3587.5</v>
      </c>
      <c r="N203" s="385"/>
    </row>
    <row r="204" spans="1:14" ht="27.6">
      <c r="A204" s="352">
        <v>132</v>
      </c>
      <c r="B204" s="352" t="s">
        <v>4130</v>
      </c>
      <c r="C204" s="333" t="s">
        <v>4122</v>
      </c>
      <c r="D204" s="333" t="s">
        <v>4131</v>
      </c>
      <c r="E204" s="384" t="s">
        <v>4120</v>
      </c>
      <c r="F204" s="766">
        <v>82</v>
      </c>
      <c r="G204" s="766">
        <f t="shared" si="131"/>
        <v>295.2</v>
      </c>
      <c r="H204" s="385">
        <f t="shared" ref="H204:J204" si="173">F204*5</f>
        <v>410</v>
      </c>
      <c r="I204" s="385">
        <f t="shared" si="173"/>
        <v>1476</v>
      </c>
      <c r="J204" s="874">
        <f t="shared" si="173"/>
        <v>2050</v>
      </c>
      <c r="K204" s="372">
        <f t="shared" si="133"/>
        <v>7380</v>
      </c>
      <c r="L204" s="372">
        <f t="shared" si="134"/>
        <v>1025</v>
      </c>
      <c r="M204" s="372">
        <f t="shared" si="135"/>
        <v>3690</v>
      </c>
      <c r="N204" s="385"/>
    </row>
    <row r="205" spans="1:14" ht="27.6">
      <c r="A205" s="352">
        <v>133</v>
      </c>
      <c r="B205" s="352" t="s">
        <v>4132</v>
      </c>
      <c r="C205" s="333" t="s">
        <v>4122</v>
      </c>
      <c r="D205" s="333" t="s">
        <v>4131</v>
      </c>
      <c r="E205" s="384" t="s">
        <v>4120</v>
      </c>
      <c r="F205" s="766">
        <v>82</v>
      </c>
      <c r="G205" s="766">
        <f t="shared" si="131"/>
        <v>295.2</v>
      </c>
      <c r="H205" s="385">
        <f t="shared" ref="H205:J205" si="174">F205*5</f>
        <v>410</v>
      </c>
      <c r="I205" s="385">
        <f t="shared" si="174"/>
        <v>1476</v>
      </c>
      <c r="J205" s="874">
        <f t="shared" si="174"/>
        <v>2050</v>
      </c>
      <c r="K205" s="372">
        <f t="shared" si="133"/>
        <v>7380</v>
      </c>
      <c r="L205" s="372">
        <f t="shared" si="134"/>
        <v>1025</v>
      </c>
      <c r="M205" s="372">
        <f t="shared" si="135"/>
        <v>3690</v>
      </c>
      <c r="N205" s="385"/>
    </row>
    <row r="206" spans="1:14" ht="13.8">
      <c r="A206" s="352">
        <v>134</v>
      </c>
      <c r="B206" s="352" t="s">
        <v>4133</v>
      </c>
      <c r="C206" s="333" t="s">
        <v>4134</v>
      </c>
      <c r="D206" s="333" t="s">
        <v>2712</v>
      </c>
      <c r="E206" s="384" t="s">
        <v>3933</v>
      </c>
      <c r="F206" s="766">
        <v>90</v>
      </c>
      <c r="G206" s="766">
        <f t="shared" si="131"/>
        <v>603</v>
      </c>
      <c r="H206" s="385">
        <f t="shared" ref="H206:J206" si="175">F206*5</f>
        <v>450</v>
      </c>
      <c r="I206" s="385">
        <f t="shared" si="175"/>
        <v>3015</v>
      </c>
      <c r="J206" s="874">
        <f t="shared" si="175"/>
        <v>2250</v>
      </c>
      <c r="K206" s="372">
        <f t="shared" si="133"/>
        <v>15075</v>
      </c>
      <c r="L206" s="372">
        <f t="shared" si="134"/>
        <v>1125</v>
      </c>
      <c r="M206" s="372">
        <f t="shared" si="135"/>
        <v>7537.5</v>
      </c>
      <c r="N206" s="385"/>
    </row>
    <row r="207" spans="1:14" ht="13.8">
      <c r="A207" s="352">
        <v>135</v>
      </c>
      <c r="B207" s="352" t="s">
        <v>4135</v>
      </c>
      <c r="C207" s="333" t="s">
        <v>4134</v>
      </c>
      <c r="D207" s="333" t="s">
        <v>2902</v>
      </c>
      <c r="E207" s="384" t="s">
        <v>3814</v>
      </c>
      <c r="F207" s="766">
        <v>90</v>
      </c>
      <c r="G207" s="766">
        <f t="shared" si="131"/>
        <v>666</v>
      </c>
      <c r="H207" s="385">
        <f t="shared" ref="H207:J207" si="176">F207*5</f>
        <v>450</v>
      </c>
      <c r="I207" s="385">
        <f t="shared" si="176"/>
        <v>3330</v>
      </c>
      <c r="J207" s="874">
        <f t="shared" si="176"/>
        <v>2250</v>
      </c>
      <c r="K207" s="372">
        <f t="shared" si="133"/>
        <v>16650</v>
      </c>
      <c r="L207" s="372">
        <f t="shared" si="134"/>
        <v>1125</v>
      </c>
      <c r="M207" s="372">
        <f t="shared" si="135"/>
        <v>8325</v>
      </c>
      <c r="N207" s="385"/>
    </row>
    <row r="208" spans="1:14" ht="13.8">
      <c r="A208" s="352">
        <v>136</v>
      </c>
      <c r="B208" s="352" t="s">
        <v>4136</v>
      </c>
      <c r="C208" s="333" t="s">
        <v>4134</v>
      </c>
      <c r="D208" s="333" t="s">
        <v>4114</v>
      </c>
      <c r="E208" s="384" t="s">
        <v>3937</v>
      </c>
      <c r="F208" s="766">
        <v>90</v>
      </c>
      <c r="G208" s="766">
        <f t="shared" si="131"/>
        <v>612</v>
      </c>
      <c r="H208" s="385">
        <f t="shared" ref="H208:J208" si="177">F208*5</f>
        <v>450</v>
      </c>
      <c r="I208" s="385">
        <f t="shared" si="177"/>
        <v>3060</v>
      </c>
      <c r="J208" s="874">
        <f t="shared" si="177"/>
        <v>2250</v>
      </c>
      <c r="K208" s="372">
        <f t="shared" si="133"/>
        <v>15300</v>
      </c>
      <c r="L208" s="372">
        <f t="shared" si="134"/>
        <v>1125</v>
      </c>
      <c r="M208" s="372">
        <f t="shared" si="135"/>
        <v>7650</v>
      </c>
      <c r="N208" s="385"/>
    </row>
    <row r="209" spans="1:14" ht="13.8">
      <c r="A209" s="352">
        <v>137</v>
      </c>
      <c r="B209" s="352" t="s">
        <v>4137</v>
      </c>
      <c r="C209" s="333" t="s">
        <v>4134</v>
      </c>
      <c r="D209" s="333" t="s">
        <v>4138</v>
      </c>
      <c r="E209" s="384" t="s">
        <v>3933</v>
      </c>
      <c r="F209" s="766">
        <v>90</v>
      </c>
      <c r="G209" s="766">
        <f t="shared" si="131"/>
        <v>603</v>
      </c>
      <c r="H209" s="385">
        <f t="shared" ref="H209:J209" si="178">F209*5</f>
        <v>450</v>
      </c>
      <c r="I209" s="385">
        <f t="shared" si="178"/>
        <v>3015</v>
      </c>
      <c r="J209" s="874">
        <f t="shared" si="178"/>
        <v>2250</v>
      </c>
      <c r="K209" s="372">
        <f t="shared" si="133"/>
        <v>15075</v>
      </c>
      <c r="L209" s="372">
        <f t="shared" si="134"/>
        <v>1125</v>
      </c>
      <c r="M209" s="372">
        <f t="shared" si="135"/>
        <v>7537.5</v>
      </c>
      <c r="N209" s="385"/>
    </row>
    <row r="210" spans="1:14" ht="15.6">
      <c r="A210" s="1001" t="s">
        <v>318</v>
      </c>
      <c r="B210" s="931"/>
      <c r="C210" s="932"/>
      <c r="D210" s="866">
        <f>COUNTA(D166:D209)</f>
        <v>44</v>
      </c>
      <c r="E210" s="743"/>
      <c r="F210" s="743"/>
      <c r="G210" s="768">
        <f>SUM(G166:G209)</f>
        <v>19711.800000000003</v>
      </c>
      <c r="H210" s="743"/>
      <c r="I210" s="769">
        <f>SUM(I166:I209)</f>
        <v>98559</v>
      </c>
      <c r="J210" s="869"/>
      <c r="K210" s="870"/>
      <c r="L210" s="870"/>
      <c r="M210" s="870"/>
      <c r="N210" s="870"/>
    </row>
    <row r="211" spans="1:14" ht="13.8">
      <c r="A211" s="331"/>
      <c r="B211" s="334"/>
      <c r="C211" s="334"/>
      <c r="D211" s="331"/>
      <c r="E211" s="334"/>
      <c r="F211" s="331"/>
      <c r="G211" s="863"/>
      <c r="H211" s="331"/>
      <c r="I211" s="864"/>
      <c r="J211" s="343"/>
      <c r="K211" s="344"/>
      <c r="L211" s="344"/>
      <c r="M211" s="344"/>
      <c r="N211" s="344"/>
    </row>
    <row r="212" spans="1:14" ht="13.8">
      <c r="A212" s="331"/>
      <c r="B212" s="334"/>
      <c r="C212" s="334"/>
      <c r="D212" s="331"/>
      <c r="E212" s="334"/>
      <c r="F212" s="331"/>
      <c r="G212" s="863"/>
      <c r="H212" s="331"/>
      <c r="I212" s="864"/>
      <c r="J212" s="343"/>
      <c r="K212" s="344"/>
      <c r="L212" s="344"/>
      <c r="M212" s="344"/>
      <c r="N212" s="344"/>
    </row>
    <row r="213" spans="1:14" ht="13.8">
      <c r="A213" s="331"/>
      <c r="B213" s="334"/>
      <c r="C213" s="334"/>
      <c r="D213" s="331"/>
      <c r="E213" s="334"/>
      <c r="F213" s="331"/>
      <c r="G213" s="863"/>
      <c r="H213" s="331"/>
      <c r="I213" s="864"/>
      <c r="J213" s="343"/>
      <c r="K213" s="344"/>
      <c r="L213" s="344"/>
      <c r="M213" s="344"/>
      <c r="N213" s="344"/>
    </row>
    <row r="214" spans="1:14" ht="13.2">
      <c r="A214" s="1009" t="s">
        <v>4139</v>
      </c>
      <c r="B214" s="931"/>
      <c r="C214" s="931"/>
      <c r="D214" s="931"/>
      <c r="E214" s="931"/>
      <c r="F214" s="931"/>
      <c r="G214" s="931"/>
      <c r="H214" s="931"/>
      <c r="I214" s="931"/>
      <c r="J214" s="931"/>
      <c r="K214" s="931"/>
      <c r="L214" s="931"/>
      <c r="M214" s="931"/>
      <c r="N214" s="932"/>
    </row>
    <row r="215" spans="1:14" ht="22.5" customHeight="1">
      <c r="A215" s="396" t="s">
        <v>165</v>
      </c>
      <c r="B215" s="431" t="s">
        <v>166</v>
      </c>
      <c r="C215" s="431" t="s">
        <v>167</v>
      </c>
      <c r="D215" s="334" t="s">
        <v>168</v>
      </c>
      <c r="E215" s="431" t="s">
        <v>169</v>
      </c>
      <c r="F215" s="742" t="s">
        <v>4140</v>
      </c>
      <c r="G215" s="743" t="s">
        <v>4141</v>
      </c>
      <c r="H215" s="744" t="s">
        <v>4142</v>
      </c>
      <c r="I215" s="744" t="s">
        <v>4143</v>
      </c>
      <c r="J215" s="745" t="s">
        <v>4144</v>
      </c>
      <c r="K215" s="745" t="s">
        <v>4145</v>
      </c>
      <c r="L215" s="431" t="s">
        <v>175</v>
      </c>
      <c r="M215" s="431" t="s">
        <v>4146</v>
      </c>
      <c r="N215" s="871" t="s">
        <v>177</v>
      </c>
    </row>
    <row r="216" spans="1:14" ht="13.8">
      <c r="A216" s="333">
        <v>138</v>
      </c>
      <c r="B216" s="333" t="s">
        <v>4147</v>
      </c>
      <c r="C216" s="333">
        <v>7533</v>
      </c>
      <c r="D216" s="333" t="s">
        <v>4148</v>
      </c>
      <c r="E216" s="384" t="s">
        <v>4149</v>
      </c>
      <c r="F216" s="766">
        <v>195</v>
      </c>
      <c r="G216" s="766">
        <f t="shared" ref="G216:G224" si="179">F216*E216</f>
        <v>1170</v>
      </c>
      <c r="H216" s="385">
        <f t="shared" ref="H216:J216" si="180">F216*5</f>
        <v>975</v>
      </c>
      <c r="I216" s="385">
        <f t="shared" si="180"/>
        <v>5850</v>
      </c>
      <c r="J216" s="385">
        <f t="shared" si="180"/>
        <v>4875</v>
      </c>
      <c r="K216" s="385">
        <f t="shared" ref="K216:K224" si="181">J216*E216</f>
        <v>29250</v>
      </c>
      <c r="L216" s="385">
        <f t="shared" ref="L216:L224" si="182">J216/2</f>
        <v>2437.5</v>
      </c>
      <c r="M216" s="385">
        <f t="shared" ref="M216:M224" si="183">L216*E216</f>
        <v>14625</v>
      </c>
      <c r="N216" s="385"/>
    </row>
    <row r="217" spans="1:14" ht="13.8">
      <c r="A217" s="333">
        <v>139</v>
      </c>
      <c r="B217" s="333" t="s">
        <v>4150</v>
      </c>
      <c r="C217" s="333">
        <v>7464</v>
      </c>
      <c r="D217" s="333" t="s">
        <v>4148</v>
      </c>
      <c r="E217" s="384" t="s">
        <v>4109</v>
      </c>
      <c r="F217" s="766">
        <v>132</v>
      </c>
      <c r="G217" s="766">
        <f t="shared" si="179"/>
        <v>765.6</v>
      </c>
      <c r="H217" s="385">
        <f t="shared" ref="H217:J217" si="184">F217*5</f>
        <v>660</v>
      </c>
      <c r="I217" s="385">
        <f t="shared" si="184"/>
        <v>3828</v>
      </c>
      <c r="J217" s="385">
        <f t="shared" si="184"/>
        <v>3300</v>
      </c>
      <c r="K217" s="385">
        <f t="shared" si="181"/>
        <v>19140</v>
      </c>
      <c r="L217" s="385">
        <f t="shared" si="182"/>
        <v>1650</v>
      </c>
      <c r="M217" s="385">
        <f t="shared" si="183"/>
        <v>9570</v>
      </c>
      <c r="N217" s="385"/>
    </row>
    <row r="218" spans="1:14" ht="13.8">
      <c r="A218" s="333">
        <v>140</v>
      </c>
      <c r="B218" s="333" t="s">
        <v>4151</v>
      </c>
      <c r="C218" s="333">
        <v>7363</v>
      </c>
      <c r="D218" s="333" t="s">
        <v>4152</v>
      </c>
      <c r="E218" s="384" t="s">
        <v>4149</v>
      </c>
      <c r="F218" s="766">
        <v>129</v>
      </c>
      <c r="G218" s="766">
        <f t="shared" si="179"/>
        <v>774</v>
      </c>
      <c r="H218" s="385">
        <f t="shared" ref="H218:J218" si="185">F218*5</f>
        <v>645</v>
      </c>
      <c r="I218" s="385">
        <f t="shared" si="185"/>
        <v>3870</v>
      </c>
      <c r="J218" s="385">
        <f t="shared" si="185"/>
        <v>3225</v>
      </c>
      <c r="K218" s="385">
        <f t="shared" si="181"/>
        <v>19350</v>
      </c>
      <c r="L218" s="385">
        <f t="shared" si="182"/>
        <v>1612.5</v>
      </c>
      <c r="M218" s="385">
        <f t="shared" si="183"/>
        <v>9675</v>
      </c>
      <c r="N218" s="385"/>
    </row>
    <row r="219" spans="1:14" ht="13.8">
      <c r="A219" s="333">
        <v>141</v>
      </c>
      <c r="B219" s="333" t="s">
        <v>4153</v>
      </c>
      <c r="C219" s="333">
        <v>7328</v>
      </c>
      <c r="D219" s="333" t="s">
        <v>4154</v>
      </c>
      <c r="E219" s="384" t="s">
        <v>3839</v>
      </c>
      <c r="F219" s="766">
        <v>147</v>
      </c>
      <c r="G219" s="766">
        <f t="shared" si="179"/>
        <v>1029</v>
      </c>
      <c r="H219" s="385">
        <f t="shared" ref="H219:J219" si="186">F219*5</f>
        <v>735</v>
      </c>
      <c r="I219" s="385">
        <f t="shared" si="186"/>
        <v>5145</v>
      </c>
      <c r="J219" s="385">
        <f t="shared" si="186"/>
        <v>3675</v>
      </c>
      <c r="K219" s="385">
        <f t="shared" si="181"/>
        <v>25725</v>
      </c>
      <c r="L219" s="385">
        <f t="shared" si="182"/>
        <v>1837.5</v>
      </c>
      <c r="M219" s="385">
        <f t="shared" si="183"/>
        <v>12862.5</v>
      </c>
      <c r="N219" s="385"/>
    </row>
    <row r="220" spans="1:14" ht="13.8">
      <c r="A220" s="333">
        <v>142</v>
      </c>
      <c r="B220" s="333" t="s">
        <v>4155</v>
      </c>
      <c r="C220" s="333" t="s">
        <v>4156</v>
      </c>
      <c r="D220" s="333" t="s">
        <v>4157</v>
      </c>
      <c r="E220" s="384" t="s">
        <v>3839</v>
      </c>
      <c r="F220" s="766">
        <v>159</v>
      </c>
      <c r="G220" s="766">
        <f t="shared" si="179"/>
        <v>1113</v>
      </c>
      <c r="H220" s="385">
        <f t="shared" ref="H220:J220" si="187">F220*5</f>
        <v>795</v>
      </c>
      <c r="I220" s="385">
        <f t="shared" si="187"/>
        <v>5565</v>
      </c>
      <c r="J220" s="385">
        <f t="shared" si="187"/>
        <v>3975</v>
      </c>
      <c r="K220" s="385">
        <f t="shared" si="181"/>
        <v>27825</v>
      </c>
      <c r="L220" s="385">
        <f t="shared" si="182"/>
        <v>1987.5</v>
      </c>
      <c r="M220" s="385">
        <f t="shared" si="183"/>
        <v>13912.5</v>
      </c>
      <c r="N220" s="385"/>
    </row>
    <row r="221" spans="1:14" ht="13.8">
      <c r="A221" s="333">
        <v>143</v>
      </c>
      <c r="B221" s="333" t="s">
        <v>4158</v>
      </c>
      <c r="C221" s="333">
        <v>7506</v>
      </c>
      <c r="D221" s="333" t="s">
        <v>4159</v>
      </c>
      <c r="E221" s="384" t="s">
        <v>4109</v>
      </c>
      <c r="F221" s="766">
        <v>188</v>
      </c>
      <c r="G221" s="766">
        <f t="shared" si="179"/>
        <v>1090.3999999999999</v>
      </c>
      <c r="H221" s="385">
        <f t="shared" ref="H221:J221" si="188">F221*5</f>
        <v>940</v>
      </c>
      <c r="I221" s="385">
        <f t="shared" si="188"/>
        <v>5451.9999999999991</v>
      </c>
      <c r="J221" s="385">
        <f t="shared" si="188"/>
        <v>4700</v>
      </c>
      <c r="K221" s="385">
        <f t="shared" si="181"/>
        <v>27260</v>
      </c>
      <c r="L221" s="385">
        <f t="shared" si="182"/>
        <v>2350</v>
      </c>
      <c r="M221" s="385">
        <f t="shared" si="183"/>
        <v>13630</v>
      </c>
      <c r="N221" s="385"/>
    </row>
    <row r="222" spans="1:14" ht="13.8">
      <c r="A222" s="333">
        <v>144</v>
      </c>
      <c r="B222" s="333" t="s">
        <v>4160</v>
      </c>
      <c r="C222" s="333">
        <v>7409</v>
      </c>
      <c r="D222" s="333" t="s">
        <v>4152</v>
      </c>
      <c r="E222" s="384" t="s">
        <v>4149</v>
      </c>
      <c r="F222" s="766">
        <v>148</v>
      </c>
      <c r="G222" s="766">
        <f t="shared" si="179"/>
        <v>888</v>
      </c>
      <c r="H222" s="385">
        <f t="shared" ref="H222:J222" si="189">F222*5</f>
        <v>740</v>
      </c>
      <c r="I222" s="385">
        <f t="shared" si="189"/>
        <v>4440</v>
      </c>
      <c r="J222" s="385">
        <f t="shared" si="189"/>
        <v>3700</v>
      </c>
      <c r="K222" s="385">
        <f t="shared" si="181"/>
        <v>22200</v>
      </c>
      <c r="L222" s="385">
        <f t="shared" si="182"/>
        <v>1850</v>
      </c>
      <c r="M222" s="385">
        <f t="shared" si="183"/>
        <v>11100</v>
      </c>
      <c r="N222" s="385"/>
    </row>
    <row r="223" spans="1:14" ht="13.8">
      <c r="A223" s="333">
        <v>145</v>
      </c>
      <c r="B223" s="333" t="s">
        <v>4161</v>
      </c>
      <c r="C223" s="333">
        <v>7165</v>
      </c>
      <c r="D223" s="333" t="s">
        <v>4162</v>
      </c>
      <c r="E223" s="384" t="s">
        <v>3839</v>
      </c>
      <c r="F223" s="766">
        <v>136</v>
      </c>
      <c r="G223" s="766">
        <f t="shared" si="179"/>
        <v>952</v>
      </c>
      <c r="H223" s="385">
        <f t="shared" ref="H223:J223" si="190">F223*5</f>
        <v>680</v>
      </c>
      <c r="I223" s="385">
        <f t="shared" si="190"/>
        <v>4760</v>
      </c>
      <c r="J223" s="385">
        <f t="shared" si="190"/>
        <v>3400</v>
      </c>
      <c r="K223" s="385">
        <f t="shared" si="181"/>
        <v>23800</v>
      </c>
      <c r="L223" s="385">
        <f t="shared" si="182"/>
        <v>1700</v>
      </c>
      <c r="M223" s="385">
        <f t="shared" si="183"/>
        <v>11900</v>
      </c>
      <c r="N223" s="385"/>
    </row>
    <row r="224" spans="1:14" ht="13.8">
      <c r="A224" s="333">
        <v>146</v>
      </c>
      <c r="B224" s="333" t="s">
        <v>4163</v>
      </c>
      <c r="C224" s="333" t="s">
        <v>4156</v>
      </c>
      <c r="D224" s="333" t="s">
        <v>4164</v>
      </c>
      <c r="E224" s="384" t="s">
        <v>3839</v>
      </c>
      <c r="F224" s="766">
        <v>159</v>
      </c>
      <c r="G224" s="766">
        <f t="shared" si="179"/>
        <v>1113</v>
      </c>
      <c r="H224" s="385">
        <f t="shared" ref="H224:J224" si="191">F224*5</f>
        <v>795</v>
      </c>
      <c r="I224" s="385">
        <f t="shared" si="191"/>
        <v>5565</v>
      </c>
      <c r="J224" s="385">
        <f t="shared" si="191"/>
        <v>3975</v>
      </c>
      <c r="K224" s="385">
        <f t="shared" si="181"/>
        <v>27825</v>
      </c>
      <c r="L224" s="385">
        <f t="shared" si="182"/>
        <v>1987.5</v>
      </c>
      <c r="M224" s="385">
        <f t="shared" si="183"/>
        <v>13912.5</v>
      </c>
      <c r="N224" s="385"/>
    </row>
    <row r="225" spans="1:14" ht="13.8">
      <c r="A225" s="1001" t="s">
        <v>318</v>
      </c>
      <c r="B225" s="931"/>
      <c r="C225" s="932"/>
      <c r="D225" s="743">
        <f>COUNTA(D216:D224)</f>
        <v>9</v>
      </c>
      <c r="E225" s="743"/>
      <c r="F225" s="743"/>
      <c r="G225" s="768">
        <f>SUM(G216:G224)</f>
        <v>8895</v>
      </c>
      <c r="H225" s="743"/>
      <c r="I225" s="769">
        <f>SUM(I216:I224)</f>
        <v>44475</v>
      </c>
      <c r="J225" s="869"/>
      <c r="K225" s="870"/>
      <c r="L225" s="870"/>
      <c r="M225" s="870"/>
      <c r="N225" s="870"/>
    </row>
    <row r="226" spans="1:14" ht="13.8">
      <c r="A226" s="331"/>
      <c r="B226" s="334"/>
      <c r="C226" s="334"/>
      <c r="D226" s="331"/>
      <c r="E226" s="334"/>
      <c r="F226" s="331"/>
      <c r="G226" s="863"/>
      <c r="H226" s="331"/>
      <c r="I226" s="864"/>
      <c r="J226" s="343"/>
      <c r="K226" s="344"/>
      <c r="L226" s="344"/>
      <c r="M226" s="344"/>
      <c r="N226" s="344"/>
    </row>
    <row r="227" spans="1:14" ht="13.8">
      <c r="A227" s="331"/>
      <c r="B227" s="334"/>
      <c r="C227" s="334"/>
      <c r="D227" s="331"/>
      <c r="E227" s="334"/>
      <c r="F227" s="331"/>
      <c r="G227" s="863"/>
      <c r="H227" s="331"/>
      <c r="I227" s="864"/>
      <c r="J227" s="343"/>
      <c r="K227" s="344"/>
      <c r="L227" s="344"/>
      <c r="M227" s="344"/>
      <c r="N227" s="344"/>
    </row>
    <row r="228" spans="1:14" ht="13.8">
      <c r="A228" s="331"/>
      <c r="B228" s="334"/>
      <c r="C228" s="334"/>
      <c r="D228" s="331"/>
      <c r="E228" s="334"/>
      <c r="F228" s="331"/>
      <c r="G228" s="863"/>
      <c r="H228" s="331"/>
      <c r="I228" s="864"/>
      <c r="J228" s="343"/>
      <c r="K228" s="344"/>
      <c r="L228" s="344"/>
      <c r="M228" s="344"/>
      <c r="N228" s="344"/>
    </row>
    <row r="229" spans="1:14" ht="13.2">
      <c r="A229" s="1009" t="s">
        <v>76</v>
      </c>
      <c r="B229" s="931"/>
      <c r="C229" s="931"/>
      <c r="D229" s="931"/>
      <c r="E229" s="931"/>
      <c r="F229" s="931"/>
      <c r="G229" s="931"/>
      <c r="H229" s="931"/>
      <c r="I229" s="931"/>
      <c r="J229" s="931"/>
      <c r="K229" s="931"/>
      <c r="L229" s="931"/>
      <c r="M229" s="931"/>
      <c r="N229" s="932"/>
    </row>
    <row r="230" spans="1:14" ht="22.5" customHeight="1">
      <c r="A230" s="396" t="s">
        <v>165</v>
      </c>
      <c r="B230" s="431" t="s">
        <v>166</v>
      </c>
      <c r="C230" s="431" t="s">
        <v>167</v>
      </c>
      <c r="D230" s="334" t="s">
        <v>168</v>
      </c>
      <c r="E230" s="431" t="s">
        <v>169</v>
      </c>
      <c r="F230" s="742" t="s">
        <v>4165</v>
      </c>
      <c r="G230" s="743" t="s">
        <v>4166</v>
      </c>
      <c r="H230" s="744" t="s">
        <v>4167</v>
      </c>
      <c r="I230" s="744" t="s">
        <v>4168</v>
      </c>
      <c r="J230" s="745" t="s">
        <v>4169</v>
      </c>
      <c r="K230" s="745" t="s">
        <v>4170</v>
      </c>
      <c r="L230" s="431" t="s">
        <v>175</v>
      </c>
      <c r="M230" s="431" t="s">
        <v>4171</v>
      </c>
      <c r="N230" s="871" t="s">
        <v>177</v>
      </c>
    </row>
    <row r="231" spans="1:14" ht="13.8">
      <c r="A231" s="333">
        <v>147</v>
      </c>
      <c r="B231" s="333" t="s">
        <v>4172</v>
      </c>
      <c r="C231" s="333" t="s">
        <v>4173</v>
      </c>
      <c r="D231" s="333" t="s">
        <v>2478</v>
      </c>
      <c r="E231" s="384" t="s">
        <v>3929</v>
      </c>
      <c r="F231" s="766">
        <v>61</v>
      </c>
      <c r="G231" s="766">
        <f t="shared" ref="G231:G244" si="192">F231*E231</f>
        <v>396.5</v>
      </c>
      <c r="H231" s="385">
        <f t="shared" ref="H231:J231" si="193">F231*5</f>
        <v>305</v>
      </c>
      <c r="I231" s="385">
        <f t="shared" si="193"/>
        <v>1982.5</v>
      </c>
      <c r="J231" s="874">
        <f t="shared" si="193"/>
        <v>1525</v>
      </c>
      <c r="K231" s="372">
        <f t="shared" ref="K231:K244" si="194">J231*E231</f>
        <v>9912.5</v>
      </c>
      <c r="L231" s="372">
        <f t="shared" ref="L231:L244" si="195">J231/2</f>
        <v>762.5</v>
      </c>
      <c r="M231" s="372">
        <f t="shared" ref="M231:M244" si="196">L231*E231</f>
        <v>4956.25</v>
      </c>
      <c r="N231" s="385"/>
    </row>
    <row r="232" spans="1:14" ht="13.8">
      <c r="A232" s="333">
        <v>148</v>
      </c>
      <c r="B232" s="333" t="s">
        <v>4174</v>
      </c>
      <c r="C232" s="333" t="s">
        <v>4175</v>
      </c>
      <c r="D232" s="333" t="s">
        <v>2663</v>
      </c>
      <c r="E232" s="384" t="s">
        <v>3929</v>
      </c>
      <c r="F232" s="766">
        <v>61</v>
      </c>
      <c r="G232" s="766">
        <f t="shared" si="192"/>
        <v>396.5</v>
      </c>
      <c r="H232" s="385">
        <f t="shared" ref="H232:J232" si="197">F232*5</f>
        <v>305</v>
      </c>
      <c r="I232" s="385">
        <f t="shared" si="197"/>
        <v>1982.5</v>
      </c>
      <c r="J232" s="874">
        <f t="shared" si="197"/>
        <v>1525</v>
      </c>
      <c r="K232" s="372">
        <f t="shared" si="194"/>
        <v>9912.5</v>
      </c>
      <c r="L232" s="372">
        <f t="shared" si="195"/>
        <v>762.5</v>
      </c>
      <c r="M232" s="372">
        <f t="shared" si="196"/>
        <v>4956.25</v>
      </c>
      <c r="N232" s="385"/>
    </row>
    <row r="233" spans="1:14" ht="13.8">
      <c r="A233" s="333">
        <v>149</v>
      </c>
      <c r="B233" s="333" t="s">
        <v>4176</v>
      </c>
      <c r="C233" s="333" t="s">
        <v>4177</v>
      </c>
      <c r="D233" s="333" t="s">
        <v>4178</v>
      </c>
      <c r="E233" s="384" t="s">
        <v>3937</v>
      </c>
      <c r="F233" s="766">
        <v>61</v>
      </c>
      <c r="G233" s="766">
        <f t="shared" si="192"/>
        <v>414.8</v>
      </c>
      <c r="H233" s="385">
        <f t="shared" ref="H233:J233" si="198">F233*5</f>
        <v>305</v>
      </c>
      <c r="I233" s="385">
        <f t="shared" si="198"/>
        <v>2074</v>
      </c>
      <c r="J233" s="874">
        <f t="shared" si="198"/>
        <v>1525</v>
      </c>
      <c r="K233" s="372">
        <f t="shared" si="194"/>
        <v>10370</v>
      </c>
      <c r="L233" s="372">
        <f t="shared" si="195"/>
        <v>762.5</v>
      </c>
      <c r="M233" s="372">
        <f t="shared" si="196"/>
        <v>5185</v>
      </c>
      <c r="N233" s="385"/>
    </row>
    <row r="234" spans="1:14" ht="13.8">
      <c r="A234" s="333">
        <v>150</v>
      </c>
      <c r="B234" s="333" t="s">
        <v>4179</v>
      </c>
      <c r="C234" s="333" t="s">
        <v>4180</v>
      </c>
      <c r="D234" s="333" t="s">
        <v>2702</v>
      </c>
      <c r="E234" s="384" t="s">
        <v>3839</v>
      </c>
      <c r="F234" s="766">
        <v>61</v>
      </c>
      <c r="G234" s="766">
        <f t="shared" si="192"/>
        <v>427</v>
      </c>
      <c r="H234" s="385">
        <f t="shared" ref="H234:J234" si="199">F234*5</f>
        <v>305</v>
      </c>
      <c r="I234" s="385">
        <f t="shared" si="199"/>
        <v>2135</v>
      </c>
      <c r="J234" s="874">
        <f t="shared" si="199"/>
        <v>1525</v>
      </c>
      <c r="K234" s="372">
        <f t="shared" si="194"/>
        <v>10675</v>
      </c>
      <c r="L234" s="372">
        <f t="shared" si="195"/>
        <v>762.5</v>
      </c>
      <c r="M234" s="372">
        <f t="shared" si="196"/>
        <v>5337.5</v>
      </c>
      <c r="N234" s="385"/>
    </row>
    <row r="235" spans="1:14" ht="13.8">
      <c r="A235" s="333">
        <v>151</v>
      </c>
      <c r="B235" s="333" t="s">
        <v>4181</v>
      </c>
      <c r="C235" s="333" t="s">
        <v>4182</v>
      </c>
      <c r="D235" s="333" t="s">
        <v>2478</v>
      </c>
      <c r="E235" s="384" t="s">
        <v>3937</v>
      </c>
      <c r="F235" s="766">
        <v>88</v>
      </c>
      <c r="G235" s="766">
        <f t="shared" si="192"/>
        <v>598.4</v>
      </c>
      <c r="H235" s="385">
        <f t="shared" ref="H235:J235" si="200">F235*5</f>
        <v>440</v>
      </c>
      <c r="I235" s="385">
        <f t="shared" si="200"/>
        <v>2992</v>
      </c>
      <c r="J235" s="874">
        <f t="shared" si="200"/>
        <v>2200</v>
      </c>
      <c r="K235" s="372">
        <f t="shared" si="194"/>
        <v>14960</v>
      </c>
      <c r="L235" s="372">
        <f t="shared" si="195"/>
        <v>1100</v>
      </c>
      <c r="M235" s="372">
        <f t="shared" si="196"/>
        <v>7480</v>
      </c>
      <c r="N235" s="385"/>
    </row>
    <row r="236" spans="1:14" ht="13.8">
      <c r="A236" s="333">
        <v>152</v>
      </c>
      <c r="B236" s="333" t="s">
        <v>4183</v>
      </c>
      <c r="C236" s="333" t="s">
        <v>4182</v>
      </c>
      <c r="D236" s="333" t="s">
        <v>2712</v>
      </c>
      <c r="E236" s="384" t="s">
        <v>3937</v>
      </c>
      <c r="F236" s="766">
        <v>88</v>
      </c>
      <c r="G236" s="766">
        <f t="shared" si="192"/>
        <v>598.4</v>
      </c>
      <c r="H236" s="385">
        <f t="shared" ref="H236:J236" si="201">F236*5</f>
        <v>440</v>
      </c>
      <c r="I236" s="385">
        <f t="shared" si="201"/>
        <v>2992</v>
      </c>
      <c r="J236" s="874">
        <f t="shared" si="201"/>
        <v>2200</v>
      </c>
      <c r="K236" s="372">
        <f t="shared" si="194"/>
        <v>14960</v>
      </c>
      <c r="L236" s="372">
        <f t="shared" si="195"/>
        <v>1100</v>
      </c>
      <c r="M236" s="372">
        <f t="shared" si="196"/>
        <v>7480</v>
      </c>
      <c r="N236" s="385"/>
    </row>
    <row r="237" spans="1:14" ht="13.8">
      <c r="A237" s="333">
        <v>153</v>
      </c>
      <c r="B237" s="333" t="s">
        <v>4184</v>
      </c>
      <c r="C237" s="333" t="s">
        <v>4185</v>
      </c>
      <c r="D237" s="333" t="s">
        <v>4186</v>
      </c>
      <c r="E237" s="384" t="s">
        <v>3937</v>
      </c>
      <c r="F237" s="766">
        <v>103</v>
      </c>
      <c r="G237" s="766">
        <f t="shared" si="192"/>
        <v>700.4</v>
      </c>
      <c r="H237" s="385">
        <f t="shared" ref="H237:J237" si="202">F237*5</f>
        <v>515</v>
      </c>
      <c r="I237" s="385">
        <f t="shared" si="202"/>
        <v>3502</v>
      </c>
      <c r="J237" s="874">
        <f t="shared" si="202"/>
        <v>2575</v>
      </c>
      <c r="K237" s="372">
        <f t="shared" si="194"/>
        <v>17510</v>
      </c>
      <c r="L237" s="372">
        <f t="shared" si="195"/>
        <v>1287.5</v>
      </c>
      <c r="M237" s="372">
        <f t="shared" si="196"/>
        <v>8755</v>
      </c>
      <c r="N237" s="385"/>
    </row>
    <row r="238" spans="1:14" ht="13.8">
      <c r="A238" s="333">
        <v>154</v>
      </c>
      <c r="B238" s="333" t="s">
        <v>4187</v>
      </c>
      <c r="C238" s="333" t="s">
        <v>4188</v>
      </c>
      <c r="D238" s="333" t="s">
        <v>4189</v>
      </c>
      <c r="E238" s="384" t="s">
        <v>3937</v>
      </c>
      <c r="F238" s="766">
        <v>103</v>
      </c>
      <c r="G238" s="766">
        <f t="shared" si="192"/>
        <v>700.4</v>
      </c>
      <c r="H238" s="385">
        <f t="shared" ref="H238:J238" si="203">F238*5</f>
        <v>515</v>
      </c>
      <c r="I238" s="385">
        <f t="shared" si="203"/>
        <v>3502</v>
      </c>
      <c r="J238" s="874">
        <f t="shared" si="203"/>
        <v>2575</v>
      </c>
      <c r="K238" s="372">
        <f t="shared" si="194"/>
        <v>17510</v>
      </c>
      <c r="L238" s="372">
        <f t="shared" si="195"/>
        <v>1287.5</v>
      </c>
      <c r="M238" s="372">
        <f t="shared" si="196"/>
        <v>8755</v>
      </c>
      <c r="N238" s="385"/>
    </row>
    <row r="239" spans="1:14" ht="13.8">
      <c r="A239" s="333">
        <v>155</v>
      </c>
      <c r="B239" s="333" t="s">
        <v>4190</v>
      </c>
      <c r="C239" s="333" t="s">
        <v>4191</v>
      </c>
      <c r="D239" s="333" t="s">
        <v>2478</v>
      </c>
      <c r="E239" s="384" t="s">
        <v>3933</v>
      </c>
      <c r="F239" s="766">
        <v>66</v>
      </c>
      <c r="G239" s="766">
        <f t="shared" si="192"/>
        <v>442.2</v>
      </c>
      <c r="H239" s="385">
        <f t="shared" ref="H239:J239" si="204">F239*5</f>
        <v>330</v>
      </c>
      <c r="I239" s="385">
        <f t="shared" si="204"/>
        <v>2211</v>
      </c>
      <c r="J239" s="874">
        <f t="shared" si="204"/>
        <v>1650</v>
      </c>
      <c r="K239" s="372">
        <f t="shared" si="194"/>
        <v>11055</v>
      </c>
      <c r="L239" s="372">
        <f t="shared" si="195"/>
        <v>825</v>
      </c>
      <c r="M239" s="372">
        <f t="shared" si="196"/>
        <v>5527.5</v>
      </c>
      <c r="N239" s="385"/>
    </row>
    <row r="240" spans="1:14" ht="13.8">
      <c r="A240" s="333">
        <v>156</v>
      </c>
      <c r="B240" s="333" t="s">
        <v>4192</v>
      </c>
      <c r="C240" s="333" t="s">
        <v>4191</v>
      </c>
      <c r="D240" s="333" t="s">
        <v>4178</v>
      </c>
      <c r="E240" s="384" t="s">
        <v>3933</v>
      </c>
      <c r="F240" s="766">
        <v>66</v>
      </c>
      <c r="G240" s="766">
        <f t="shared" si="192"/>
        <v>442.2</v>
      </c>
      <c r="H240" s="385">
        <f t="shared" ref="H240:J240" si="205">F240*5</f>
        <v>330</v>
      </c>
      <c r="I240" s="385">
        <f t="shared" si="205"/>
        <v>2211</v>
      </c>
      <c r="J240" s="874">
        <f t="shared" si="205"/>
        <v>1650</v>
      </c>
      <c r="K240" s="372">
        <f t="shared" si="194"/>
        <v>11055</v>
      </c>
      <c r="L240" s="372">
        <f t="shared" si="195"/>
        <v>825</v>
      </c>
      <c r="M240" s="372">
        <f t="shared" si="196"/>
        <v>5527.5</v>
      </c>
      <c r="N240" s="385"/>
    </row>
    <row r="241" spans="1:14" ht="13.8">
      <c r="A241" s="333">
        <v>157</v>
      </c>
      <c r="B241" s="333" t="s">
        <v>4193</v>
      </c>
      <c r="C241" s="333" t="s">
        <v>4194</v>
      </c>
      <c r="D241" s="333" t="s">
        <v>4178</v>
      </c>
      <c r="E241" s="384" t="s">
        <v>3933</v>
      </c>
      <c r="F241" s="766">
        <v>50</v>
      </c>
      <c r="G241" s="766">
        <f t="shared" si="192"/>
        <v>335</v>
      </c>
      <c r="H241" s="385">
        <f t="shared" ref="H241:J241" si="206">F241*5</f>
        <v>250</v>
      </c>
      <c r="I241" s="385">
        <f t="shared" si="206"/>
        <v>1675</v>
      </c>
      <c r="J241" s="874">
        <f t="shared" si="206"/>
        <v>1250</v>
      </c>
      <c r="K241" s="372">
        <f t="shared" si="194"/>
        <v>8375</v>
      </c>
      <c r="L241" s="372">
        <f t="shared" si="195"/>
        <v>625</v>
      </c>
      <c r="M241" s="372">
        <f t="shared" si="196"/>
        <v>4187.5</v>
      </c>
      <c r="N241" s="385"/>
    </row>
    <row r="242" spans="1:14" ht="13.8">
      <c r="A242" s="333">
        <v>158</v>
      </c>
      <c r="B242" s="333" t="s">
        <v>4195</v>
      </c>
      <c r="C242" s="333" t="s">
        <v>4196</v>
      </c>
      <c r="D242" s="333" t="s">
        <v>2497</v>
      </c>
      <c r="E242" s="384" t="s">
        <v>3933</v>
      </c>
      <c r="F242" s="766">
        <v>50</v>
      </c>
      <c r="G242" s="766">
        <f t="shared" si="192"/>
        <v>335</v>
      </c>
      <c r="H242" s="385">
        <f t="shared" ref="H242:J242" si="207">F242*5</f>
        <v>250</v>
      </c>
      <c r="I242" s="385">
        <f t="shared" si="207"/>
        <v>1675</v>
      </c>
      <c r="J242" s="874">
        <f t="shared" si="207"/>
        <v>1250</v>
      </c>
      <c r="K242" s="372">
        <f t="shared" si="194"/>
        <v>8375</v>
      </c>
      <c r="L242" s="372">
        <f t="shared" si="195"/>
        <v>625</v>
      </c>
      <c r="M242" s="372">
        <f t="shared" si="196"/>
        <v>4187.5</v>
      </c>
      <c r="N242" s="385"/>
    </row>
    <row r="243" spans="1:14" ht="13.8">
      <c r="A243" s="333">
        <v>159</v>
      </c>
      <c r="B243" s="333" t="s">
        <v>4197</v>
      </c>
      <c r="C243" s="333" t="s">
        <v>4196</v>
      </c>
      <c r="D243" s="333" t="s">
        <v>2685</v>
      </c>
      <c r="E243" s="384" t="s">
        <v>3933</v>
      </c>
      <c r="F243" s="766">
        <v>50</v>
      </c>
      <c r="G243" s="766">
        <f t="shared" si="192"/>
        <v>335</v>
      </c>
      <c r="H243" s="385">
        <f t="shared" ref="H243:J243" si="208">F243*5</f>
        <v>250</v>
      </c>
      <c r="I243" s="385">
        <f t="shared" si="208"/>
        <v>1675</v>
      </c>
      <c r="J243" s="874">
        <f t="shared" si="208"/>
        <v>1250</v>
      </c>
      <c r="K243" s="372">
        <f t="shared" si="194"/>
        <v>8375</v>
      </c>
      <c r="L243" s="372">
        <f t="shared" si="195"/>
        <v>625</v>
      </c>
      <c r="M243" s="372">
        <f t="shared" si="196"/>
        <v>4187.5</v>
      </c>
      <c r="N243" s="385"/>
    </row>
    <row r="244" spans="1:14" ht="13.8">
      <c r="A244" s="333">
        <v>160</v>
      </c>
      <c r="B244" s="333" t="s">
        <v>4198</v>
      </c>
      <c r="C244" s="333" t="s">
        <v>4199</v>
      </c>
      <c r="D244" s="333" t="s">
        <v>2729</v>
      </c>
      <c r="E244" s="384" t="s">
        <v>3933</v>
      </c>
      <c r="F244" s="766">
        <v>66</v>
      </c>
      <c r="G244" s="766">
        <f t="shared" si="192"/>
        <v>442.2</v>
      </c>
      <c r="H244" s="385">
        <f t="shared" ref="H244:J244" si="209">F244*5</f>
        <v>330</v>
      </c>
      <c r="I244" s="385">
        <f t="shared" si="209"/>
        <v>2211</v>
      </c>
      <c r="J244" s="874">
        <f t="shared" si="209"/>
        <v>1650</v>
      </c>
      <c r="K244" s="372">
        <f t="shared" si="194"/>
        <v>11055</v>
      </c>
      <c r="L244" s="372">
        <f t="shared" si="195"/>
        <v>825</v>
      </c>
      <c r="M244" s="372">
        <f t="shared" si="196"/>
        <v>5527.5</v>
      </c>
      <c r="N244" s="385"/>
    </row>
    <row r="245" spans="1:14" ht="15.6">
      <c r="A245" s="1008" t="s">
        <v>318</v>
      </c>
      <c r="B245" s="931"/>
      <c r="C245" s="932"/>
      <c r="D245" s="789">
        <f>COUNTA(D231:D244)</f>
        <v>14</v>
      </c>
      <c r="E245" s="743"/>
      <c r="F245" s="743"/>
      <c r="G245" s="867">
        <f>SUM(G231:G240)</f>
        <v>5116.7999999999993</v>
      </c>
      <c r="H245" s="743"/>
      <c r="I245" s="868">
        <f>G245*5</f>
        <v>25583.999999999996</v>
      </c>
      <c r="J245" s="869"/>
      <c r="K245" s="870"/>
      <c r="L245" s="870"/>
      <c r="M245" s="870"/>
      <c r="N245" s="870"/>
    </row>
    <row r="246" spans="1:14" ht="13.8">
      <c r="A246" s="331"/>
      <c r="B246" s="334"/>
      <c r="C246" s="334"/>
      <c r="D246" s="331"/>
      <c r="E246" s="334"/>
      <c r="F246" s="331"/>
      <c r="G246" s="863"/>
      <c r="H246" s="331"/>
      <c r="I246" s="864"/>
      <c r="J246" s="343"/>
      <c r="K246" s="344"/>
      <c r="L246" s="344"/>
      <c r="M246" s="344"/>
      <c r="N246" s="344"/>
    </row>
    <row r="247" spans="1:14" ht="13.8">
      <c r="A247" s="331"/>
      <c r="B247" s="334"/>
      <c r="C247" s="334"/>
      <c r="D247" s="331"/>
      <c r="E247" s="334"/>
      <c r="F247" s="331"/>
      <c r="G247" s="863"/>
      <c r="H247" s="331"/>
      <c r="I247" s="864"/>
      <c r="J247" s="343"/>
      <c r="K247" s="344"/>
      <c r="L247" s="344"/>
      <c r="M247" s="344"/>
      <c r="N247" s="344"/>
    </row>
    <row r="248" spans="1:14" ht="13.8">
      <c r="A248" s="331"/>
      <c r="B248" s="334"/>
      <c r="C248" s="334"/>
      <c r="D248" s="331"/>
      <c r="E248" s="334"/>
      <c r="F248" s="331"/>
      <c r="G248" s="863"/>
      <c r="H248" s="331"/>
      <c r="I248" s="864"/>
      <c r="J248" s="343"/>
      <c r="K248" s="344"/>
      <c r="L248" s="344"/>
      <c r="M248" s="344"/>
      <c r="N248" s="344"/>
    </row>
    <row r="249" spans="1:14" ht="13.2">
      <c r="A249" s="1009" t="s">
        <v>77</v>
      </c>
      <c r="B249" s="931"/>
      <c r="C249" s="931"/>
      <c r="D249" s="931"/>
      <c r="E249" s="931"/>
      <c r="F249" s="931"/>
      <c r="G249" s="931"/>
      <c r="H249" s="931"/>
      <c r="I249" s="931"/>
      <c r="J249" s="931"/>
      <c r="K249" s="931"/>
      <c r="L249" s="931"/>
      <c r="M249" s="931"/>
      <c r="N249" s="932"/>
    </row>
    <row r="250" spans="1:14" ht="22.5" customHeight="1">
      <c r="A250" s="396" t="s">
        <v>165</v>
      </c>
      <c r="B250" s="431" t="s">
        <v>166</v>
      </c>
      <c r="C250" s="431" t="s">
        <v>167</v>
      </c>
      <c r="D250" s="334" t="s">
        <v>168</v>
      </c>
      <c r="E250" s="431" t="s">
        <v>169</v>
      </c>
      <c r="F250" s="742" t="s">
        <v>4200</v>
      </c>
      <c r="G250" s="743" t="s">
        <v>4201</v>
      </c>
      <c r="H250" s="744" t="s">
        <v>4202</v>
      </c>
      <c r="I250" s="744" t="s">
        <v>4203</v>
      </c>
      <c r="J250" s="745" t="s">
        <v>4204</v>
      </c>
      <c r="K250" s="745" t="s">
        <v>4205</v>
      </c>
      <c r="L250" s="431" t="s">
        <v>175</v>
      </c>
      <c r="M250" s="431" t="s">
        <v>4206</v>
      </c>
      <c r="N250" s="871" t="s">
        <v>177</v>
      </c>
    </row>
    <row r="251" spans="1:14" ht="13.8">
      <c r="A251" s="333">
        <v>161</v>
      </c>
      <c r="B251" s="333" t="s">
        <v>4207</v>
      </c>
      <c r="C251" s="333">
        <v>13170</v>
      </c>
      <c r="D251" s="333" t="s">
        <v>4208</v>
      </c>
      <c r="E251" s="384" t="s">
        <v>3787</v>
      </c>
      <c r="F251" s="766">
        <v>180</v>
      </c>
      <c r="G251" s="766">
        <f t="shared" ref="G251:G273" si="210">F251*E251</f>
        <v>810</v>
      </c>
      <c r="H251" s="385">
        <f t="shared" ref="H251:J251" si="211">F251*5</f>
        <v>900</v>
      </c>
      <c r="I251" s="385">
        <f t="shared" si="211"/>
        <v>4050</v>
      </c>
      <c r="J251" s="874">
        <f t="shared" si="211"/>
        <v>4500</v>
      </c>
      <c r="K251" s="372">
        <f t="shared" ref="K251:K273" si="212">J251*E251</f>
        <v>20250</v>
      </c>
      <c r="L251" s="372">
        <f t="shared" ref="L251:L273" si="213">J251/2</f>
        <v>2250</v>
      </c>
      <c r="M251" s="875">
        <f t="shared" ref="M251:M273" si="214">L251*E251</f>
        <v>10125</v>
      </c>
      <c r="N251" s="385"/>
    </row>
    <row r="252" spans="1:14" ht="13.8">
      <c r="A252" s="333">
        <v>162</v>
      </c>
      <c r="B252" s="333" t="s">
        <v>4209</v>
      </c>
      <c r="C252" s="333">
        <v>13170</v>
      </c>
      <c r="D252" s="333" t="s">
        <v>2685</v>
      </c>
      <c r="E252" s="384" t="s">
        <v>3787</v>
      </c>
      <c r="F252" s="766">
        <v>180</v>
      </c>
      <c r="G252" s="766">
        <f t="shared" si="210"/>
        <v>810</v>
      </c>
      <c r="H252" s="385">
        <f t="shared" ref="H252:J252" si="215">F252*5</f>
        <v>900</v>
      </c>
      <c r="I252" s="385">
        <f t="shared" si="215"/>
        <v>4050</v>
      </c>
      <c r="J252" s="874">
        <f t="shared" si="215"/>
        <v>4500</v>
      </c>
      <c r="K252" s="372">
        <f t="shared" si="212"/>
        <v>20250</v>
      </c>
      <c r="L252" s="372">
        <f t="shared" si="213"/>
        <v>2250</v>
      </c>
      <c r="M252" s="875">
        <f t="shared" si="214"/>
        <v>10125</v>
      </c>
      <c r="N252" s="385"/>
    </row>
    <row r="253" spans="1:14" ht="13.8">
      <c r="A253" s="333">
        <v>163</v>
      </c>
      <c r="B253" s="333" t="s">
        <v>4210</v>
      </c>
      <c r="C253" s="333">
        <v>13170</v>
      </c>
      <c r="D253" s="333" t="s">
        <v>4211</v>
      </c>
      <c r="E253" s="384" t="s">
        <v>4212</v>
      </c>
      <c r="F253" s="766">
        <v>180</v>
      </c>
      <c r="G253" s="766">
        <f t="shared" si="210"/>
        <v>792.00000000000011</v>
      </c>
      <c r="H253" s="385">
        <f t="shared" ref="H253:J253" si="216">F253*5</f>
        <v>900</v>
      </c>
      <c r="I253" s="385">
        <f t="shared" si="216"/>
        <v>3960.0000000000005</v>
      </c>
      <c r="J253" s="874">
        <f t="shared" si="216"/>
        <v>4500</v>
      </c>
      <c r="K253" s="372">
        <f t="shared" si="212"/>
        <v>19800</v>
      </c>
      <c r="L253" s="372">
        <f t="shared" si="213"/>
        <v>2250</v>
      </c>
      <c r="M253" s="875">
        <f t="shared" si="214"/>
        <v>9900</v>
      </c>
      <c r="N253" s="385"/>
    </row>
    <row r="254" spans="1:14" ht="13.8">
      <c r="A254" s="333">
        <v>164</v>
      </c>
      <c r="B254" s="333" t="s">
        <v>4213</v>
      </c>
      <c r="C254" s="333">
        <v>14110</v>
      </c>
      <c r="D254" s="333" t="s">
        <v>2594</v>
      </c>
      <c r="E254" s="384" t="s">
        <v>4214</v>
      </c>
      <c r="F254" s="766">
        <v>249</v>
      </c>
      <c r="G254" s="766">
        <f t="shared" si="210"/>
        <v>1145.3999999999999</v>
      </c>
      <c r="H254" s="385">
        <f t="shared" ref="H254:J254" si="217">F254*5</f>
        <v>1245</v>
      </c>
      <c r="I254" s="385">
        <f t="shared" si="217"/>
        <v>5726.9999999999991</v>
      </c>
      <c r="J254" s="874">
        <f t="shared" si="217"/>
        <v>6225</v>
      </c>
      <c r="K254" s="372">
        <f t="shared" si="212"/>
        <v>28634.999999999996</v>
      </c>
      <c r="L254" s="372">
        <f t="shared" si="213"/>
        <v>3112.5</v>
      </c>
      <c r="M254" s="875">
        <f t="shared" si="214"/>
        <v>14317.499999999998</v>
      </c>
      <c r="N254" s="385"/>
    </row>
    <row r="255" spans="1:14" ht="13.8">
      <c r="A255" s="333">
        <v>165</v>
      </c>
      <c r="B255" s="333" t="s">
        <v>4215</v>
      </c>
      <c r="C255" s="333">
        <v>14110</v>
      </c>
      <c r="D255" s="333" t="s">
        <v>2478</v>
      </c>
      <c r="E255" s="384" t="s">
        <v>3829</v>
      </c>
      <c r="F255" s="766">
        <v>249</v>
      </c>
      <c r="G255" s="766">
        <f t="shared" si="210"/>
        <v>1195.2</v>
      </c>
      <c r="H255" s="385">
        <f t="shared" ref="H255:J255" si="218">F255*5</f>
        <v>1245</v>
      </c>
      <c r="I255" s="385">
        <f t="shared" si="218"/>
        <v>5976</v>
      </c>
      <c r="J255" s="874">
        <f t="shared" si="218"/>
        <v>6225</v>
      </c>
      <c r="K255" s="372">
        <f t="shared" si="212"/>
        <v>29880</v>
      </c>
      <c r="L255" s="372">
        <f t="shared" si="213"/>
        <v>3112.5</v>
      </c>
      <c r="M255" s="875">
        <f t="shared" si="214"/>
        <v>14940</v>
      </c>
      <c r="N255" s="385"/>
    </row>
    <row r="256" spans="1:14" ht="13.8">
      <c r="A256" s="333">
        <v>166</v>
      </c>
      <c r="B256" s="333" t="s">
        <v>4216</v>
      </c>
      <c r="C256" s="333">
        <v>14110</v>
      </c>
      <c r="D256" s="333" t="s">
        <v>2722</v>
      </c>
      <c r="E256" s="384" t="s">
        <v>3787</v>
      </c>
      <c r="F256" s="766">
        <v>249</v>
      </c>
      <c r="G256" s="766">
        <f t="shared" si="210"/>
        <v>1120.5</v>
      </c>
      <c r="H256" s="385">
        <f t="shared" ref="H256:J256" si="219">F256*5</f>
        <v>1245</v>
      </c>
      <c r="I256" s="385">
        <f t="shared" si="219"/>
        <v>5602.5</v>
      </c>
      <c r="J256" s="874">
        <f t="shared" si="219"/>
        <v>6225</v>
      </c>
      <c r="K256" s="372">
        <f t="shared" si="212"/>
        <v>28012.5</v>
      </c>
      <c r="L256" s="372">
        <f t="shared" si="213"/>
        <v>3112.5</v>
      </c>
      <c r="M256" s="875">
        <f t="shared" si="214"/>
        <v>14006.25</v>
      </c>
      <c r="N256" s="385"/>
    </row>
    <row r="257" spans="1:14" ht="13.8">
      <c r="A257" s="333">
        <v>167</v>
      </c>
      <c r="B257" s="333" t="s">
        <v>4217</v>
      </c>
      <c r="C257" s="333">
        <v>14218</v>
      </c>
      <c r="D257" s="333" t="s">
        <v>2594</v>
      </c>
      <c r="E257" s="384" t="s">
        <v>4212</v>
      </c>
      <c r="F257" s="766">
        <v>135</v>
      </c>
      <c r="G257" s="766">
        <f t="shared" si="210"/>
        <v>594</v>
      </c>
      <c r="H257" s="385">
        <f t="shared" ref="H257:J257" si="220">F257*5</f>
        <v>675</v>
      </c>
      <c r="I257" s="385">
        <f t="shared" si="220"/>
        <v>2970</v>
      </c>
      <c r="J257" s="874">
        <f t="shared" si="220"/>
        <v>3375</v>
      </c>
      <c r="K257" s="372">
        <f t="shared" si="212"/>
        <v>14850.000000000002</v>
      </c>
      <c r="L257" s="372">
        <f t="shared" si="213"/>
        <v>1687.5</v>
      </c>
      <c r="M257" s="875">
        <f t="shared" si="214"/>
        <v>7425.0000000000009</v>
      </c>
      <c r="N257" s="385"/>
    </row>
    <row r="258" spans="1:14" ht="13.8">
      <c r="A258" s="333">
        <v>168</v>
      </c>
      <c r="B258" s="333" t="s">
        <v>4218</v>
      </c>
      <c r="C258" s="333">
        <v>14218</v>
      </c>
      <c r="D258" s="333" t="s">
        <v>2478</v>
      </c>
      <c r="E258" s="384" t="s">
        <v>4219</v>
      </c>
      <c r="F258" s="766">
        <v>135</v>
      </c>
      <c r="G258" s="766">
        <f t="shared" si="210"/>
        <v>634.5</v>
      </c>
      <c r="H258" s="385">
        <f t="shared" ref="H258:J258" si="221">F258*5</f>
        <v>675</v>
      </c>
      <c r="I258" s="385">
        <f t="shared" si="221"/>
        <v>3172.5</v>
      </c>
      <c r="J258" s="874">
        <f t="shared" si="221"/>
        <v>3375</v>
      </c>
      <c r="K258" s="372">
        <f t="shared" si="212"/>
        <v>15862.5</v>
      </c>
      <c r="L258" s="372">
        <f t="shared" si="213"/>
        <v>1687.5</v>
      </c>
      <c r="M258" s="875">
        <f t="shared" si="214"/>
        <v>7931.25</v>
      </c>
      <c r="N258" s="385"/>
    </row>
    <row r="259" spans="1:14" ht="13.8">
      <c r="A259" s="333">
        <v>169</v>
      </c>
      <c r="B259" s="333" t="s">
        <v>4220</v>
      </c>
      <c r="C259" s="333">
        <v>13420</v>
      </c>
      <c r="D259" s="333" t="s">
        <v>4221</v>
      </c>
      <c r="E259" s="384" t="s">
        <v>4219</v>
      </c>
      <c r="F259" s="766">
        <v>265</v>
      </c>
      <c r="G259" s="766">
        <f t="shared" si="210"/>
        <v>1245.5</v>
      </c>
      <c r="H259" s="385">
        <f t="shared" ref="H259:J259" si="222">F259*5</f>
        <v>1325</v>
      </c>
      <c r="I259" s="385">
        <f t="shared" si="222"/>
        <v>6227.5</v>
      </c>
      <c r="J259" s="874">
        <f t="shared" si="222"/>
        <v>6625</v>
      </c>
      <c r="K259" s="372">
        <f t="shared" si="212"/>
        <v>31137.5</v>
      </c>
      <c r="L259" s="372">
        <f t="shared" si="213"/>
        <v>3312.5</v>
      </c>
      <c r="M259" s="875">
        <f t="shared" si="214"/>
        <v>15568.75</v>
      </c>
      <c r="N259" s="385"/>
    </row>
    <row r="260" spans="1:14" ht="13.8">
      <c r="A260" s="333">
        <v>170</v>
      </c>
      <c r="B260" s="333" t="s">
        <v>4222</v>
      </c>
      <c r="C260" s="333">
        <v>13420</v>
      </c>
      <c r="D260" s="333" t="s">
        <v>2478</v>
      </c>
      <c r="E260" s="384" t="s">
        <v>3787</v>
      </c>
      <c r="F260" s="766">
        <v>265</v>
      </c>
      <c r="G260" s="766">
        <f t="shared" si="210"/>
        <v>1192.5</v>
      </c>
      <c r="H260" s="385">
        <f t="shared" ref="H260:J260" si="223">F260*5</f>
        <v>1325</v>
      </c>
      <c r="I260" s="385">
        <f t="shared" si="223"/>
        <v>5962.5</v>
      </c>
      <c r="J260" s="874">
        <f t="shared" si="223"/>
        <v>6625</v>
      </c>
      <c r="K260" s="372">
        <f t="shared" si="212"/>
        <v>29812.5</v>
      </c>
      <c r="L260" s="372">
        <f t="shared" si="213"/>
        <v>3312.5</v>
      </c>
      <c r="M260" s="875">
        <f t="shared" si="214"/>
        <v>14906.25</v>
      </c>
      <c r="N260" s="385"/>
    </row>
    <row r="261" spans="1:14" ht="13.8">
      <c r="A261" s="333">
        <v>171</v>
      </c>
      <c r="B261" s="333" t="s">
        <v>4223</v>
      </c>
      <c r="C261" s="333">
        <v>14077</v>
      </c>
      <c r="D261" s="333" t="s">
        <v>2476</v>
      </c>
      <c r="E261" s="384" t="s">
        <v>4219</v>
      </c>
      <c r="F261" s="766">
        <v>248</v>
      </c>
      <c r="G261" s="766">
        <f t="shared" si="210"/>
        <v>1165.6000000000001</v>
      </c>
      <c r="H261" s="385">
        <f t="shared" ref="H261:J261" si="224">F261*5</f>
        <v>1240</v>
      </c>
      <c r="I261" s="385">
        <f t="shared" si="224"/>
        <v>5828.0000000000009</v>
      </c>
      <c r="J261" s="874">
        <f t="shared" si="224"/>
        <v>6200</v>
      </c>
      <c r="K261" s="372">
        <f t="shared" si="212"/>
        <v>29140</v>
      </c>
      <c r="L261" s="372">
        <f t="shared" si="213"/>
        <v>3100</v>
      </c>
      <c r="M261" s="875">
        <f t="shared" si="214"/>
        <v>14570</v>
      </c>
      <c r="N261" s="385"/>
    </row>
    <row r="262" spans="1:14" ht="13.8">
      <c r="A262" s="333">
        <v>172</v>
      </c>
      <c r="B262" s="333" t="s">
        <v>4224</v>
      </c>
      <c r="C262" s="333">
        <v>14077</v>
      </c>
      <c r="D262" s="333" t="s">
        <v>2478</v>
      </c>
      <c r="E262" s="384" t="s">
        <v>3787</v>
      </c>
      <c r="F262" s="766">
        <v>248</v>
      </c>
      <c r="G262" s="766">
        <f t="shared" si="210"/>
        <v>1116</v>
      </c>
      <c r="H262" s="385">
        <f t="shared" ref="H262:J262" si="225">F262*5</f>
        <v>1240</v>
      </c>
      <c r="I262" s="385">
        <f t="shared" si="225"/>
        <v>5580</v>
      </c>
      <c r="J262" s="874">
        <f t="shared" si="225"/>
        <v>6200</v>
      </c>
      <c r="K262" s="372">
        <f t="shared" si="212"/>
        <v>27900</v>
      </c>
      <c r="L262" s="372">
        <f t="shared" si="213"/>
        <v>3100</v>
      </c>
      <c r="M262" s="875">
        <f t="shared" si="214"/>
        <v>13950</v>
      </c>
      <c r="N262" s="385"/>
    </row>
    <row r="263" spans="1:14" ht="13.8">
      <c r="A263" s="333">
        <v>173</v>
      </c>
      <c r="B263" s="333" t="s">
        <v>4225</v>
      </c>
      <c r="C263" s="333">
        <v>14077</v>
      </c>
      <c r="D263" s="333" t="s">
        <v>4226</v>
      </c>
      <c r="E263" s="384" t="s">
        <v>4214</v>
      </c>
      <c r="F263" s="766">
        <v>248</v>
      </c>
      <c r="G263" s="766">
        <f t="shared" si="210"/>
        <v>1140.8</v>
      </c>
      <c r="H263" s="385">
        <f t="shared" ref="H263:J263" si="226">F263*5</f>
        <v>1240</v>
      </c>
      <c r="I263" s="385">
        <f t="shared" si="226"/>
        <v>5704</v>
      </c>
      <c r="J263" s="874">
        <f t="shared" si="226"/>
        <v>6200</v>
      </c>
      <c r="K263" s="372">
        <f t="shared" si="212"/>
        <v>28519.999999999996</v>
      </c>
      <c r="L263" s="372">
        <f t="shared" si="213"/>
        <v>3100</v>
      </c>
      <c r="M263" s="875">
        <f t="shared" si="214"/>
        <v>14259.999999999998</v>
      </c>
      <c r="N263" s="385"/>
    </row>
    <row r="264" spans="1:14" ht="13.8">
      <c r="A264" s="333">
        <v>174</v>
      </c>
      <c r="B264" s="333" t="s">
        <v>4227</v>
      </c>
      <c r="C264" s="333">
        <v>14072</v>
      </c>
      <c r="D264" s="333" t="s">
        <v>2478</v>
      </c>
      <c r="E264" s="384" t="s">
        <v>4214</v>
      </c>
      <c r="F264" s="766">
        <v>172</v>
      </c>
      <c r="G264" s="766">
        <f t="shared" si="210"/>
        <v>791.19999999999993</v>
      </c>
      <c r="H264" s="385">
        <f t="shared" ref="H264:J264" si="227">F264*5</f>
        <v>860</v>
      </c>
      <c r="I264" s="385">
        <f t="shared" si="227"/>
        <v>3955.9999999999995</v>
      </c>
      <c r="J264" s="874">
        <f t="shared" si="227"/>
        <v>4300</v>
      </c>
      <c r="K264" s="372">
        <f t="shared" si="212"/>
        <v>19780</v>
      </c>
      <c r="L264" s="372">
        <f t="shared" si="213"/>
        <v>2150</v>
      </c>
      <c r="M264" s="875">
        <f t="shared" si="214"/>
        <v>9890</v>
      </c>
      <c r="N264" s="385"/>
    </row>
    <row r="265" spans="1:14" ht="13.8">
      <c r="A265" s="333">
        <v>175</v>
      </c>
      <c r="B265" s="333" t="s">
        <v>4228</v>
      </c>
      <c r="C265" s="333">
        <v>14072</v>
      </c>
      <c r="D265" s="333" t="s">
        <v>2594</v>
      </c>
      <c r="E265" s="384" t="s">
        <v>4214</v>
      </c>
      <c r="F265" s="766">
        <v>172</v>
      </c>
      <c r="G265" s="766">
        <f t="shared" si="210"/>
        <v>791.19999999999993</v>
      </c>
      <c r="H265" s="385">
        <f t="shared" ref="H265:J265" si="228">F265*5</f>
        <v>860</v>
      </c>
      <c r="I265" s="385">
        <f t="shared" si="228"/>
        <v>3955.9999999999995</v>
      </c>
      <c r="J265" s="874">
        <f t="shared" si="228"/>
        <v>4300</v>
      </c>
      <c r="K265" s="372">
        <f t="shared" si="212"/>
        <v>19780</v>
      </c>
      <c r="L265" s="372">
        <f t="shared" si="213"/>
        <v>2150</v>
      </c>
      <c r="M265" s="875">
        <f t="shared" si="214"/>
        <v>9890</v>
      </c>
      <c r="N265" s="385"/>
    </row>
    <row r="266" spans="1:14" ht="13.8">
      <c r="A266" s="333">
        <v>176</v>
      </c>
      <c r="B266" s="333" t="s">
        <v>4229</v>
      </c>
      <c r="C266" s="333">
        <v>14072</v>
      </c>
      <c r="D266" s="333" t="s">
        <v>2478</v>
      </c>
      <c r="E266" s="384" t="s">
        <v>4214</v>
      </c>
      <c r="F266" s="766">
        <v>172</v>
      </c>
      <c r="G266" s="766">
        <f t="shared" si="210"/>
        <v>791.19999999999993</v>
      </c>
      <c r="H266" s="385">
        <f t="shared" ref="H266:J266" si="229">F266*5</f>
        <v>860</v>
      </c>
      <c r="I266" s="385">
        <f t="shared" si="229"/>
        <v>3955.9999999999995</v>
      </c>
      <c r="J266" s="874">
        <f t="shared" si="229"/>
        <v>4300</v>
      </c>
      <c r="K266" s="372">
        <f t="shared" si="212"/>
        <v>19780</v>
      </c>
      <c r="L266" s="372">
        <f t="shared" si="213"/>
        <v>2150</v>
      </c>
      <c r="M266" s="875">
        <f t="shared" si="214"/>
        <v>9890</v>
      </c>
      <c r="N266" s="385"/>
    </row>
    <row r="267" spans="1:14" ht="13.8">
      <c r="A267" s="333">
        <v>177</v>
      </c>
      <c r="B267" s="333" t="s">
        <v>4230</v>
      </c>
      <c r="C267" s="333">
        <v>14230</v>
      </c>
      <c r="D267" s="333" t="s">
        <v>4178</v>
      </c>
      <c r="E267" s="384" t="s">
        <v>4231</v>
      </c>
      <c r="F267" s="766">
        <v>112</v>
      </c>
      <c r="G267" s="766">
        <f t="shared" si="210"/>
        <v>481.59999999999997</v>
      </c>
      <c r="H267" s="385">
        <f t="shared" ref="H267:J267" si="230">F267*5</f>
        <v>560</v>
      </c>
      <c r="I267" s="385">
        <f t="shared" si="230"/>
        <v>2408</v>
      </c>
      <c r="J267" s="874">
        <f t="shared" si="230"/>
        <v>2800</v>
      </c>
      <c r="K267" s="372">
        <f t="shared" si="212"/>
        <v>12040</v>
      </c>
      <c r="L267" s="372">
        <f t="shared" si="213"/>
        <v>1400</v>
      </c>
      <c r="M267" s="875">
        <f t="shared" si="214"/>
        <v>6020</v>
      </c>
      <c r="N267" s="385"/>
    </row>
    <row r="268" spans="1:14" ht="13.8">
      <c r="A268" s="333">
        <v>178</v>
      </c>
      <c r="B268" s="333" t="s">
        <v>4232</v>
      </c>
      <c r="C268" s="333">
        <v>12248</v>
      </c>
      <c r="D268" s="333" t="s">
        <v>2594</v>
      </c>
      <c r="E268" s="384" t="s">
        <v>4231</v>
      </c>
      <c r="F268" s="766">
        <v>176</v>
      </c>
      <c r="G268" s="766">
        <f t="shared" si="210"/>
        <v>756.8</v>
      </c>
      <c r="H268" s="385">
        <f t="shared" ref="H268:J268" si="231">F268*5</f>
        <v>880</v>
      </c>
      <c r="I268" s="385">
        <f t="shared" si="231"/>
        <v>3784</v>
      </c>
      <c r="J268" s="874">
        <f t="shared" si="231"/>
        <v>4400</v>
      </c>
      <c r="K268" s="372">
        <f t="shared" si="212"/>
        <v>18920</v>
      </c>
      <c r="L268" s="372">
        <f t="shared" si="213"/>
        <v>2200</v>
      </c>
      <c r="M268" s="875">
        <f t="shared" si="214"/>
        <v>9460</v>
      </c>
      <c r="N268" s="385"/>
    </row>
    <row r="269" spans="1:14" ht="13.8">
      <c r="A269" s="333">
        <v>179</v>
      </c>
      <c r="B269" s="333" t="s">
        <v>4233</v>
      </c>
      <c r="C269" s="333">
        <v>14210</v>
      </c>
      <c r="D269" s="333" t="s">
        <v>2722</v>
      </c>
      <c r="E269" s="384" t="s">
        <v>3787</v>
      </c>
      <c r="F269" s="766">
        <v>152</v>
      </c>
      <c r="G269" s="766">
        <f t="shared" si="210"/>
        <v>684</v>
      </c>
      <c r="H269" s="385">
        <f t="shared" ref="H269:J269" si="232">F269*5</f>
        <v>760</v>
      </c>
      <c r="I269" s="385">
        <f t="shared" si="232"/>
        <v>3420</v>
      </c>
      <c r="J269" s="874">
        <f t="shared" si="232"/>
        <v>3800</v>
      </c>
      <c r="K269" s="372">
        <f t="shared" si="212"/>
        <v>17100</v>
      </c>
      <c r="L269" s="372">
        <f t="shared" si="213"/>
        <v>1900</v>
      </c>
      <c r="M269" s="875">
        <f t="shared" si="214"/>
        <v>8550</v>
      </c>
      <c r="N269" s="385"/>
    </row>
    <row r="270" spans="1:14" ht="13.8">
      <c r="A270" s="333">
        <v>180</v>
      </c>
      <c r="B270" s="333" t="s">
        <v>4234</v>
      </c>
      <c r="C270" s="333">
        <v>10762</v>
      </c>
      <c r="D270" s="333" t="s">
        <v>4235</v>
      </c>
      <c r="E270" s="384" t="s">
        <v>3787</v>
      </c>
      <c r="F270" s="766">
        <v>310</v>
      </c>
      <c r="G270" s="766">
        <f t="shared" si="210"/>
        <v>1395</v>
      </c>
      <c r="H270" s="385">
        <f t="shared" ref="H270:J270" si="233">F270*5</f>
        <v>1550</v>
      </c>
      <c r="I270" s="385">
        <f t="shared" si="233"/>
        <v>6975</v>
      </c>
      <c r="J270" s="874">
        <f t="shared" si="233"/>
        <v>7750</v>
      </c>
      <c r="K270" s="372">
        <f t="shared" si="212"/>
        <v>34875</v>
      </c>
      <c r="L270" s="372">
        <f t="shared" si="213"/>
        <v>3875</v>
      </c>
      <c r="M270" s="875">
        <f t="shared" si="214"/>
        <v>17437.5</v>
      </c>
      <c r="N270" s="385"/>
    </row>
    <row r="271" spans="1:14" ht="13.8">
      <c r="A271" s="333">
        <v>181</v>
      </c>
      <c r="B271" s="333" t="s">
        <v>4236</v>
      </c>
      <c r="C271" s="333">
        <v>1407.13</v>
      </c>
      <c r="D271" s="333" t="s">
        <v>2594</v>
      </c>
      <c r="E271" s="384" t="s">
        <v>3787</v>
      </c>
      <c r="F271" s="766">
        <v>186</v>
      </c>
      <c r="G271" s="766">
        <f t="shared" si="210"/>
        <v>837</v>
      </c>
      <c r="H271" s="385">
        <f t="shared" ref="H271:J271" si="234">F271*5</f>
        <v>930</v>
      </c>
      <c r="I271" s="385">
        <f t="shared" si="234"/>
        <v>4185</v>
      </c>
      <c r="J271" s="874">
        <f t="shared" si="234"/>
        <v>4650</v>
      </c>
      <c r="K271" s="372">
        <f t="shared" si="212"/>
        <v>20925</v>
      </c>
      <c r="L271" s="372">
        <f t="shared" si="213"/>
        <v>2325</v>
      </c>
      <c r="M271" s="875">
        <f t="shared" si="214"/>
        <v>10462.5</v>
      </c>
      <c r="N271" s="385"/>
    </row>
    <row r="272" spans="1:14" ht="13.8">
      <c r="A272" s="333">
        <v>182</v>
      </c>
      <c r="B272" s="333" t="s">
        <v>4237</v>
      </c>
      <c r="C272" s="333">
        <v>14071</v>
      </c>
      <c r="D272" s="333" t="s">
        <v>2594</v>
      </c>
      <c r="E272" s="384" t="s">
        <v>3787</v>
      </c>
      <c r="F272" s="766">
        <v>165</v>
      </c>
      <c r="G272" s="766">
        <f t="shared" si="210"/>
        <v>742.5</v>
      </c>
      <c r="H272" s="385">
        <f t="shared" ref="H272:J272" si="235">F272*5</f>
        <v>825</v>
      </c>
      <c r="I272" s="385">
        <f t="shared" si="235"/>
        <v>3712.5</v>
      </c>
      <c r="J272" s="874">
        <f t="shared" si="235"/>
        <v>4125</v>
      </c>
      <c r="K272" s="372">
        <f t="shared" si="212"/>
        <v>18562.5</v>
      </c>
      <c r="L272" s="372">
        <f t="shared" si="213"/>
        <v>2062.5</v>
      </c>
      <c r="M272" s="875">
        <f t="shared" si="214"/>
        <v>9281.25</v>
      </c>
      <c r="N272" s="385"/>
    </row>
    <row r="273" spans="1:14" ht="13.8">
      <c r="A273" s="333">
        <v>183</v>
      </c>
      <c r="B273" s="333" t="s">
        <v>4238</v>
      </c>
      <c r="C273" s="333">
        <v>14069</v>
      </c>
      <c r="D273" s="333" t="s">
        <v>2594</v>
      </c>
      <c r="E273" s="384" t="s">
        <v>4239</v>
      </c>
      <c r="F273" s="766">
        <v>165</v>
      </c>
      <c r="G273" s="766">
        <f t="shared" si="210"/>
        <v>693</v>
      </c>
      <c r="H273" s="385">
        <f t="shared" ref="H273:J273" si="236">F273*5</f>
        <v>825</v>
      </c>
      <c r="I273" s="385">
        <f t="shared" si="236"/>
        <v>3465</v>
      </c>
      <c r="J273" s="874">
        <f t="shared" si="236"/>
        <v>4125</v>
      </c>
      <c r="K273" s="372">
        <f t="shared" si="212"/>
        <v>17325</v>
      </c>
      <c r="L273" s="372">
        <f t="shared" si="213"/>
        <v>2062.5</v>
      </c>
      <c r="M273" s="875">
        <f t="shared" si="214"/>
        <v>8662.5</v>
      </c>
      <c r="N273" s="385"/>
    </row>
    <row r="274" spans="1:14" ht="15.6">
      <c r="A274" s="1008" t="s">
        <v>318</v>
      </c>
      <c r="B274" s="931"/>
      <c r="C274" s="932"/>
      <c r="D274" s="789">
        <f>COUNTA(D251:D273)</f>
        <v>23</v>
      </c>
      <c r="E274" s="743"/>
      <c r="F274" s="743"/>
      <c r="G274" s="867">
        <f>SUM(G251:G273)</f>
        <v>20925.5</v>
      </c>
      <c r="H274" s="743"/>
      <c r="I274" s="868">
        <f>G274*5</f>
        <v>104627.5</v>
      </c>
      <c r="J274" s="869"/>
      <c r="K274" s="870"/>
      <c r="L274" s="870"/>
      <c r="M274" s="876"/>
      <c r="N274" s="870"/>
    </row>
    <row r="275" spans="1:14" ht="13.8">
      <c r="A275" s="331"/>
      <c r="B275" s="334"/>
      <c r="C275" s="334"/>
      <c r="D275" s="331"/>
      <c r="E275" s="334"/>
      <c r="F275" s="331"/>
      <c r="G275" s="863"/>
      <c r="H275" s="331"/>
      <c r="I275" s="864"/>
      <c r="J275" s="343"/>
      <c r="K275" s="344"/>
      <c r="L275" s="344"/>
      <c r="M275" s="344"/>
      <c r="N275" s="344"/>
    </row>
    <row r="276" spans="1:14" ht="13.8">
      <c r="A276" s="331"/>
      <c r="B276" s="334"/>
      <c r="C276" s="334"/>
      <c r="D276" s="331"/>
      <c r="E276" s="334"/>
      <c r="F276" s="331"/>
      <c r="G276" s="863"/>
      <c r="H276" s="331"/>
      <c r="I276" s="864"/>
      <c r="J276" s="343"/>
      <c r="K276" s="344"/>
      <c r="L276" s="344"/>
      <c r="M276" s="344"/>
      <c r="N276" s="344"/>
    </row>
    <row r="277" spans="1:14" ht="13.8">
      <c r="A277" s="331"/>
      <c r="B277" s="334"/>
      <c r="C277" s="334"/>
      <c r="D277" s="331"/>
      <c r="E277" s="334"/>
      <c r="F277" s="331"/>
      <c r="G277" s="863"/>
      <c r="H277" s="331"/>
      <c r="I277" s="864"/>
      <c r="J277" s="343"/>
      <c r="K277" s="344"/>
      <c r="L277" s="344"/>
      <c r="M277" s="344"/>
      <c r="N277" s="344"/>
    </row>
    <row r="278" spans="1:14" ht="13.2">
      <c r="A278" s="1009" t="s">
        <v>78</v>
      </c>
      <c r="B278" s="931"/>
      <c r="C278" s="931"/>
      <c r="D278" s="931"/>
      <c r="E278" s="931"/>
      <c r="F278" s="931"/>
      <c r="G278" s="931"/>
      <c r="H278" s="931"/>
      <c r="I278" s="931"/>
      <c r="J278" s="931"/>
      <c r="K278" s="931"/>
      <c r="L278" s="931"/>
      <c r="M278" s="931"/>
      <c r="N278" s="932"/>
    </row>
    <row r="279" spans="1:14" ht="22.5" customHeight="1">
      <c r="A279" s="396" t="s">
        <v>165</v>
      </c>
      <c r="B279" s="431" t="s">
        <v>166</v>
      </c>
      <c r="C279" s="431" t="s">
        <v>167</v>
      </c>
      <c r="D279" s="334" t="s">
        <v>168</v>
      </c>
      <c r="E279" s="431" t="s">
        <v>169</v>
      </c>
      <c r="F279" s="742" t="s">
        <v>4240</v>
      </c>
      <c r="G279" s="743" t="s">
        <v>4241</v>
      </c>
      <c r="H279" s="744" t="s">
        <v>4242</v>
      </c>
      <c r="I279" s="744" t="s">
        <v>4243</v>
      </c>
      <c r="J279" s="745" t="s">
        <v>4244</v>
      </c>
      <c r="K279" s="745" t="s">
        <v>4245</v>
      </c>
      <c r="L279" s="431" t="s">
        <v>175</v>
      </c>
      <c r="M279" s="431" t="s">
        <v>4246</v>
      </c>
      <c r="N279" s="871" t="s">
        <v>177</v>
      </c>
    </row>
    <row r="280" spans="1:14" ht="13.8">
      <c r="A280" s="333">
        <v>184</v>
      </c>
      <c r="B280" s="333" t="s">
        <v>4247</v>
      </c>
      <c r="C280" s="333" t="s">
        <v>4248</v>
      </c>
      <c r="D280" s="333" t="s">
        <v>4249</v>
      </c>
      <c r="E280" s="384" t="s">
        <v>3882</v>
      </c>
      <c r="F280" s="766">
        <v>120</v>
      </c>
      <c r="G280" s="766">
        <f t="shared" ref="G280:G292" si="237">F280*E280</f>
        <v>600</v>
      </c>
      <c r="H280" s="385">
        <f t="shared" ref="H280:J280" si="238">F280*5</f>
        <v>600</v>
      </c>
      <c r="I280" s="385">
        <f t="shared" si="238"/>
        <v>3000</v>
      </c>
      <c r="J280" s="874">
        <f t="shared" si="238"/>
        <v>3000</v>
      </c>
      <c r="K280" s="372">
        <f t="shared" ref="K280:K292" si="239">J280*E280</f>
        <v>15000</v>
      </c>
      <c r="L280" s="372">
        <f t="shared" ref="L280:L292" si="240">J280/2</f>
        <v>1500</v>
      </c>
      <c r="M280" s="372">
        <f t="shared" ref="M280:M292" si="241">L280*E280</f>
        <v>7500</v>
      </c>
      <c r="N280" s="385"/>
    </row>
    <row r="281" spans="1:14" ht="13.8">
      <c r="A281" s="333">
        <v>185</v>
      </c>
      <c r="B281" s="333" t="s">
        <v>4250</v>
      </c>
      <c r="C281" s="877">
        <v>1986676</v>
      </c>
      <c r="D281" s="333" t="s">
        <v>4249</v>
      </c>
      <c r="E281" s="384" t="s">
        <v>4251</v>
      </c>
      <c r="F281" s="766">
        <v>120</v>
      </c>
      <c r="G281" s="766">
        <f t="shared" si="237"/>
        <v>636</v>
      </c>
      <c r="H281" s="385">
        <f t="shared" ref="H281:J281" si="242">F281*5</f>
        <v>600</v>
      </c>
      <c r="I281" s="385">
        <f t="shared" si="242"/>
        <v>3180</v>
      </c>
      <c r="J281" s="874">
        <f t="shared" si="242"/>
        <v>3000</v>
      </c>
      <c r="K281" s="372">
        <f t="shared" si="239"/>
        <v>15900</v>
      </c>
      <c r="L281" s="372">
        <f t="shared" si="240"/>
        <v>1500</v>
      </c>
      <c r="M281" s="372">
        <f t="shared" si="241"/>
        <v>7950</v>
      </c>
      <c r="N281" s="385"/>
    </row>
    <row r="282" spans="1:14" ht="27.6">
      <c r="A282" s="333">
        <v>186</v>
      </c>
      <c r="B282" s="333" t="s">
        <v>4252</v>
      </c>
      <c r="C282" s="333" t="s">
        <v>4253</v>
      </c>
      <c r="D282" s="333" t="s">
        <v>4254</v>
      </c>
      <c r="E282" s="384" t="s">
        <v>3882</v>
      </c>
      <c r="F282" s="766">
        <v>120</v>
      </c>
      <c r="G282" s="766">
        <f t="shared" si="237"/>
        <v>600</v>
      </c>
      <c r="H282" s="385">
        <f t="shared" ref="H282:J282" si="243">F282*5</f>
        <v>600</v>
      </c>
      <c r="I282" s="385">
        <f t="shared" si="243"/>
        <v>3000</v>
      </c>
      <c r="J282" s="874">
        <f t="shared" si="243"/>
        <v>3000</v>
      </c>
      <c r="K282" s="372">
        <f t="shared" si="239"/>
        <v>15000</v>
      </c>
      <c r="L282" s="372">
        <f t="shared" si="240"/>
        <v>1500</v>
      </c>
      <c r="M282" s="372">
        <f t="shared" si="241"/>
        <v>7500</v>
      </c>
      <c r="N282" s="385"/>
    </row>
    <row r="283" spans="1:14" ht="27.6">
      <c r="A283" s="333">
        <v>187</v>
      </c>
      <c r="B283" s="333" t="s">
        <v>4255</v>
      </c>
      <c r="C283" s="333" t="s">
        <v>4256</v>
      </c>
      <c r="D283" s="333" t="s">
        <v>4257</v>
      </c>
      <c r="E283" s="384" t="s">
        <v>3882</v>
      </c>
      <c r="F283" s="766">
        <v>120</v>
      </c>
      <c r="G283" s="766">
        <f t="shared" si="237"/>
        <v>600</v>
      </c>
      <c r="H283" s="385">
        <f t="shared" ref="H283:J283" si="244">F283*5</f>
        <v>600</v>
      </c>
      <c r="I283" s="385">
        <f t="shared" si="244"/>
        <v>3000</v>
      </c>
      <c r="J283" s="874">
        <f t="shared" si="244"/>
        <v>3000</v>
      </c>
      <c r="K283" s="372">
        <f t="shared" si="239"/>
        <v>15000</v>
      </c>
      <c r="L283" s="372">
        <f t="shared" si="240"/>
        <v>1500</v>
      </c>
      <c r="M283" s="372">
        <f t="shared" si="241"/>
        <v>7500</v>
      </c>
      <c r="N283" s="385"/>
    </row>
    <row r="284" spans="1:14" ht="13.8">
      <c r="A284" s="333">
        <v>188</v>
      </c>
      <c r="B284" s="333" t="s">
        <v>4258</v>
      </c>
      <c r="C284" s="333" t="s">
        <v>4259</v>
      </c>
      <c r="D284" s="333" t="s">
        <v>4249</v>
      </c>
      <c r="E284" s="384" t="s">
        <v>4260</v>
      </c>
      <c r="F284" s="766">
        <v>120</v>
      </c>
      <c r="G284" s="766">
        <f t="shared" si="237"/>
        <v>588</v>
      </c>
      <c r="H284" s="385">
        <f t="shared" ref="H284:J284" si="245">F284*5</f>
        <v>600</v>
      </c>
      <c r="I284" s="385">
        <f t="shared" si="245"/>
        <v>2940</v>
      </c>
      <c r="J284" s="874">
        <f t="shared" si="245"/>
        <v>3000</v>
      </c>
      <c r="K284" s="372">
        <f t="shared" si="239"/>
        <v>14700.000000000002</v>
      </c>
      <c r="L284" s="372">
        <f t="shared" si="240"/>
        <v>1500</v>
      </c>
      <c r="M284" s="372">
        <f t="shared" si="241"/>
        <v>7350.0000000000009</v>
      </c>
      <c r="N284" s="385"/>
    </row>
    <row r="285" spans="1:14" ht="27.6">
      <c r="A285" s="333">
        <v>189</v>
      </c>
      <c r="B285" s="333" t="s">
        <v>4261</v>
      </c>
      <c r="C285" s="333" t="s">
        <v>4262</v>
      </c>
      <c r="D285" s="333" t="s">
        <v>4263</v>
      </c>
      <c r="E285" s="384" t="s">
        <v>2649</v>
      </c>
      <c r="F285" s="766">
        <v>120</v>
      </c>
      <c r="G285" s="766">
        <f t="shared" si="237"/>
        <v>684</v>
      </c>
      <c r="H285" s="385">
        <f t="shared" ref="H285:J285" si="246">F285*5</f>
        <v>600</v>
      </c>
      <c r="I285" s="385">
        <f t="shared" si="246"/>
        <v>3420</v>
      </c>
      <c r="J285" s="874">
        <f t="shared" si="246"/>
        <v>3000</v>
      </c>
      <c r="K285" s="372">
        <f t="shared" si="239"/>
        <v>17100</v>
      </c>
      <c r="L285" s="372">
        <f t="shared" si="240"/>
        <v>1500</v>
      </c>
      <c r="M285" s="372">
        <f t="shared" si="241"/>
        <v>8550</v>
      </c>
      <c r="N285" s="385"/>
    </row>
    <row r="286" spans="1:14" ht="27.6">
      <c r="A286" s="333">
        <v>190</v>
      </c>
      <c r="B286" s="333" t="s">
        <v>4264</v>
      </c>
      <c r="C286" s="333">
        <v>2015060</v>
      </c>
      <c r="D286" s="333" t="s">
        <v>4265</v>
      </c>
      <c r="E286" s="384" t="s">
        <v>3882</v>
      </c>
      <c r="F286" s="766">
        <v>120</v>
      </c>
      <c r="G286" s="766">
        <f t="shared" si="237"/>
        <v>600</v>
      </c>
      <c r="H286" s="385">
        <f t="shared" ref="H286:J286" si="247">F286*5</f>
        <v>600</v>
      </c>
      <c r="I286" s="385">
        <f t="shared" si="247"/>
        <v>3000</v>
      </c>
      <c r="J286" s="874">
        <f t="shared" si="247"/>
        <v>3000</v>
      </c>
      <c r="K286" s="372">
        <f t="shared" si="239"/>
        <v>15000</v>
      </c>
      <c r="L286" s="372">
        <f t="shared" si="240"/>
        <v>1500</v>
      </c>
      <c r="M286" s="372">
        <f t="shared" si="241"/>
        <v>7500</v>
      </c>
      <c r="N286" s="385"/>
    </row>
    <row r="287" spans="1:14" ht="27.6">
      <c r="A287" s="333">
        <v>191</v>
      </c>
      <c r="B287" s="333" t="s">
        <v>4266</v>
      </c>
      <c r="C287" s="333" t="s">
        <v>4267</v>
      </c>
      <c r="D287" s="333" t="s">
        <v>4268</v>
      </c>
      <c r="E287" s="384" t="s">
        <v>4260</v>
      </c>
      <c r="F287" s="766">
        <v>120</v>
      </c>
      <c r="G287" s="766">
        <f t="shared" si="237"/>
        <v>588</v>
      </c>
      <c r="H287" s="385">
        <f t="shared" ref="H287:J287" si="248">F287*5</f>
        <v>600</v>
      </c>
      <c r="I287" s="385">
        <f t="shared" si="248"/>
        <v>2940</v>
      </c>
      <c r="J287" s="874">
        <f t="shared" si="248"/>
        <v>3000</v>
      </c>
      <c r="K287" s="372">
        <f t="shared" si="239"/>
        <v>14700.000000000002</v>
      </c>
      <c r="L287" s="372">
        <f t="shared" si="240"/>
        <v>1500</v>
      </c>
      <c r="M287" s="372">
        <f t="shared" si="241"/>
        <v>7350.0000000000009</v>
      </c>
      <c r="N287" s="385"/>
    </row>
    <row r="288" spans="1:14" ht="13.8">
      <c r="A288" s="333">
        <v>192</v>
      </c>
      <c r="B288" s="333" t="s">
        <v>4269</v>
      </c>
      <c r="C288" s="333" t="s">
        <v>4267</v>
      </c>
      <c r="D288" s="333" t="s">
        <v>4249</v>
      </c>
      <c r="E288" s="384" t="s">
        <v>4260</v>
      </c>
      <c r="F288" s="766">
        <v>120</v>
      </c>
      <c r="G288" s="766">
        <f t="shared" si="237"/>
        <v>588</v>
      </c>
      <c r="H288" s="385">
        <f t="shared" ref="H288:J288" si="249">F288*5</f>
        <v>600</v>
      </c>
      <c r="I288" s="385">
        <f t="shared" si="249"/>
        <v>2940</v>
      </c>
      <c r="J288" s="874">
        <f t="shared" si="249"/>
        <v>3000</v>
      </c>
      <c r="K288" s="372">
        <f t="shared" si="239"/>
        <v>14700.000000000002</v>
      </c>
      <c r="L288" s="372">
        <f t="shared" si="240"/>
        <v>1500</v>
      </c>
      <c r="M288" s="372">
        <f t="shared" si="241"/>
        <v>7350.0000000000009</v>
      </c>
      <c r="N288" s="385"/>
    </row>
    <row r="289" spans="1:14" ht="13.8">
      <c r="A289" s="333">
        <v>193</v>
      </c>
      <c r="B289" s="333" t="s">
        <v>4270</v>
      </c>
      <c r="C289" s="333" t="s">
        <v>4271</v>
      </c>
      <c r="D289" s="333" t="s">
        <v>4249</v>
      </c>
      <c r="E289" s="384" t="s">
        <v>4260</v>
      </c>
      <c r="F289" s="766">
        <v>120</v>
      </c>
      <c r="G289" s="766">
        <f t="shared" si="237"/>
        <v>588</v>
      </c>
      <c r="H289" s="385">
        <f t="shared" ref="H289:J289" si="250">F289*5</f>
        <v>600</v>
      </c>
      <c r="I289" s="385">
        <f t="shared" si="250"/>
        <v>2940</v>
      </c>
      <c r="J289" s="874">
        <f t="shared" si="250"/>
        <v>3000</v>
      </c>
      <c r="K289" s="372">
        <f t="shared" si="239"/>
        <v>14700.000000000002</v>
      </c>
      <c r="L289" s="372">
        <f t="shared" si="240"/>
        <v>1500</v>
      </c>
      <c r="M289" s="372">
        <f t="shared" si="241"/>
        <v>7350.0000000000009</v>
      </c>
      <c r="N289" s="385"/>
    </row>
    <row r="290" spans="1:14" ht="27.6">
      <c r="A290" s="333">
        <v>194</v>
      </c>
      <c r="B290" s="333" t="s">
        <v>4272</v>
      </c>
      <c r="C290" s="333" t="s">
        <v>4273</v>
      </c>
      <c r="D290" s="333" t="s">
        <v>4274</v>
      </c>
      <c r="E290" s="384" t="s">
        <v>3882</v>
      </c>
      <c r="F290" s="766">
        <v>103</v>
      </c>
      <c r="G290" s="766">
        <f t="shared" si="237"/>
        <v>515</v>
      </c>
      <c r="H290" s="385">
        <f t="shared" ref="H290:J290" si="251">F290*5</f>
        <v>515</v>
      </c>
      <c r="I290" s="385">
        <f t="shared" si="251"/>
        <v>2575</v>
      </c>
      <c r="J290" s="874">
        <f t="shared" si="251"/>
        <v>2575</v>
      </c>
      <c r="K290" s="372">
        <f t="shared" si="239"/>
        <v>12875</v>
      </c>
      <c r="L290" s="372">
        <f t="shared" si="240"/>
        <v>1287.5</v>
      </c>
      <c r="M290" s="372">
        <f t="shared" si="241"/>
        <v>6437.5</v>
      </c>
      <c r="N290" s="385"/>
    </row>
    <row r="291" spans="1:14" ht="13.8">
      <c r="A291" s="333">
        <v>195</v>
      </c>
      <c r="B291" s="333" t="s">
        <v>4275</v>
      </c>
      <c r="C291" s="333" t="s">
        <v>4276</v>
      </c>
      <c r="D291" s="333" t="s">
        <v>4249</v>
      </c>
      <c r="E291" s="384" t="s">
        <v>3882</v>
      </c>
      <c r="F291" s="766">
        <v>103</v>
      </c>
      <c r="G291" s="766">
        <f t="shared" si="237"/>
        <v>515</v>
      </c>
      <c r="H291" s="385">
        <f t="shared" ref="H291:J291" si="252">F291*5</f>
        <v>515</v>
      </c>
      <c r="I291" s="385">
        <f t="shared" si="252"/>
        <v>2575</v>
      </c>
      <c r="J291" s="874">
        <f t="shared" si="252"/>
        <v>2575</v>
      </c>
      <c r="K291" s="372">
        <f t="shared" si="239"/>
        <v>12875</v>
      </c>
      <c r="L291" s="372">
        <f t="shared" si="240"/>
        <v>1287.5</v>
      </c>
      <c r="M291" s="372">
        <f t="shared" si="241"/>
        <v>6437.5</v>
      </c>
      <c r="N291" s="385"/>
    </row>
    <row r="292" spans="1:14" ht="13.8">
      <c r="A292" s="333">
        <v>196</v>
      </c>
      <c r="B292" s="333" t="s">
        <v>4277</v>
      </c>
      <c r="C292" s="333" t="s">
        <v>4278</v>
      </c>
      <c r="D292" s="333" t="s">
        <v>4249</v>
      </c>
      <c r="E292" s="384" t="s">
        <v>4279</v>
      </c>
      <c r="F292" s="766">
        <v>150</v>
      </c>
      <c r="G292" s="766">
        <f t="shared" si="237"/>
        <v>615</v>
      </c>
      <c r="H292" s="385">
        <f t="shared" ref="H292:J292" si="253">F292*5</f>
        <v>750</v>
      </c>
      <c r="I292" s="385">
        <f t="shared" si="253"/>
        <v>3075</v>
      </c>
      <c r="J292" s="874">
        <f t="shared" si="253"/>
        <v>3750</v>
      </c>
      <c r="K292" s="372">
        <f t="shared" si="239"/>
        <v>15374.999999999998</v>
      </c>
      <c r="L292" s="372">
        <f t="shared" si="240"/>
        <v>1875</v>
      </c>
      <c r="M292" s="372">
        <f t="shared" si="241"/>
        <v>7687.4999999999991</v>
      </c>
      <c r="N292" s="385"/>
    </row>
    <row r="293" spans="1:14" ht="13.8">
      <c r="A293" s="1001" t="s">
        <v>318</v>
      </c>
      <c r="B293" s="931"/>
      <c r="C293" s="932"/>
      <c r="D293" s="789">
        <f>COUNTA(D280:D292)</f>
        <v>13</v>
      </c>
      <c r="E293" s="743"/>
      <c r="F293" s="743"/>
      <c r="G293" s="768">
        <f>SUM(G280:G292)</f>
        <v>7717</v>
      </c>
      <c r="H293" s="743"/>
      <c r="I293" s="769">
        <f>SUM(I280:I292)</f>
        <v>38585</v>
      </c>
      <c r="J293" s="869"/>
      <c r="K293" s="870"/>
      <c r="L293" s="870"/>
      <c r="M293" s="870"/>
      <c r="N293" s="870"/>
    </row>
    <row r="294" spans="1:14" ht="13.8">
      <c r="A294" s="331"/>
      <c r="B294" s="334"/>
      <c r="C294" s="334"/>
      <c r="D294" s="331"/>
      <c r="E294" s="334"/>
      <c r="F294" s="331"/>
      <c r="G294" s="863"/>
      <c r="H294" s="331"/>
      <c r="I294" s="864"/>
      <c r="J294" s="343"/>
      <c r="K294" s="344"/>
      <c r="L294" s="344"/>
      <c r="M294" s="344"/>
      <c r="N294" s="344"/>
    </row>
    <row r="295" spans="1:14" ht="13.8">
      <c r="A295" s="331"/>
      <c r="B295" s="334"/>
      <c r="C295" s="334"/>
      <c r="D295" s="331"/>
      <c r="E295" s="334"/>
      <c r="F295" s="331"/>
      <c r="G295" s="863"/>
      <c r="H295" s="331"/>
      <c r="I295" s="864"/>
      <c r="J295" s="343"/>
      <c r="K295" s="344"/>
      <c r="L295" s="344"/>
      <c r="M295" s="344"/>
      <c r="N295" s="344"/>
    </row>
    <row r="296" spans="1:14" ht="13.8">
      <c r="A296" s="331"/>
      <c r="B296" s="334"/>
      <c r="C296" s="334"/>
      <c r="D296" s="331"/>
      <c r="E296" s="334"/>
      <c r="F296" s="331"/>
      <c r="G296" s="863"/>
      <c r="H296" s="331"/>
      <c r="I296" s="864"/>
      <c r="J296" s="343"/>
      <c r="K296" s="344"/>
      <c r="L296" s="344"/>
      <c r="M296" s="344"/>
      <c r="N296" s="344"/>
    </row>
    <row r="297" spans="1:14" ht="13.2">
      <c r="A297" s="1009" t="s">
        <v>79</v>
      </c>
      <c r="B297" s="931"/>
      <c r="C297" s="931"/>
      <c r="D297" s="931"/>
      <c r="E297" s="931"/>
      <c r="F297" s="931"/>
      <c r="G297" s="931"/>
      <c r="H297" s="931"/>
      <c r="I297" s="931"/>
      <c r="J297" s="931"/>
      <c r="K297" s="931"/>
      <c r="L297" s="931"/>
      <c r="M297" s="931"/>
      <c r="N297" s="932"/>
    </row>
    <row r="298" spans="1:14" ht="22.5" customHeight="1">
      <c r="A298" s="396" t="s">
        <v>165</v>
      </c>
      <c r="B298" s="431" t="s">
        <v>166</v>
      </c>
      <c r="C298" s="431" t="s">
        <v>167</v>
      </c>
      <c r="D298" s="334" t="s">
        <v>168</v>
      </c>
      <c r="E298" s="431" t="s">
        <v>169</v>
      </c>
      <c r="F298" s="742" t="s">
        <v>4280</v>
      </c>
      <c r="G298" s="743" t="s">
        <v>4281</v>
      </c>
      <c r="H298" s="744" t="s">
        <v>4282</v>
      </c>
      <c r="I298" s="744" t="s">
        <v>4283</v>
      </c>
      <c r="J298" s="745" t="s">
        <v>4284</v>
      </c>
      <c r="K298" s="745" t="s">
        <v>4285</v>
      </c>
      <c r="L298" s="431" t="s">
        <v>175</v>
      </c>
      <c r="M298" s="431" t="s">
        <v>4286</v>
      </c>
      <c r="N298" s="871" t="s">
        <v>177</v>
      </c>
    </row>
    <row r="299" spans="1:14" ht="13.8">
      <c r="A299" s="333">
        <v>197</v>
      </c>
      <c r="B299" s="333" t="s">
        <v>4287</v>
      </c>
      <c r="C299" s="333" t="s">
        <v>4288</v>
      </c>
      <c r="D299" s="333" t="s">
        <v>4289</v>
      </c>
      <c r="E299" s="384" t="s">
        <v>3882</v>
      </c>
      <c r="F299" s="766">
        <v>40</v>
      </c>
      <c r="G299" s="766">
        <f t="shared" ref="G299:G304" si="254">F299*E299</f>
        <v>200</v>
      </c>
      <c r="H299" s="385">
        <f t="shared" ref="H299:J299" si="255">F299*5</f>
        <v>200</v>
      </c>
      <c r="I299" s="385">
        <f t="shared" si="255"/>
        <v>1000</v>
      </c>
      <c r="J299" s="385">
        <f t="shared" si="255"/>
        <v>1000</v>
      </c>
      <c r="K299" s="385">
        <f t="shared" ref="K299:K304" si="256">J299*E299</f>
        <v>5000</v>
      </c>
      <c r="L299" s="385">
        <f t="shared" ref="L299:L304" si="257">J299/2</f>
        <v>500</v>
      </c>
      <c r="M299" s="385">
        <f t="shared" ref="M299:M304" si="258">L299*E299</f>
        <v>2500</v>
      </c>
      <c r="N299" s="385"/>
    </row>
    <row r="300" spans="1:14" ht="13.8">
      <c r="A300" s="333">
        <v>198</v>
      </c>
      <c r="B300" s="333" t="s">
        <v>4290</v>
      </c>
      <c r="C300" s="333" t="s">
        <v>4291</v>
      </c>
      <c r="D300" s="333" t="s">
        <v>4292</v>
      </c>
      <c r="E300" s="384" t="s">
        <v>3882</v>
      </c>
      <c r="F300" s="766">
        <v>40</v>
      </c>
      <c r="G300" s="766">
        <f t="shared" si="254"/>
        <v>200</v>
      </c>
      <c r="H300" s="385">
        <f t="shared" ref="H300:J300" si="259">F300*5</f>
        <v>200</v>
      </c>
      <c r="I300" s="385">
        <f t="shared" si="259"/>
        <v>1000</v>
      </c>
      <c r="J300" s="385">
        <f t="shared" si="259"/>
        <v>1000</v>
      </c>
      <c r="K300" s="385">
        <f t="shared" si="256"/>
        <v>5000</v>
      </c>
      <c r="L300" s="385">
        <f t="shared" si="257"/>
        <v>500</v>
      </c>
      <c r="M300" s="385">
        <f t="shared" si="258"/>
        <v>2500</v>
      </c>
      <c r="N300" s="385"/>
    </row>
    <row r="301" spans="1:14" ht="13.8">
      <c r="A301" s="333">
        <v>199</v>
      </c>
      <c r="B301" s="333" t="s">
        <v>4293</v>
      </c>
      <c r="C301" s="333" t="s">
        <v>4294</v>
      </c>
      <c r="D301" s="333" t="s">
        <v>2702</v>
      </c>
      <c r="E301" s="384" t="s">
        <v>3882</v>
      </c>
      <c r="F301" s="766">
        <v>40</v>
      </c>
      <c r="G301" s="766">
        <f t="shared" si="254"/>
        <v>200</v>
      </c>
      <c r="H301" s="385">
        <f t="shared" ref="H301:J301" si="260">F301*5</f>
        <v>200</v>
      </c>
      <c r="I301" s="385">
        <f t="shared" si="260"/>
        <v>1000</v>
      </c>
      <c r="J301" s="385">
        <f t="shared" si="260"/>
        <v>1000</v>
      </c>
      <c r="K301" s="385">
        <f t="shared" si="256"/>
        <v>5000</v>
      </c>
      <c r="L301" s="385">
        <f t="shared" si="257"/>
        <v>500</v>
      </c>
      <c r="M301" s="385">
        <f t="shared" si="258"/>
        <v>2500</v>
      </c>
      <c r="N301" s="385"/>
    </row>
    <row r="302" spans="1:14" ht="13.8">
      <c r="A302" s="333">
        <v>200</v>
      </c>
      <c r="B302" s="333" t="s">
        <v>4295</v>
      </c>
      <c r="C302" s="333" t="s">
        <v>4296</v>
      </c>
      <c r="D302" s="333" t="s">
        <v>2702</v>
      </c>
      <c r="E302" s="384" t="s">
        <v>3882</v>
      </c>
      <c r="F302" s="766">
        <v>40</v>
      </c>
      <c r="G302" s="766">
        <f t="shared" si="254"/>
        <v>200</v>
      </c>
      <c r="H302" s="385">
        <f t="shared" ref="H302:J302" si="261">F302*5</f>
        <v>200</v>
      </c>
      <c r="I302" s="385">
        <f t="shared" si="261"/>
        <v>1000</v>
      </c>
      <c r="J302" s="385">
        <f t="shared" si="261"/>
        <v>1000</v>
      </c>
      <c r="K302" s="385">
        <f t="shared" si="256"/>
        <v>5000</v>
      </c>
      <c r="L302" s="385">
        <f t="shared" si="257"/>
        <v>500</v>
      </c>
      <c r="M302" s="385">
        <f t="shared" si="258"/>
        <v>2500</v>
      </c>
      <c r="N302" s="385"/>
    </row>
    <row r="303" spans="1:14" ht="13.8">
      <c r="A303" s="333">
        <v>201</v>
      </c>
      <c r="B303" s="333" t="s">
        <v>4297</v>
      </c>
      <c r="C303" s="333" t="s">
        <v>4298</v>
      </c>
      <c r="D303" s="333" t="s">
        <v>4299</v>
      </c>
      <c r="E303" s="384" t="s">
        <v>3882</v>
      </c>
      <c r="F303" s="766">
        <v>40</v>
      </c>
      <c r="G303" s="766">
        <f t="shared" si="254"/>
        <v>200</v>
      </c>
      <c r="H303" s="385">
        <f t="shared" ref="H303:J303" si="262">F303*5</f>
        <v>200</v>
      </c>
      <c r="I303" s="385">
        <f t="shared" si="262"/>
        <v>1000</v>
      </c>
      <c r="J303" s="385">
        <f t="shared" si="262"/>
        <v>1000</v>
      </c>
      <c r="K303" s="385">
        <f t="shared" si="256"/>
        <v>5000</v>
      </c>
      <c r="L303" s="385">
        <f t="shared" si="257"/>
        <v>500</v>
      </c>
      <c r="M303" s="385">
        <f t="shared" si="258"/>
        <v>2500</v>
      </c>
      <c r="N303" s="385"/>
    </row>
    <row r="304" spans="1:14" ht="13.8">
      <c r="A304" s="333">
        <v>202</v>
      </c>
      <c r="B304" s="333" t="s">
        <v>4300</v>
      </c>
      <c r="C304" s="333" t="s">
        <v>4298</v>
      </c>
      <c r="D304" s="333" t="s">
        <v>2735</v>
      </c>
      <c r="E304" s="384" t="s">
        <v>3882</v>
      </c>
      <c r="F304" s="766">
        <v>40</v>
      </c>
      <c r="G304" s="766">
        <f t="shared" si="254"/>
        <v>200</v>
      </c>
      <c r="H304" s="385">
        <f t="shared" ref="H304:J304" si="263">F304*5</f>
        <v>200</v>
      </c>
      <c r="I304" s="385">
        <f t="shared" si="263"/>
        <v>1000</v>
      </c>
      <c r="J304" s="385">
        <f t="shared" si="263"/>
        <v>1000</v>
      </c>
      <c r="K304" s="385">
        <f t="shared" si="256"/>
        <v>5000</v>
      </c>
      <c r="L304" s="385">
        <f t="shared" si="257"/>
        <v>500</v>
      </c>
      <c r="M304" s="385">
        <f t="shared" si="258"/>
        <v>2500</v>
      </c>
      <c r="N304" s="385"/>
    </row>
    <row r="305" spans="1:14" ht="13.8">
      <c r="A305" s="1001" t="s">
        <v>318</v>
      </c>
      <c r="B305" s="931"/>
      <c r="C305" s="932"/>
      <c r="D305" s="789">
        <f>COUNTA(D299:D304)</f>
        <v>6</v>
      </c>
      <c r="E305" s="743"/>
      <c r="F305" s="743"/>
      <c r="G305" s="768">
        <f>SUM(G299:G304)</f>
        <v>1200</v>
      </c>
      <c r="H305" s="743"/>
      <c r="I305" s="769">
        <f>G305*5</f>
        <v>6000</v>
      </c>
      <c r="J305" s="869"/>
      <c r="K305" s="869"/>
      <c r="L305" s="869"/>
      <c r="M305" s="869"/>
      <c r="N305" s="869"/>
    </row>
    <row r="306" spans="1:14" ht="13.8">
      <c r="A306" s="331"/>
      <c r="B306" s="334"/>
      <c r="C306" s="334"/>
      <c r="D306" s="331"/>
      <c r="E306" s="334"/>
      <c r="F306" s="331"/>
      <c r="G306" s="863"/>
      <c r="H306" s="331"/>
      <c r="I306" s="864"/>
      <c r="J306" s="343"/>
      <c r="K306" s="344"/>
      <c r="L306" s="344"/>
      <c r="M306" s="344"/>
      <c r="N306" s="344"/>
    </row>
    <row r="307" spans="1:14" ht="13.8">
      <c r="A307" s="331"/>
      <c r="B307" s="334"/>
      <c r="C307" s="334"/>
      <c r="D307" s="331"/>
      <c r="E307" s="334"/>
      <c r="F307" s="331"/>
      <c r="G307" s="863"/>
      <c r="H307" s="331"/>
      <c r="I307" s="864"/>
      <c r="J307" s="343"/>
      <c r="K307" s="344"/>
      <c r="L307" s="344"/>
      <c r="M307" s="344"/>
      <c r="N307" s="344"/>
    </row>
    <row r="308" spans="1:14" ht="13.2">
      <c r="A308" s="1009" t="s">
        <v>80</v>
      </c>
      <c r="B308" s="931"/>
      <c r="C308" s="931"/>
      <c r="D308" s="931"/>
      <c r="E308" s="931"/>
      <c r="F308" s="931"/>
      <c r="G308" s="931"/>
      <c r="H308" s="931"/>
      <c r="I308" s="931"/>
      <c r="J308" s="931"/>
      <c r="K308" s="931"/>
      <c r="L308" s="931"/>
      <c r="M308" s="931"/>
      <c r="N308" s="932"/>
    </row>
    <row r="309" spans="1:14" ht="22.5" customHeight="1">
      <c r="A309" s="396" t="s">
        <v>165</v>
      </c>
      <c r="B309" s="431" t="s">
        <v>166</v>
      </c>
      <c r="C309" s="431" t="s">
        <v>167</v>
      </c>
      <c r="D309" s="346" t="s">
        <v>168</v>
      </c>
      <c r="E309" s="431" t="s">
        <v>169</v>
      </c>
      <c r="F309" s="742" t="s">
        <v>4301</v>
      </c>
      <c r="G309" s="743" t="s">
        <v>4302</v>
      </c>
      <c r="H309" s="744" t="s">
        <v>4303</v>
      </c>
      <c r="I309" s="744" t="s">
        <v>4304</v>
      </c>
      <c r="J309" s="745" t="s">
        <v>4305</v>
      </c>
      <c r="K309" s="745" t="s">
        <v>4306</v>
      </c>
      <c r="L309" s="745" t="s">
        <v>175</v>
      </c>
      <c r="M309" s="745" t="s">
        <v>4307</v>
      </c>
      <c r="N309" s="871" t="s">
        <v>177</v>
      </c>
    </row>
    <row r="310" spans="1:14" ht="13.8">
      <c r="A310" s="333">
        <v>203</v>
      </c>
      <c r="B310" s="333" t="s">
        <v>4308</v>
      </c>
      <c r="C310" s="333" t="s">
        <v>4309</v>
      </c>
      <c r="D310" s="333" t="s">
        <v>2594</v>
      </c>
      <c r="E310" s="384" t="s">
        <v>3839</v>
      </c>
      <c r="F310" s="766">
        <v>180</v>
      </c>
      <c r="G310" s="766">
        <f t="shared" ref="G310:G316" si="264">F310*E310</f>
        <v>1260</v>
      </c>
      <c r="H310" s="385">
        <f t="shared" ref="H310:J310" si="265">F310*5</f>
        <v>900</v>
      </c>
      <c r="I310" s="385">
        <f t="shared" si="265"/>
        <v>6300</v>
      </c>
      <c r="J310" s="385">
        <f t="shared" si="265"/>
        <v>4500</v>
      </c>
      <c r="K310" s="385">
        <f>J310*E310</f>
        <v>31500</v>
      </c>
      <c r="L310" s="385">
        <f t="shared" ref="L310:L316" si="266">J310/2</f>
        <v>2250</v>
      </c>
      <c r="M310" s="385">
        <f>L310*E310</f>
        <v>15750</v>
      </c>
      <c r="N310" s="385"/>
    </row>
    <row r="311" spans="1:14" ht="13.8">
      <c r="A311" s="333">
        <v>204</v>
      </c>
      <c r="B311" s="333" t="s">
        <v>4310</v>
      </c>
      <c r="C311" s="333" t="s">
        <v>4311</v>
      </c>
      <c r="D311" s="333" t="s">
        <v>2478</v>
      </c>
      <c r="E311" s="384" t="s">
        <v>3839</v>
      </c>
      <c r="F311" s="766">
        <v>180</v>
      </c>
      <c r="G311" s="766">
        <f t="shared" si="264"/>
        <v>1260</v>
      </c>
      <c r="H311" s="385">
        <f t="shared" ref="H311:J311" si="267">F311*5</f>
        <v>900</v>
      </c>
      <c r="I311" s="385">
        <f t="shared" si="267"/>
        <v>6300</v>
      </c>
      <c r="J311" s="385">
        <f t="shared" si="267"/>
        <v>4500</v>
      </c>
      <c r="K311" s="385">
        <v>900</v>
      </c>
      <c r="L311" s="385">
        <f t="shared" si="266"/>
        <v>2250</v>
      </c>
      <c r="M311" s="385">
        <v>6300</v>
      </c>
      <c r="N311" s="385"/>
    </row>
    <row r="312" spans="1:14" ht="13.8">
      <c r="A312" s="333">
        <v>205</v>
      </c>
      <c r="B312" s="333" t="s">
        <v>4312</v>
      </c>
      <c r="C312" s="333" t="s">
        <v>4313</v>
      </c>
      <c r="D312" s="333" t="s">
        <v>2702</v>
      </c>
      <c r="E312" s="384" t="s">
        <v>3839</v>
      </c>
      <c r="F312" s="766">
        <v>180</v>
      </c>
      <c r="G312" s="766">
        <f t="shared" si="264"/>
        <v>1260</v>
      </c>
      <c r="H312" s="385">
        <f t="shared" ref="H312:J312" si="268">F312*5</f>
        <v>900</v>
      </c>
      <c r="I312" s="385">
        <f t="shared" si="268"/>
        <v>6300</v>
      </c>
      <c r="J312" s="385">
        <f t="shared" si="268"/>
        <v>4500</v>
      </c>
      <c r="K312" s="385">
        <v>900</v>
      </c>
      <c r="L312" s="385">
        <f t="shared" si="266"/>
        <v>2250</v>
      </c>
      <c r="M312" s="385">
        <v>6300</v>
      </c>
      <c r="N312" s="385"/>
    </row>
    <row r="313" spans="1:14" ht="13.8">
      <c r="A313" s="333">
        <v>206</v>
      </c>
      <c r="B313" s="333" t="s">
        <v>4314</v>
      </c>
      <c r="C313" s="333" t="s">
        <v>4315</v>
      </c>
      <c r="D313" s="333" t="s">
        <v>2458</v>
      </c>
      <c r="E313" s="384" t="s">
        <v>4260</v>
      </c>
      <c r="F313" s="766">
        <v>150</v>
      </c>
      <c r="G313" s="766">
        <f t="shared" si="264"/>
        <v>735</v>
      </c>
      <c r="H313" s="385">
        <f t="shared" ref="H313:J313" si="269">F313*5</f>
        <v>750</v>
      </c>
      <c r="I313" s="385">
        <f t="shared" si="269"/>
        <v>3675</v>
      </c>
      <c r="J313" s="385">
        <f t="shared" si="269"/>
        <v>3750</v>
      </c>
      <c r="K313" s="385">
        <v>820</v>
      </c>
      <c r="L313" s="385">
        <f t="shared" si="266"/>
        <v>1875</v>
      </c>
      <c r="M313" s="385">
        <v>4050</v>
      </c>
      <c r="N313" s="385"/>
    </row>
    <row r="314" spans="1:14" ht="13.8">
      <c r="A314" s="333">
        <v>207</v>
      </c>
      <c r="B314" s="333" t="s">
        <v>4316</v>
      </c>
      <c r="C314" s="333" t="s">
        <v>4317</v>
      </c>
      <c r="D314" s="333" t="s">
        <v>2594</v>
      </c>
      <c r="E314" s="384" t="s">
        <v>3839</v>
      </c>
      <c r="F314" s="766">
        <v>179</v>
      </c>
      <c r="G314" s="766">
        <f t="shared" si="264"/>
        <v>1253</v>
      </c>
      <c r="H314" s="385">
        <f t="shared" ref="H314:J314" si="270">F314*5</f>
        <v>895</v>
      </c>
      <c r="I314" s="385">
        <f t="shared" si="270"/>
        <v>6265</v>
      </c>
      <c r="J314" s="385">
        <f t="shared" si="270"/>
        <v>4475</v>
      </c>
      <c r="K314" s="385">
        <v>920</v>
      </c>
      <c r="L314" s="385">
        <f t="shared" si="266"/>
        <v>2237.5</v>
      </c>
      <c r="M314" s="385">
        <v>6500</v>
      </c>
      <c r="N314" s="385"/>
    </row>
    <row r="315" spans="1:14" ht="13.8">
      <c r="A315" s="333">
        <v>208</v>
      </c>
      <c r="B315" s="333" t="s">
        <v>4318</v>
      </c>
      <c r="C315" s="333" t="s">
        <v>4319</v>
      </c>
      <c r="D315" s="333" t="s">
        <v>4320</v>
      </c>
      <c r="E315" s="384" t="s">
        <v>4219</v>
      </c>
      <c r="F315" s="766">
        <v>179</v>
      </c>
      <c r="G315" s="766">
        <f t="shared" si="264"/>
        <v>841.30000000000007</v>
      </c>
      <c r="H315" s="385">
        <f t="shared" ref="H315:J315" si="271">F315*5</f>
        <v>895</v>
      </c>
      <c r="I315" s="385">
        <f t="shared" si="271"/>
        <v>4206.5</v>
      </c>
      <c r="J315" s="385">
        <f t="shared" si="271"/>
        <v>4475</v>
      </c>
      <c r="K315" s="385">
        <v>1100</v>
      </c>
      <c r="L315" s="385">
        <f t="shared" si="266"/>
        <v>2237.5</v>
      </c>
      <c r="M315" s="385">
        <v>5200</v>
      </c>
      <c r="N315" s="385"/>
    </row>
    <row r="316" spans="1:14" ht="13.8">
      <c r="A316" s="333">
        <v>209</v>
      </c>
      <c r="B316" s="333" t="s">
        <v>4321</v>
      </c>
      <c r="C316" s="333" t="s">
        <v>4322</v>
      </c>
      <c r="D316" s="333" t="s">
        <v>4323</v>
      </c>
      <c r="E316" s="384" t="s">
        <v>3826</v>
      </c>
      <c r="F316" s="766">
        <v>179</v>
      </c>
      <c r="G316" s="766">
        <f t="shared" si="264"/>
        <v>930.80000000000007</v>
      </c>
      <c r="H316" s="385">
        <f t="shared" ref="H316:J316" si="272">F316*5</f>
        <v>895</v>
      </c>
      <c r="I316" s="385">
        <f t="shared" si="272"/>
        <v>4654</v>
      </c>
      <c r="J316" s="385">
        <f t="shared" si="272"/>
        <v>4475</v>
      </c>
      <c r="K316" s="385">
        <v>1100</v>
      </c>
      <c r="L316" s="385">
        <f t="shared" si="266"/>
        <v>2237.5</v>
      </c>
      <c r="M316" s="385">
        <v>5800</v>
      </c>
      <c r="N316" s="385"/>
    </row>
    <row r="317" spans="1:14" ht="15.6">
      <c r="A317" s="1008" t="s">
        <v>318</v>
      </c>
      <c r="B317" s="931"/>
      <c r="C317" s="932"/>
      <c r="D317" s="789">
        <f>COUNTA(D310:D316)</f>
        <v>7</v>
      </c>
      <c r="E317" s="743"/>
      <c r="F317" s="743"/>
      <c r="G317" s="867">
        <f>SUM(G310:G316)</f>
        <v>7540.1</v>
      </c>
      <c r="H317" s="743"/>
      <c r="I317" s="868">
        <f>G317*5</f>
        <v>37700.5</v>
      </c>
      <c r="J317" s="869"/>
      <c r="K317" s="870"/>
      <c r="L317" s="870"/>
      <c r="M317" s="870"/>
      <c r="N317" s="870"/>
    </row>
    <row r="318" spans="1:14" ht="13.8">
      <c r="A318" s="331"/>
      <c r="B318" s="334"/>
      <c r="C318" s="334"/>
      <c r="D318" s="331"/>
      <c r="E318" s="334"/>
      <c r="F318" s="331"/>
      <c r="G318" s="863"/>
      <c r="H318" s="331"/>
      <c r="I318" s="864"/>
      <c r="J318" s="343"/>
      <c r="K318" s="344"/>
      <c r="L318" s="344"/>
      <c r="M318" s="344"/>
      <c r="N318" s="344"/>
    </row>
    <row r="319" spans="1:14" ht="13.8">
      <c r="A319" s="331"/>
      <c r="B319" s="334"/>
      <c r="C319" s="334"/>
      <c r="D319" s="331"/>
      <c r="E319" s="334"/>
      <c r="F319" s="331"/>
      <c r="G319" s="863"/>
      <c r="H319" s="331"/>
      <c r="I319" s="864"/>
      <c r="J319" s="343"/>
      <c r="K319" s="344"/>
      <c r="L319" s="344"/>
      <c r="M319" s="344"/>
      <c r="N319" s="344"/>
    </row>
    <row r="320" spans="1:14" ht="13.8">
      <c r="A320" s="331"/>
      <c r="B320" s="334"/>
      <c r="C320" s="334"/>
      <c r="D320" s="331"/>
      <c r="E320" s="334"/>
      <c r="F320" s="331"/>
      <c r="G320" s="863"/>
      <c r="H320" s="331"/>
      <c r="I320" s="864"/>
      <c r="J320" s="343"/>
      <c r="K320" s="344"/>
      <c r="L320" s="344"/>
      <c r="M320" s="344"/>
      <c r="N320" s="344"/>
    </row>
    <row r="321" spans="1:14" ht="13.2">
      <c r="A321" s="1009" t="s">
        <v>37</v>
      </c>
      <c r="B321" s="931"/>
      <c r="C321" s="931"/>
      <c r="D321" s="931"/>
      <c r="E321" s="931"/>
      <c r="F321" s="931"/>
      <c r="G321" s="931"/>
      <c r="H321" s="931"/>
      <c r="I321" s="931"/>
      <c r="J321" s="931"/>
      <c r="K321" s="931"/>
      <c r="L321" s="931"/>
      <c r="M321" s="931"/>
      <c r="N321" s="932"/>
    </row>
    <row r="322" spans="1:14" ht="22.5" customHeight="1">
      <c r="A322" s="396" t="s">
        <v>165</v>
      </c>
      <c r="B322" s="431" t="s">
        <v>166</v>
      </c>
      <c r="C322" s="431" t="s">
        <v>167</v>
      </c>
      <c r="D322" s="346" t="s">
        <v>168</v>
      </c>
      <c r="E322" s="431" t="s">
        <v>169</v>
      </c>
      <c r="F322" s="742" t="s">
        <v>4324</v>
      </c>
      <c r="G322" s="743" t="s">
        <v>4325</v>
      </c>
      <c r="H322" s="744" t="s">
        <v>4326</v>
      </c>
      <c r="I322" s="744" t="s">
        <v>4327</v>
      </c>
      <c r="J322" s="745" t="s">
        <v>4328</v>
      </c>
      <c r="K322" s="745" t="s">
        <v>4329</v>
      </c>
      <c r="L322" s="745" t="s">
        <v>175</v>
      </c>
      <c r="M322" s="745" t="s">
        <v>4330</v>
      </c>
      <c r="N322" s="871" t="s">
        <v>177</v>
      </c>
    </row>
    <row r="323" spans="1:14" ht="13.8">
      <c r="A323" s="333">
        <v>210</v>
      </c>
      <c r="B323" s="333" t="s">
        <v>4331</v>
      </c>
      <c r="C323" s="333" t="s">
        <v>4332</v>
      </c>
      <c r="D323" s="333" t="s">
        <v>4333</v>
      </c>
      <c r="E323" s="384" t="s">
        <v>3882</v>
      </c>
      <c r="F323" s="766">
        <v>25</v>
      </c>
      <c r="G323" s="766">
        <f t="shared" ref="G323:G336" si="273">F323*E323</f>
        <v>125</v>
      </c>
      <c r="H323" s="385">
        <f t="shared" ref="H323:J323" si="274">F323*5</f>
        <v>125</v>
      </c>
      <c r="I323" s="385">
        <f t="shared" si="274"/>
        <v>625</v>
      </c>
      <c r="J323" s="385">
        <f t="shared" si="274"/>
        <v>625</v>
      </c>
      <c r="K323" s="385">
        <f t="shared" ref="K323:K336" si="275">J323*E323</f>
        <v>3125</v>
      </c>
      <c r="L323" s="385">
        <f t="shared" ref="L323:L336" si="276">J323/2</f>
        <v>312.5</v>
      </c>
      <c r="M323" s="385">
        <f t="shared" ref="M323:M336" si="277">L323*E323</f>
        <v>1562.5</v>
      </c>
      <c r="N323" s="385"/>
    </row>
    <row r="324" spans="1:14" ht="13.8">
      <c r="A324" s="333">
        <v>211</v>
      </c>
      <c r="B324" s="333" t="s">
        <v>4334</v>
      </c>
      <c r="C324" s="333" t="s">
        <v>4335</v>
      </c>
      <c r="D324" s="333" t="s">
        <v>2594</v>
      </c>
      <c r="E324" s="384" t="s">
        <v>3882</v>
      </c>
      <c r="F324" s="766">
        <v>25</v>
      </c>
      <c r="G324" s="766">
        <f t="shared" si="273"/>
        <v>125</v>
      </c>
      <c r="H324" s="385">
        <f t="shared" ref="H324:J324" si="278">F324*5</f>
        <v>125</v>
      </c>
      <c r="I324" s="385">
        <f t="shared" si="278"/>
        <v>625</v>
      </c>
      <c r="J324" s="385">
        <f t="shared" si="278"/>
        <v>625</v>
      </c>
      <c r="K324" s="385">
        <f t="shared" si="275"/>
        <v>3125</v>
      </c>
      <c r="L324" s="385">
        <f t="shared" si="276"/>
        <v>312.5</v>
      </c>
      <c r="M324" s="385">
        <f t="shared" si="277"/>
        <v>1562.5</v>
      </c>
      <c r="N324" s="385"/>
    </row>
    <row r="325" spans="1:14" ht="13.8">
      <c r="A325" s="333">
        <v>212</v>
      </c>
      <c r="B325" s="333" t="s">
        <v>4336</v>
      </c>
      <c r="C325" s="333" t="s">
        <v>4337</v>
      </c>
      <c r="D325" s="333" t="s">
        <v>2594</v>
      </c>
      <c r="E325" s="384" t="s">
        <v>3882</v>
      </c>
      <c r="F325" s="766">
        <v>25</v>
      </c>
      <c r="G325" s="766">
        <f t="shared" si="273"/>
        <v>125</v>
      </c>
      <c r="H325" s="385">
        <f t="shared" ref="H325:J325" si="279">F325*5</f>
        <v>125</v>
      </c>
      <c r="I325" s="385">
        <f t="shared" si="279"/>
        <v>625</v>
      </c>
      <c r="J325" s="385">
        <f t="shared" si="279"/>
        <v>625</v>
      </c>
      <c r="K325" s="385">
        <f t="shared" si="275"/>
        <v>3125</v>
      </c>
      <c r="L325" s="385">
        <f t="shared" si="276"/>
        <v>312.5</v>
      </c>
      <c r="M325" s="385">
        <f t="shared" si="277"/>
        <v>1562.5</v>
      </c>
      <c r="N325" s="385"/>
    </row>
    <row r="326" spans="1:14" ht="13.8">
      <c r="A326" s="333">
        <v>213</v>
      </c>
      <c r="B326" s="333" t="s">
        <v>4338</v>
      </c>
      <c r="C326" s="333" t="s">
        <v>4339</v>
      </c>
      <c r="D326" s="333" t="s">
        <v>2594</v>
      </c>
      <c r="E326" s="384" t="s">
        <v>3882</v>
      </c>
      <c r="F326" s="766">
        <v>25</v>
      </c>
      <c r="G326" s="766">
        <f t="shared" si="273"/>
        <v>125</v>
      </c>
      <c r="H326" s="385">
        <f t="shared" ref="H326:J326" si="280">F326*5</f>
        <v>125</v>
      </c>
      <c r="I326" s="385">
        <f t="shared" si="280"/>
        <v>625</v>
      </c>
      <c r="J326" s="385">
        <f t="shared" si="280"/>
        <v>625</v>
      </c>
      <c r="K326" s="385">
        <f t="shared" si="275"/>
        <v>3125</v>
      </c>
      <c r="L326" s="385">
        <f t="shared" si="276"/>
        <v>312.5</v>
      </c>
      <c r="M326" s="385">
        <f t="shared" si="277"/>
        <v>1562.5</v>
      </c>
      <c r="N326" s="385"/>
    </row>
    <row r="327" spans="1:14" ht="13.8">
      <c r="A327" s="333">
        <v>214</v>
      </c>
      <c r="B327" s="333" t="s">
        <v>4340</v>
      </c>
      <c r="C327" s="333" t="s">
        <v>4341</v>
      </c>
      <c r="D327" s="333" t="s">
        <v>2685</v>
      </c>
      <c r="E327" s="384" t="s">
        <v>4342</v>
      </c>
      <c r="F327" s="766">
        <v>25</v>
      </c>
      <c r="G327" s="766">
        <f t="shared" si="273"/>
        <v>187.5</v>
      </c>
      <c r="H327" s="385">
        <f t="shared" ref="H327:J327" si="281">F327*5</f>
        <v>125</v>
      </c>
      <c r="I327" s="385">
        <f t="shared" si="281"/>
        <v>937.5</v>
      </c>
      <c r="J327" s="385">
        <f t="shared" si="281"/>
        <v>625</v>
      </c>
      <c r="K327" s="385">
        <f t="shared" si="275"/>
        <v>4687.5</v>
      </c>
      <c r="L327" s="385">
        <f t="shared" si="276"/>
        <v>312.5</v>
      </c>
      <c r="M327" s="385">
        <f t="shared" si="277"/>
        <v>2343.75</v>
      </c>
      <c r="N327" s="385"/>
    </row>
    <row r="328" spans="1:14" ht="13.8">
      <c r="A328" s="333">
        <v>215</v>
      </c>
      <c r="B328" s="333" t="s">
        <v>4343</v>
      </c>
      <c r="C328" s="333" t="s">
        <v>4344</v>
      </c>
      <c r="D328" s="333" t="s">
        <v>2702</v>
      </c>
      <c r="E328" s="384" t="s">
        <v>3839</v>
      </c>
      <c r="F328" s="766">
        <v>25</v>
      </c>
      <c r="G328" s="766">
        <f t="shared" si="273"/>
        <v>175</v>
      </c>
      <c r="H328" s="385">
        <f t="shared" ref="H328:J328" si="282">F328*5</f>
        <v>125</v>
      </c>
      <c r="I328" s="385">
        <f t="shared" si="282"/>
        <v>875</v>
      </c>
      <c r="J328" s="385">
        <f t="shared" si="282"/>
        <v>625</v>
      </c>
      <c r="K328" s="385">
        <f t="shared" si="275"/>
        <v>4375</v>
      </c>
      <c r="L328" s="385">
        <f t="shared" si="276"/>
        <v>312.5</v>
      </c>
      <c r="M328" s="385">
        <f t="shared" si="277"/>
        <v>2187.5</v>
      </c>
      <c r="N328" s="385"/>
    </row>
    <row r="329" spans="1:14" ht="13.8">
      <c r="A329" s="333">
        <v>216</v>
      </c>
      <c r="B329" s="333" t="s">
        <v>4345</v>
      </c>
      <c r="C329" s="333" t="s">
        <v>4341</v>
      </c>
      <c r="D329" s="333" t="s">
        <v>2594</v>
      </c>
      <c r="E329" s="384" t="s">
        <v>3882</v>
      </c>
      <c r="F329" s="766">
        <v>30</v>
      </c>
      <c r="G329" s="766">
        <f t="shared" si="273"/>
        <v>150</v>
      </c>
      <c r="H329" s="385">
        <f t="shared" ref="H329:J329" si="283">F329*5</f>
        <v>150</v>
      </c>
      <c r="I329" s="385">
        <f t="shared" si="283"/>
        <v>750</v>
      </c>
      <c r="J329" s="385">
        <f t="shared" si="283"/>
        <v>750</v>
      </c>
      <c r="K329" s="385">
        <f t="shared" si="275"/>
        <v>3750</v>
      </c>
      <c r="L329" s="385">
        <f t="shared" si="276"/>
        <v>375</v>
      </c>
      <c r="M329" s="385">
        <f t="shared" si="277"/>
        <v>1875</v>
      </c>
      <c r="N329" s="385"/>
    </row>
    <row r="330" spans="1:14" ht="13.8">
      <c r="A330" s="333">
        <v>217</v>
      </c>
      <c r="B330" s="333" t="s">
        <v>4346</v>
      </c>
      <c r="C330" s="333" t="s">
        <v>4347</v>
      </c>
      <c r="D330" s="333" t="s">
        <v>2702</v>
      </c>
      <c r="E330" s="384" t="s">
        <v>3882</v>
      </c>
      <c r="F330" s="766">
        <v>22</v>
      </c>
      <c r="G330" s="766">
        <f t="shared" si="273"/>
        <v>110</v>
      </c>
      <c r="H330" s="385">
        <f t="shared" ref="H330:J330" si="284">F330*5</f>
        <v>110</v>
      </c>
      <c r="I330" s="385">
        <f t="shared" si="284"/>
        <v>550</v>
      </c>
      <c r="J330" s="385">
        <f t="shared" si="284"/>
        <v>550</v>
      </c>
      <c r="K330" s="385">
        <f t="shared" si="275"/>
        <v>2750</v>
      </c>
      <c r="L330" s="385">
        <f t="shared" si="276"/>
        <v>275</v>
      </c>
      <c r="M330" s="385">
        <f t="shared" si="277"/>
        <v>1375</v>
      </c>
      <c r="N330" s="385"/>
    </row>
    <row r="331" spans="1:14" ht="13.8">
      <c r="A331" s="333">
        <v>218</v>
      </c>
      <c r="B331" s="333" t="s">
        <v>4348</v>
      </c>
      <c r="C331" s="333" t="s">
        <v>4349</v>
      </c>
      <c r="D331" s="333" t="s">
        <v>4350</v>
      </c>
      <c r="E331" s="384" t="s">
        <v>4231</v>
      </c>
      <c r="F331" s="766">
        <v>35</v>
      </c>
      <c r="G331" s="766">
        <f t="shared" si="273"/>
        <v>150.5</v>
      </c>
      <c r="H331" s="385">
        <f t="shared" ref="H331:J331" si="285">F331*5</f>
        <v>175</v>
      </c>
      <c r="I331" s="385">
        <f t="shared" si="285"/>
        <v>752.5</v>
      </c>
      <c r="J331" s="385">
        <f t="shared" si="285"/>
        <v>875</v>
      </c>
      <c r="K331" s="385">
        <f t="shared" si="275"/>
        <v>3762.5</v>
      </c>
      <c r="L331" s="385">
        <f t="shared" si="276"/>
        <v>437.5</v>
      </c>
      <c r="M331" s="385">
        <f t="shared" si="277"/>
        <v>1881.25</v>
      </c>
      <c r="N331" s="385"/>
    </row>
    <row r="332" spans="1:14" ht="13.8">
      <c r="A332" s="333">
        <v>219</v>
      </c>
      <c r="B332" s="333" t="s">
        <v>4351</v>
      </c>
      <c r="C332" s="333">
        <v>30335</v>
      </c>
      <c r="D332" s="333" t="s">
        <v>4350</v>
      </c>
      <c r="E332" s="384" t="s">
        <v>4231</v>
      </c>
      <c r="F332" s="766">
        <v>35</v>
      </c>
      <c r="G332" s="766">
        <f t="shared" si="273"/>
        <v>150.5</v>
      </c>
      <c r="H332" s="385">
        <f t="shared" ref="H332:J332" si="286">F332*5</f>
        <v>175</v>
      </c>
      <c r="I332" s="385">
        <f t="shared" si="286"/>
        <v>752.5</v>
      </c>
      <c r="J332" s="385">
        <f t="shared" si="286"/>
        <v>875</v>
      </c>
      <c r="K332" s="385">
        <f t="shared" si="275"/>
        <v>3762.5</v>
      </c>
      <c r="L332" s="385">
        <f t="shared" si="276"/>
        <v>437.5</v>
      </c>
      <c r="M332" s="385">
        <f t="shared" si="277"/>
        <v>1881.25</v>
      </c>
      <c r="N332" s="385"/>
    </row>
    <row r="333" spans="1:14" ht="27.6">
      <c r="A333" s="333">
        <v>220</v>
      </c>
      <c r="B333" s="333" t="s">
        <v>4352</v>
      </c>
      <c r="C333" s="333" t="s">
        <v>4353</v>
      </c>
      <c r="D333" s="333" t="s">
        <v>4354</v>
      </c>
      <c r="E333" s="384" t="s">
        <v>4149</v>
      </c>
      <c r="F333" s="766">
        <v>35</v>
      </c>
      <c r="G333" s="766">
        <f t="shared" si="273"/>
        <v>210</v>
      </c>
      <c r="H333" s="385">
        <f t="shared" ref="H333:J333" si="287">F333*5</f>
        <v>175</v>
      </c>
      <c r="I333" s="385">
        <f t="shared" si="287"/>
        <v>1050</v>
      </c>
      <c r="J333" s="385">
        <f t="shared" si="287"/>
        <v>875</v>
      </c>
      <c r="K333" s="385">
        <f t="shared" si="275"/>
        <v>5250</v>
      </c>
      <c r="L333" s="385">
        <f t="shared" si="276"/>
        <v>437.5</v>
      </c>
      <c r="M333" s="385">
        <f t="shared" si="277"/>
        <v>2625</v>
      </c>
      <c r="N333" s="385"/>
    </row>
    <row r="334" spans="1:14" ht="13.8">
      <c r="A334" s="333">
        <v>221</v>
      </c>
      <c r="B334" s="333" t="s">
        <v>4355</v>
      </c>
      <c r="C334" s="333" t="s">
        <v>117</v>
      </c>
      <c r="D334" s="352" t="s">
        <v>4356</v>
      </c>
      <c r="E334" s="384" t="s">
        <v>3882</v>
      </c>
      <c r="F334" s="766">
        <v>38</v>
      </c>
      <c r="G334" s="766">
        <f t="shared" si="273"/>
        <v>190</v>
      </c>
      <c r="H334" s="385">
        <f t="shared" ref="H334:J334" si="288">F334*5</f>
        <v>190</v>
      </c>
      <c r="I334" s="385">
        <f t="shared" si="288"/>
        <v>950</v>
      </c>
      <c r="J334" s="385">
        <f t="shared" si="288"/>
        <v>950</v>
      </c>
      <c r="K334" s="385">
        <f t="shared" si="275"/>
        <v>4750</v>
      </c>
      <c r="L334" s="385">
        <f t="shared" si="276"/>
        <v>475</v>
      </c>
      <c r="M334" s="385">
        <f t="shared" si="277"/>
        <v>2375</v>
      </c>
      <c r="N334" s="385"/>
    </row>
    <row r="335" spans="1:14" ht="13.8">
      <c r="A335" s="333">
        <v>222</v>
      </c>
      <c r="B335" s="333" t="s">
        <v>4357</v>
      </c>
      <c r="C335" s="333" t="s">
        <v>117</v>
      </c>
      <c r="D335" s="352" t="s">
        <v>4356</v>
      </c>
      <c r="E335" s="384" t="s">
        <v>3882</v>
      </c>
      <c r="F335" s="766">
        <v>38</v>
      </c>
      <c r="G335" s="766">
        <f t="shared" si="273"/>
        <v>190</v>
      </c>
      <c r="H335" s="385">
        <f t="shared" ref="H335:J335" si="289">F335*5</f>
        <v>190</v>
      </c>
      <c r="I335" s="385">
        <f t="shared" si="289"/>
        <v>950</v>
      </c>
      <c r="J335" s="385">
        <f t="shared" si="289"/>
        <v>950</v>
      </c>
      <c r="K335" s="385">
        <f t="shared" si="275"/>
        <v>4750</v>
      </c>
      <c r="L335" s="385">
        <f t="shared" si="276"/>
        <v>475</v>
      </c>
      <c r="M335" s="385">
        <f t="shared" si="277"/>
        <v>2375</v>
      </c>
      <c r="N335" s="385"/>
    </row>
    <row r="336" spans="1:14" ht="13.8">
      <c r="A336" s="333">
        <v>223</v>
      </c>
      <c r="B336" s="333" t="s">
        <v>4358</v>
      </c>
      <c r="C336" s="333" t="s">
        <v>4359</v>
      </c>
      <c r="D336" s="333" t="s">
        <v>2702</v>
      </c>
      <c r="E336" s="384" t="s">
        <v>3882</v>
      </c>
      <c r="F336" s="766">
        <v>25</v>
      </c>
      <c r="G336" s="766">
        <f t="shared" si="273"/>
        <v>125</v>
      </c>
      <c r="H336" s="385">
        <f t="shared" ref="H336:J336" si="290">F336*5</f>
        <v>125</v>
      </c>
      <c r="I336" s="385">
        <f t="shared" si="290"/>
        <v>625</v>
      </c>
      <c r="J336" s="385">
        <f t="shared" si="290"/>
        <v>625</v>
      </c>
      <c r="K336" s="385">
        <f t="shared" si="275"/>
        <v>3125</v>
      </c>
      <c r="L336" s="385">
        <f t="shared" si="276"/>
        <v>312.5</v>
      </c>
      <c r="M336" s="385">
        <f t="shared" si="277"/>
        <v>1562.5</v>
      </c>
      <c r="N336" s="385"/>
    </row>
    <row r="337" spans="1:14" ht="15.6">
      <c r="A337" s="1008" t="s">
        <v>26</v>
      </c>
      <c r="B337" s="931"/>
      <c r="C337" s="932"/>
      <c r="D337" s="789">
        <f>COUNTA(D323:D336)</f>
        <v>14</v>
      </c>
      <c r="E337" s="743"/>
      <c r="F337" s="743"/>
      <c r="G337" s="867">
        <f>SUM(G323:G336)</f>
        <v>2138.5</v>
      </c>
      <c r="H337" s="743"/>
      <c r="I337" s="868">
        <f>SUM(I323:I336)</f>
        <v>10692.5</v>
      </c>
      <c r="J337" s="869"/>
      <c r="K337" s="870"/>
      <c r="L337" s="870"/>
      <c r="M337" s="870"/>
      <c r="N337" s="870"/>
    </row>
    <row r="338" spans="1:14" ht="13.8">
      <c r="A338" s="331"/>
      <c r="B338" s="334"/>
      <c r="C338" s="334"/>
      <c r="D338" s="331"/>
      <c r="E338" s="334"/>
      <c r="F338" s="331"/>
      <c r="G338" s="863"/>
      <c r="H338" s="331"/>
      <c r="I338" s="864"/>
      <c r="J338" s="343"/>
      <c r="K338" s="344"/>
      <c r="L338" s="344"/>
      <c r="M338" s="344"/>
      <c r="N338" s="344"/>
    </row>
    <row r="339" spans="1:14" ht="13.8">
      <c r="A339" s="331"/>
      <c r="B339" s="334"/>
      <c r="C339" s="334"/>
      <c r="D339" s="331"/>
      <c r="E339" s="334"/>
      <c r="F339" s="331"/>
      <c r="G339" s="863"/>
      <c r="H339" s="331"/>
      <c r="I339" s="864"/>
      <c r="J339" s="343"/>
      <c r="K339" s="344"/>
      <c r="L339" s="344"/>
      <c r="M339" s="344"/>
      <c r="N339" s="344"/>
    </row>
    <row r="340" spans="1:14" ht="13.8">
      <c r="A340" s="331"/>
      <c r="B340" s="334"/>
      <c r="C340" s="334"/>
      <c r="D340" s="331"/>
      <c r="E340" s="334"/>
      <c r="F340" s="331"/>
      <c r="G340" s="863"/>
      <c r="H340" s="331"/>
      <c r="I340" s="864"/>
      <c r="J340" s="343"/>
      <c r="K340" s="344"/>
      <c r="L340" s="344"/>
      <c r="M340" s="344"/>
      <c r="N340" s="344"/>
    </row>
    <row r="341" spans="1:14" ht="13.2">
      <c r="A341" s="1009" t="s">
        <v>81</v>
      </c>
      <c r="B341" s="931"/>
      <c r="C341" s="931"/>
      <c r="D341" s="931"/>
      <c r="E341" s="931"/>
      <c r="F341" s="931"/>
      <c r="G341" s="931"/>
      <c r="H341" s="931"/>
      <c r="I341" s="931"/>
      <c r="J341" s="931"/>
      <c r="K341" s="931"/>
      <c r="L341" s="931"/>
      <c r="M341" s="931"/>
      <c r="N341" s="932"/>
    </row>
    <row r="342" spans="1:14" ht="22.5" customHeight="1">
      <c r="A342" s="396" t="s">
        <v>165</v>
      </c>
      <c r="B342" s="431" t="s">
        <v>166</v>
      </c>
      <c r="C342" s="431" t="s">
        <v>167</v>
      </c>
      <c r="D342" s="346" t="s">
        <v>168</v>
      </c>
      <c r="E342" s="431" t="s">
        <v>169</v>
      </c>
      <c r="F342" s="742" t="s">
        <v>4360</v>
      </c>
      <c r="G342" s="743" t="s">
        <v>4361</v>
      </c>
      <c r="H342" s="744" t="s">
        <v>4362</v>
      </c>
      <c r="I342" s="744" t="s">
        <v>4363</v>
      </c>
      <c r="J342" s="745" t="s">
        <v>4364</v>
      </c>
      <c r="K342" s="745" t="s">
        <v>4365</v>
      </c>
      <c r="L342" s="745" t="s">
        <v>175</v>
      </c>
      <c r="M342" s="745" t="s">
        <v>4366</v>
      </c>
      <c r="N342" s="871" t="s">
        <v>177</v>
      </c>
    </row>
    <row r="343" spans="1:14" ht="13.8">
      <c r="A343" s="333">
        <v>224</v>
      </c>
      <c r="B343" s="333" t="s">
        <v>4367</v>
      </c>
      <c r="C343" s="333" t="s">
        <v>2458</v>
      </c>
      <c r="D343" s="333" t="s">
        <v>2787</v>
      </c>
      <c r="E343" s="384" t="s">
        <v>4368</v>
      </c>
      <c r="F343" s="766">
        <v>122</v>
      </c>
      <c r="G343" s="766">
        <f t="shared" ref="G343:G345" si="291">F343*E343</f>
        <v>366</v>
      </c>
      <c r="H343" s="385">
        <f t="shared" ref="H343:J343" si="292">F343*5</f>
        <v>610</v>
      </c>
      <c r="I343" s="385">
        <f t="shared" si="292"/>
        <v>1830</v>
      </c>
      <c r="J343" s="385">
        <f t="shared" si="292"/>
        <v>3050</v>
      </c>
      <c r="K343" s="385">
        <f t="shared" ref="K343:K345" si="293">J343*E343</f>
        <v>9150</v>
      </c>
      <c r="L343" s="385">
        <f t="shared" ref="L343:L345" si="294">J343/2</f>
        <v>1525</v>
      </c>
      <c r="M343" s="385">
        <f t="shared" ref="M343:M345" si="295">L343*E343</f>
        <v>4575</v>
      </c>
      <c r="N343" s="385"/>
    </row>
    <row r="344" spans="1:14" ht="13.8">
      <c r="A344" s="333">
        <v>225</v>
      </c>
      <c r="B344" s="333" t="s">
        <v>4369</v>
      </c>
      <c r="C344" s="333" t="s">
        <v>2458</v>
      </c>
      <c r="D344" s="333" t="s">
        <v>2787</v>
      </c>
      <c r="E344" s="384" t="s">
        <v>4368</v>
      </c>
      <c r="F344" s="766">
        <v>122</v>
      </c>
      <c r="G344" s="766">
        <f t="shared" si="291"/>
        <v>366</v>
      </c>
      <c r="H344" s="385">
        <f t="shared" ref="H344:J344" si="296">F344*5</f>
        <v>610</v>
      </c>
      <c r="I344" s="385">
        <f t="shared" si="296"/>
        <v>1830</v>
      </c>
      <c r="J344" s="385">
        <f t="shared" si="296"/>
        <v>3050</v>
      </c>
      <c r="K344" s="385">
        <f t="shared" si="293"/>
        <v>9150</v>
      </c>
      <c r="L344" s="385">
        <f t="shared" si="294"/>
        <v>1525</v>
      </c>
      <c r="M344" s="385">
        <f t="shared" si="295"/>
        <v>4575</v>
      </c>
      <c r="N344" s="385"/>
    </row>
    <row r="345" spans="1:14" ht="13.8">
      <c r="A345" s="333">
        <v>226</v>
      </c>
      <c r="B345" s="333" t="s">
        <v>4370</v>
      </c>
      <c r="C345" s="333" t="s">
        <v>2458</v>
      </c>
      <c r="D345" s="333" t="s">
        <v>2735</v>
      </c>
      <c r="E345" s="384" t="s">
        <v>3882</v>
      </c>
      <c r="F345" s="766">
        <v>122</v>
      </c>
      <c r="G345" s="766">
        <f t="shared" si="291"/>
        <v>610</v>
      </c>
      <c r="H345" s="385">
        <f t="shared" ref="H345:J345" si="297">F345*5</f>
        <v>610</v>
      </c>
      <c r="I345" s="385">
        <f t="shared" si="297"/>
        <v>3050</v>
      </c>
      <c r="J345" s="385">
        <f t="shared" si="297"/>
        <v>3050</v>
      </c>
      <c r="K345" s="385">
        <f t="shared" si="293"/>
        <v>15250</v>
      </c>
      <c r="L345" s="385">
        <f t="shared" si="294"/>
        <v>1525</v>
      </c>
      <c r="M345" s="385">
        <f t="shared" si="295"/>
        <v>7625</v>
      </c>
      <c r="N345" s="385"/>
    </row>
    <row r="346" spans="1:14" ht="13.8">
      <c r="A346" s="1001" t="s">
        <v>318</v>
      </c>
      <c r="B346" s="931"/>
      <c r="C346" s="932"/>
      <c r="D346" s="789">
        <f>COUNTA(D343:D345)</f>
        <v>3</v>
      </c>
      <c r="E346" s="743"/>
      <c r="F346" s="743"/>
      <c r="G346" s="768">
        <f>SUM(G343:G345)</f>
        <v>1342</v>
      </c>
      <c r="H346" s="743"/>
      <c r="I346" s="769">
        <f>G346*5</f>
        <v>6710</v>
      </c>
      <c r="J346" s="869"/>
      <c r="K346" s="869"/>
      <c r="L346" s="869"/>
      <c r="M346" s="869"/>
      <c r="N346" s="869"/>
    </row>
    <row r="347" spans="1:14" ht="13.8">
      <c r="A347" s="331"/>
      <c r="B347" s="334"/>
      <c r="C347" s="334"/>
      <c r="D347" s="331"/>
      <c r="E347" s="334"/>
      <c r="F347" s="331"/>
      <c r="G347" s="863"/>
      <c r="H347" s="331"/>
      <c r="I347" s="864"/>
      <c r="J347" s="343"/>
      <c r="K347" s="344"/>
      <c r="L347" s="344"/>
      <c r="M347" s="344"/>
      <c r="N347" s="344"/>
    </row>
    <row r="348" spans="1:14" ht="13.8">
      <c r="A348" s="331"/>
      <c r="B348" s="334"/>
      <c r="C348" s="334"/>
      <c r="D348" s="331"/>
      <c r="E348" s="334"/>
      <c r="F348" s="331"/>
      <c r="G348" s="863"/>
      <c r="H348" s="331"/>
      <c r="I348" s="864"/>
      <c r="J348" s="343"/>
      <c r="K348" s="344"/>
      <c r="L348" s="344"/>
      <c r="M348" s="344"/>
      <c r="N348" s="344"/>
    </row>
    <row r="349" spans="1:14" ht="13.8">
      <c r="A349" s="331"/>
      <c r="B349" s="334"/>
      <c r="C349" s="334"/>
      <c r="D349" s="331"/>
      <c r="E349" s="334"/>
      <c r="F349" s="331"/>
      <c r="G349" s="863"/>
      <c r="H349" s="331"/>
      <c r="I349" s="864"/>
      <c r="J349" s="343"/>
      <c r="K349" s="344"/>
      <c r="L349" s="344"/>
      <c r="M349" s="344"/>
      <c r="N349" s="344"/>
    </row>
    <row r="350" spans="1:14" ht="13.2">
      <c r="A350" s="1009" t="s">
        <v>82</v>
      </c>
      <c r="B350" s="931"/>
      <c r="C350" s="931"/>
      <c r="D350" s="931"/>
      <c r="E350" s="931"/>
      <c r="F350" s="931"/>
      <c r="G350" s="931"/>
      <c r="H350" s="931"/>
      <c r="I350" s="931"/>
      <c r="J350" s="931"/>
      <c r="K350" s="931"/>
      <c r="L350" s="931"/>
      <c r="M350" s="931"/>
      <c r="N350" s="932"/>
    </row>
    <row r="351" spans="1:14" ht="22.5" customHeight="1">
      <c r="A351" s="396" t="s">
        <v>165</v>
      </c>
      <c r="B351" s="431" t="s">
        <v>166</v>
      </c>
      <c r="C351" s="431" t="s">
        <v>167</v>
      </c>
      <c r="D351" s="346" t="s">
        <v>168</v>
      </c>
      <c r="E351" s="431" t="s">
        <v>169</v>
      </c>
      <c r="F351" s="742" t="s">
        <v>4371</v>
      </c>
      <c r="G351" s="743" t="s">
        <v>4372</v>
      </c>
      <c r="H351" s="744" t="s">
        <v>4373</v>
      </c>
      <c r="I351" s="744" t="s">
        <v>4374</v>
      </c>
      <c r="J351" s="745" t="s">
        <v>4375</v>
      </c>
      <c r="K351" s="745" t="s">
        <v>4376</v>
      </c>
      <c r="L351" s="745" t="s">
        <v>175</v>
      </c>
      <c r="M351" s="745" t="s">
        <v>4377</v>
      </c>
      <c r="N351" s="878" t="s">
        <v>177</v>
      </c>
    </row>
    <row r="352" spans="1:14" ht="13.8">
      <c r="A352" s="333">
        <v>227</v>
      </c>
      <c r="B352" s="333" t="s">
        <v>4378</v>
      </c>
      <c r="C352" s="333">
        <v>20024</v>
      </c>
      <c r="D352" s="352" t="s">
        <v>2698</v>
      </c>
      <c r="E352" s="384" t="s">
        <v>3882</v>
      </c>
      <c r="F352" s="766">
        <v>230</v>
      </c>
      <c r="G352" s="766">
        <f t="shared" ref="G352:G361" si="298">F352*E352</f>
        <v>1150</v>
      </c>
      <c r="H352" s="385">
        <f t="shared" ref="H352:J352" si="299">F352*5</f>
        <v>1150</v>
      </c>
      <c r="I352" s="385">
        <f t="shared" si="299"/>
        <v>5750</v>
      </c>
      <c r="J352" s="385">
        <f t="shared" si="299"/>
        <v>5750</v>
      </c>
      <c r="K352" s="385">
        <f t="shared" ref="K352:K361" si="300">J352*E352</f>
        <v>28750</v>
      </c>
      <c r="L352" s="385">
        <f t="shared" ref="L352:L361" si="301">J352/2</f>
        <v>2875</v>
      </c>
      <c r="M352" s="385">
        <f t="shared" ref="M352:M361" si="302">L352*E352</f>
        <v>14375</v>
      </c>
      <c r="N352" s="385"/>
    </row>
    <row r="353" spans="1:14" ht="13.8">
      <c r="A353" s="333">
        <v>228</v>
      </c>
      <c r="B353" s="333" t="s">
        <v>4379</v>
      </c>
      <c r="C353" s="333">
        <v>20024</v>
      </c>
      <c r="D353" s="333" t="s">
        <v>3188</v>
      </c>
      <c r="E353" s="384" t="s">
        <v>4380</v>
      </c>
      <c r="F353" s="766">
        <v>230</v>
      </c>
      <c r="G353" s="766">
        <f t="shared" si="298"/>
        <v>1173</v>
      </c>
      <c r="H353" s="385">
        <f t="shared" ref="H353:J353" si="303">F353*5</f>
        <v>1150</v>
      </c>
      <c r="I353" s="385">
        <f t="shared" si="303"/>
        <v>5865</v>
      </c>
      <c r="J353" s="385">
        <f t="shared" si="303"/>
        <v>5750</v>
      </c>
      <c r="K353" s="385">
        <f t="shared" si="300"/>
        <v>29324.999999999996</v>
      </c>
      <c r="L353" s="385">
        <f t="shared" si="301"/>
        <v>2875</v>
      </c>
      <c r="M353" s="385">
        <f t="shared" si="302"/>
        <v>14662.499999999998</v>
      </c>
      <c r="N353" s="385"/>
    </row>
    <row r="354" spans="1:14" ht="13.8">
      <c r="A354" s="333">
        <v>229</v>
      </c>
      <c r="B354" s="333" t="s">
        <v>4381</v>
      </c>
      <c r="C354" s="333">
        <v>20017</v>
      </c>
      <c r="D354" s="333" t="s">
        <v>2722</v>
      </c>
      <c r="E354" s="384" t="s">
        <v>2644</v>
      </c>
      <c r="F354" s="766">
        <v>230</v>
      </c>
      <c r="G354" s="766">
        <f t="shared" si="298"/>
        <v>1288</v>
      </c>
      <c r="H354" s="385">
        <f t="shared" ref="H354:J354" si="304">F354*5</f>
        <v>1150</v>
      </c>
      <c r="I354" s="385">
        <f t="shared" si="304"/>
        <v>6440</v>
      </c>
      <c r="J354" s="385">
        <f t="shared" si="304"/>
        <v>5750</v>
      </c>
      <c r="K354" s="385">
        <f t="shared" si="300"/>
        <v>32199.999999999996</v>
      </c>
      <c r="L354" s="385">
        <f t="shared" si="301"/>
        <v>2875</v>
      </c>
      <c r="M354" s="385">
        <f t="shared" si="302"/>
        <v>16099.999999999998</v>
      </c>
      <c r="N354" s="385"/>
    </row>
    <row r="355" spans="1:14" ht="13.8">
      <c r="A355" s="333">
        <v>230</v>
      </c>
      <c r="B355" s="333" t="s">
        <v>4382</v>
      </c>
      <c r="C355" s="333">
        <v>20017</v>
      </c>
      <c r="D355" s="333" t="s">
        <v>2685</v>
      </c>
      <c r="E355" s="384" t="s">
        <v>4149</v>
      </c>
      <c r="F355" s="766">
        <v>230</v>
      </c>
      <c r="G355" s="766">
        <f t="shared" si="298"/>
        <v>1380</v>
      </c>
      <c r="H355" s="385">
        <f t="shared" ref="H355:J355" si="305">F355*5</f>
        <v>1150</v>
      </c>
      <c r="I355" s="385">
        <f t="shared" si="305"/>
        <v>6900</v>
      </c>
      <c r="J355" s="385">
        <f t="shared" si="305"/>
        <v>5750</v>
      </c>
      <c r="K355" s="385">
        <f t="shared" si="300"/>
        <v>34500</v>
      </c>
      <c r="L355" s="385">
        <f t="shared" si="301"/>
        <v>2875</v>
      </c>
      <c r="M355" s="385">
        <f t="shared" si="302"/>
        <v>17250</v>
      </c>
      <c r="N355" s="385"/>
    </row>
    <row r="356" spans="1:14" ht="13.8">
      <c r="A356" s="333">
        <v>231</v>
      </c>
      <c r="B356" s="333" t="s">
        <v>4383</v>
      </c>
      <c r="C356" s="333">
        <v>20017</v>
      </c>
      <c r="D356" s="333" t="s">
        <v>2478</v>
      </c>
      <c r="E356" s="384" t="s">
        <v>3882</v>
      </c>
      <c r="F356" s="766">
        <v>230</v>
      </c>
      <c r="G356" s="766">
        <f t="shared" si="298"/>
        <v>1150</v>
      </c>
      <c r="H356" s="385">
        <f t="shared" ref="H356:J356" si="306">F356*5</f>
        <v>1150</v>
      </c>
      <c r="I356" s="385">
        <f t="shared" si="306"/>
        <v>5750</v>
      </c>
      <c r="J356" s="385">
        <f t="shared" si="306"/>
        <v>5750</v>
      </c>
      <c r="K356" s="385">
        <f t="shared" si="300"/>
        <v>28750</v>
      </c>
      <c r="L356" s="385">
        <f t="shared" si="301"/>
        <v>2875</v>
      </c>
      <c r="M356" s="385">
        <f t="shared" si="302"/>
        <v>14375</v>
      </c>
      <c r="N356" s="385"/>
    </row>
    <row r="357" spans="1:14" ht="13.8">
      <c r="A357" s="333">
        <v>232</v>
      </c>
      <c r="B357" s="333" t="s">
        <v>4384</v>
      </c>
      <c r="C357" s="333">
        <v>61353</v>
      </c>
      <c r="D357" s="333" t="s">
        <v>2492</v>
      </c>
      <c r="E357" s="384" t="s">
        <v>4380</v>
      </c>
      <c r="F357" s="766">
        <v>230</v>
      </c>
      <c r="G357" s="766">
        <f t="shared" si="298"/>
        <v>1173</v>
      </c>
      <c r="H357" s="385">
        <f t="shared" ref="H357:J357" si="307">F357*5</f>
        <v>1150</v>
      </c>
      <c r="I357" s="385">
        <f t="shared" si="307"/>
        <v>5865</v>
      </c>
      <c r="J357" s="385">
        <f t="shared" si="307"/>
        <v>5750</v>
      </c>
      <c r="K357" s="385">
        <f t="shared" si="300"/>
        <v>29324.999999999996</v>
      </c>
      <c r="L357" s="385">
        <f t="shared" si="301"/>
        <v>2875</v>
      </c>
      <c r="M357" s="385">
        <f t="shared" si="302"/>
        <v>14662.499999999998</v>
      </c>
      <c r="N357" s="385"/>
    </row>
    <row r="358" spans="1:14" ht="13.8">
      <c r="A358" s="333">
        <v>233</v>
      </c>
      <c r="B358" s="333" t="s">
        <v>4385</v>
      </c>
      <c r="C358" s="333">
        <v>61353</v>
      </c>
      <c r="D358" s="333" t="s">
        <v>2722</v>
      </c>
      <c r="E358" s="384" t="s">
        <v>3829</v>
      </c>
      <c r="F358" s="766">
        <v>230</v>
      </c>
      <c r="G358" s="766">
        <f t="shared" si="298"/>
        <v>1104</v>
      </c>
      <c r="H358" s="385">
        <f t="shared" ref="H358:J358" si="308">F358*5</f>
        <v>1150</v>
      </c>
      <c r="I358" s="385">
        <f t="shared" si="308"/>
        <v>5520</v>
      </c>
      <c r="J358" s="385">
        <f t="shared" si="308"/>
        <v>5750</v>
      </c>
      <c r="K358" s="385">
        <f t="shared" si="300"/>
        <v>27600</v>
      </c>
      <c r="L358" s="385">
        <f t="shared" si="301"/>
        <v>2875</v>
      </c>
      <c r="M358" s="385">
        <f t="shared" si="302"/>
        <v>13800</v>
      </c>
      <c r="N358" s="385"/>
    </row>
    <row r="359" spans="1:14" ht="13.8">
      <c r="A359" s="333">
        <v>234</v>
      </c>
      <c r="B359" s="333" t="s">
        <v>4386</v>
      </c>
      <c r="C359" s="333">
        <v>1452173.2</v>
      </c>
      <c r="D359" s="333" t="s">
        <v>2478</v>
      </c>
      <c r="E359" s="384" t="s">
        <v>4260</v>
      </c>
      <c r="F359" s="766">
        <v>230</v>
      </c>
      <c r="G359" s="766">
        <f t="shared" si="298"/>
        <v>1127</v>
      </c>
      <c r="H359" s="385">
        <f t="shared" ref="H359:J359" si="309">F359*5</f>
        <v>1150</v>
      </c>
      <c r="I359" s="385">
        <f t="shared" si="309"/>
        <v>5635</v>
      </c>
      <c r="J359" s="385">
        <f t="shared" si="309"/>
        <v>5750</v>
      </c>
      <c r="K359" s="385">
        <f t="shared" si="300"/>
        <v>28175.000000000004</v>
      </c>
      <c r="L359" s="385">
        <f t="shared" si="301"/>
        <v>2875</v>
      </c>
      <c r="M359" s="385">
        <f t="shared" si="302"/>
        <v>14087.500000000002</v>
      </c>
      <c r="N359" s="385"/>
    </row>
    <row r="360" spans="1:14" ht="13.8">
      <c r="A360" s="333">
        <v>235</v>
      </c>
      <c r="B360" s="333" t="s">
        <v>4387</v>
      </c>
      <c r="C360" s="333">
        <v>1452173.2</v>
      </c>
      <c r="D360" s="333" t="s">
        <v>2685</v>
      </c>
      <c r="E360" s="384" t="s">
        <v>3882</v>
      </c>
      <c r="F360" s="766">
        <v>230</v>
      </c>
      <c r="G360" s="766">
        <f t="shared" si="298"/>
        <v>1150</v>
      </c>
      <c r="H360" s="385">
        <f t="shared" ref="H360:J360" si="310">F360*5</f>
        <v>1150</v>
      </c>
      <c r="I360" s="385">
        <f t="shared" si="310"/>
        <v>5750</v>
      </c>
      <c r="J360" s="385">
        <f t="shared" si="310"/>
        <v>5750</v>
      </c>
      <c r="K360" s="385">
        <f t="shared" si="300"/>
        <v>28750</v>
      </c>
      <c r="L360" s="385">
        <f t="shared" si="301"/>
        <v>2875</v>
      </c>
      <c r="M360" s="385">
        <f t="shared" si="302"/>
        <v>14375</v>
      </c>
      <c r="N360" s="385"/>
    </row>
    <row r="361" spans="1:14" ht="13.8">
      <c r="A361" s="333">
        <v>236</v>
      </c>
      <c r="B361" s="333" t="s">
        <v>4388</v>
      </c>
      <c r="C361" s="333">
        <v>1452173.2</v>
      </c>
      <c r="D361" s="333" t="s">
        <v>2722</v>
      </c>
      <c r="E361" s="384" t="s">
        <v>3882</v>
      </c>
      <c r="F361" s="766">
        <v>230</v>
      </c>
      <c r="G361" s="766">
        <f t="shared" si="298"/>
        <v>1150</v>
      </c>
      <c r="H361" s="385">
        <f t="shared" ref="H361:J361" si="311">F361*5</f>
        <v>1150</v>
      </c>
      <c r="I361" s="385">
        <f t="shared" si="311"/>
        <v>5750</v>
      </c>
      <c r="J361" s="385">
        <f t="shared" si="311"/>
        <v>5750</v>
      </c>
      <c r="K361" s="385">
        <f t="shared" si="300"/>
        <v>28750</v>
      </c>
      <c r="L361" s="385">
        <f t="shared" si="301"/>
        <v>2875</v>
      </c>
      <c r="M361" s="385">
        <f t="shared" si="302"/>
        <v>14375</v>
      </c>
      <c r="N361" s="385"/>
    </row>
    <row r="362" spans="1:14" ht="13.8">
      <c r="A362" s="1001" t="s">
        <v>318</v>
      </c>
      <c r="B362" s="931"/>
      <c r="C362" s="932"/>
      <c r="D362" s="789">
        <f>COUNTA(D352:D361)</f>
        <v>10</v>
      </c>
      <c r="E362" s="743"/>
      <c r="F362" s="743"/>
      <c r="G362" s="768">
        <f>SUM(G352:G358)</f>
        <v>8418</v>
      </c>
      <c r="H362" s="743"/>
      <c r="I362" s="769">
        <f>G362*5</f>
        <v>42090</v>
      </c>
      <c r="J362" s="869"/>
      <c r="K362" s="870"/>
      <c r="L362" s="870"/>
      <c r="M362" s="870"/>
      <c r="N362" s="870"/>
    </row>
    <row r="363" spans="1:14" ht="13.8">
      <c r="A363" s="331"/>
      <c r="B363" s="334"/>
      <c r="C363" s="334"/>
      <c r="D363" s="331"/>
      <c r="E363" s="334"/>
      <c r="F363" s="331"/>
      <c r="G363" s="863"/>
      <c r="H363" s="331"/>
      <c r="I363" s="864"/>
      <c r="J363" s="343"/>
      <c r="K363" s="344"/>
      <c r="L363" s="344"/>
      <c r="M363" s="344"/>
      <c r="N363" s="344"/>
    </row>
    <row r="364" spans="1:14" ht="13.8">
      <c r="A364" s="331"/>
      <c r="B364" s="334"/>
      <c r="C364" s="334"/>
      <c r="D364" s="331"/>
      <c r="E364" s="334"/>
      <c r="F364" s="331"/>
      <c r="G364" s="863"/>
      <c r="H364" s="331"/>
      <c r="I364" s="864"/>
      <c r="J364" s="343"/>
      <c r="K364" s="344"/>
      <c r="L364" s="344"/>
      <c r="M364" s="344"/>
      <c r="N364" s="344"/>
    </row>
    <row r="365" spans="1:14" ht="13.8">
      <c r="A365" s="331"/>
      <c r="B365" s="334"/>
      <c r="C365" s="334"/>
      <c r="D365" s="331"/>
      <c r="E365" s="334"/>
      <c r="F365" s="331"/>
      <c r="G365" s="863"/>
      <c r="H365" s="331"/>
      <c r="I365" s="864"/>
      <c r="J365" s="343"/>
      <c r="K365" s="344"/>
      <c r="L365" s="344"/>
      <c r="M365" s="344"/>
      <c r="N365" s="344"/>
    </row>
    <row r="366" spans="1:14" ht="13.2">
      <c r="A366" s="1009" t="s">
        <v>83</v>
      </c>
      <c r="B366" s="931"/>
      <c r="C366" s="931"/>
      <c r="D366" s="931"/>
      <c r="E366" s="931"/>
      <c r="F366" s="931"/>
      <c r="G366" s="931"/>
      <c r="H366" s="931"/>
      <c r="I366" s="931"/>
      <c r="J366" s="931"/>
      <c r="K366" s="931"/>
      <c r="L366" s="931"/>
      <c r="M366" s="931"/>
      <c r="N366" s="932"/>
    </row>
    <row r="367" spans="1:14" ht="22.5" customHeight="1">
      <c r="A367" s="396" t="s">
        <v>165</v>
      </c>
      <c r="B367" s="431" t="s">
        <v>166</v>
      </c>
      <c r="C367" s="431" t="s">
        <v>167</v>
      </c>
      <c r="D367" s="346" t="s">
        <v>168</v>
      </c>
      <c r="E367" s="431" t="s">
        <v>169</v>
      </c>
      <c r="F367" s="742" t="s">
        <v>4389</v>
      </c>
      <c r="G367" s="743" t="s">
        <v>4390</v>
      </c>
      <c r="H367" s="744" t="s">
        <v>4391</v>
      </c>
      <c r="I367" s="744" t="s">
        <v>4392</v>
      </c>
      <c r="J367" s="745" t="s">
        <v>4393</v>
      </c>
      <c r="K367" s="745" t="s">
        <v>4394</v>
      </c>
      <c r="L367" s="745" t="s">
        <v>175</v>
      </c>
      <c r="M367" s="745" t="s">
        <v>4395</v>
      </c>
      <c r="N367" s="878" t="s">
        <v>177</v>
      </c>
    </row>
    <row r="368" spans="1:14" ht="13.8">
      <c r="A368" s="333">
        <v>237</v>
      </c>
      <c r="B368" s="333" t="s">
        <v>4396</v>
      </c>
      <c r="C368" s="333" t="s">
        <v>4397</v>
      </c>
      <c r="D368" s="333" t="s">
        <v>4398</v>
      </c>
      <c r="E368" s="384" t="s">
        <v>4251</v>
      </c>
      <c r="F368" s="766">
        <v>195</v>
      </c>
      <c r="G368" s="766">
        <f t="shared" ref="G368:G376" si="312">F368*E368</f>
        <v>1033.5</v>
      </c>
      <c r="H368" s="385">
        <f t="shared" ref="H368:J368" si="313">F368*5</f>
        <v>975</v>
      </c>
      <c r="I368" s="385">
        <f t="shared" si="313"/>
        <v>5167.5</v>
      </c>
      <c r="J368" s="385">
        <f t="shared" si="313"/>
        <v>4875</v>
      </c>
      <c r="K368" s="385">
        <f t="shared" ref="K368:K376" si="314">J368*E368</f>
        <v>25837.5</v>
      </c>
      <c r="L368" s="385">
        <f t="shared" ref="L368:L376" si="315">J368/2</f>
        <v>2437.5</v>
      </c>
      <c r="M368" s="385">
        <f t="shared" ref="M368:M376" si="316">L368*E368</f>
        <v>12918.75</v>
      </c>
      <c r="N368" s="385"/>
    </row>
    <row r="369" spans="1:14" ht="13.8">
      <c r="A369" s="333">
        <v>238</v>
      </c>
      <c r="B369" s="333" t="s">
        <v>4399</v>
      </c>
      <c r="C369" s="333" t="s">
        <v>4400</v>
      </c>
      <c r="D369" s="333" t="s">
        <v>4401</v>
      </c>
      <c r="E369" s="384" t="s">
        <v>4260</v>
      </c>
      <c r="F369" s="766">
        <v>215</v>
      </c>
      <c r="G369" s="766">
        <f t="shared" si="312"/>
        <v>1053.5</v>
      </c>
      <c r="H369" s="385">
        <f t="shared" ref="H369:J369" si="317">F369*5</f>
        <v>1075</v>
      </c>
      <c r="I369" s="385">
        <f t="shared" si="317"/>
        <v>5267.5</v>
      </c>
      <c r="J369" s="385">
        <f t="shared" si="317"/>
        <v>5375</v>
      </c>
      <c r="K369" s="385">
        <f t="shared" si="314"/>
        <v>26337.500000000004</v>
      </c>
      <c r="L369" s="385">
        <f t="shared" si="315"/>
        <v>2687.5</v>
      </c>
      <c r="M369" s="385">
        <f t="shared" si="316"/>
        <v>13168.750000000002</v>
      </c>
      <c r="N369" s="385"/>
    </row>
    <row r="370" spans="1:14" ht="13.8">
      <c r="A370" s="333">
        <v>239</v>
      </c>
      <c r="B370" s="333" t="s">
        <v>4402</v>
      </c>
      <c r="C370" s="333" t="s">
        <v>4403</v>
      </c>
      <c r="D370" s="333" t="s">
        <v>4404</v>
      </c>
      <c r="E370" s="384" t="s">
        <v>4405</v>
      </c>
      <c r="F370" s="766">
        <v>330</v>
      </c>
      <c r="G370" s="766">
        <f t="shared" si="312"/>
        <v>1221</v>
      </c>
      <c r="H370" s="385">
        <f t="shared" ref="H370:J370" si="318">F370*5</f>
        <v>1650</v>
      </c>
      <c r="I370" s="385">
        <f t="shared" si="318"/>
        <v>6105</v>
      </c>
      <c r="J370" s="385">
        <f t="shared" si="318"/>
        <v>8250</v>
      </c>
      <c r="K370" s="385">
        <f t="shared" si="314"/>
        <v>30525</v>
      </c>
      <c r="L370" s="385">
        <f t="shared" si="315"/>
        <v>4125</v>
      </c>
      <c r="M370" s="385">
        <f t="shared" si="316"/>
        <v>15262.5</v>
      </c>
      <c r="N370" s="385"/>
    </row>
    <row r="371" spans="1:14" ht="13.8">
      <c r="A371" s="333">
        <v>240</v>
      </c>
      <c r="B371" s="333" t="s">
        <v>4406</v>
      </c>
      <c r="C371" s="333" t="s">
        <v>4407</v>
      </c>
      <c r="D371" s="333" t="s">
        <v>4408</v>
      </c>
      <c r="E371" s="384" t="s">
        <v>3787</v>
      </c>
      <c r="F371" s="766">
        <v>315</v>
      </c>
      <c r="G371" s="766">
        <f t="shared" si="312"/>
        <v>1417.5</v>
      </c>
      <c r="H371" s="385">
        <f t="shared" ref="H371:J371" si="319">F371*5</f>
        <v>1575</v>
      </c>
      <c r="I371" s="385">
        <f t="shared" si="319"/>
        <v>7087.5</v>
      </c>
      <c r="J371" s="385">
        <f t="shared" si="319"/>
        <v>7875</v>
      </c>
      <c r="K371" s="385">
        <f t="shared" si="314"/>
        <v>35437.5</v>
      </c>
      <c r="L371" s="385">
        <f t="shared" si="315"/>
        <v>3937.5</v>
      </c>
      <c r="M371" s="385">
        <f t="shared" si="316"/>
        <v>17718.75</v>
      </c>
      <c r="N371" s="385"/>
    </row>
    <row r="372" spans="1:14" ht="13.8">
      <c r="A372" s="333">
        <v>241</v>
      </c>
      <c r="B372" s="333" t="s">
        <v>4409</v>
      </c>
      <c r="C372" s="333" t="s">
        <v>4410</v>
      </c>
      <c r="D372" s="333" t="s">
        <v>4411</v>
      </c>
      <c r="E372" s="384" t="s">
        <v>4412</v>
      </c>
      <c r="F372" s="766">
        <v>185</v>
      </c>
      <c r="G372" s="766">
        <f t="shared" si="312"/>
        <v>999.00000000000011</v>
      </c>
      <c r="H372" s="385">
        <f t="shared" ref="H372:J372" si="320">F372*5</f>
        <v>925</v>
      </c>
      <c r="I372" s="385">
        <f t="shared" si="320"/>
        <v>4995.0000000000009</v>
      </c>
      <c r="J372" s="385">
        <f t="shared" si="320"/>
        <v>4625</v>
      </c>
      <c r="K372" s="385">
        <f t="shared" si="314"/>
        <v>24975</v>
      </c>
      <c r="L372" s="385">
        <f t="shared" si="315"/>
        <v>2312.5</v>
      </c>
      <c r="M372" s="385">
        <f t="shared" si="316"/>
        <v>12487.5</v>
      </c>
      <c r="N372" s="385"/>
    </row>
    <row r="373" spans="1:14" ht="13.8">
      <c r="A373" s="333">
        <v>242</v>
      </c>
      <c r="B373" s="333" t="s">
        <v>4413</v>
      </c>
      <c r="C373" s="333" t="s">
        <v>4414</v>
      </c>
      <c r="D373" s="333" t="s">
        <v>4415</v>
      </c>
      <c r="E373" s="384" t="s">
        <v>4212</v>
      </c>
      <c r="F373" s="766">
        <v>245</v>
      </c>
      <c r="G373" s="766">
        <f t="shared" si="312"/>
        <v>1078</v>
      </c>
      <c r="H373" s="385">
        <f t="shared" ref="H373:J373" si="321">F373*5</f>
        <v>1225</v>
      </c>
      <c r="I373" s="385">
        <f t="shared" si="321"/>
        <v>5390</v>
      </c>
      <c r="J373" s="385">
        <f t="shared" si="321"/>
        <v>6125</v>
      </c>
      <c r="K373" s="385">
        <f t="shared" si="314"/>
        <v>26950.000000000004</v>
      </c>
      <c r="L373" s="385">
        <f t="shared" si="315"/>
        <v>3062.5</v>
      </c>
      <c r="M373" s="385">
        <f t="shared" si="316"/>
        <v>13475.000000000002</v>
      </c>
      <c r="N373" s="385"/>
    </row>
    <row r="374" spans="1:14" ht="13.8">
      <c r="A374" s="333">
        <v>243</v>
      </c>
      <c r="B374" s="333" t="s">
        <v>4416</v>
      </c>
      <c r="C374" s="333" t="s">
        <v>4417</v>
      </c>
      <c r="D374" s="333" t="s">
        <v>4418</v>
      </c>
      <c r="E374" s="384" t="s">
        <v>4212</v>
      </c>
      <c r="F374" s="766">
        <v>350</v>
      </c>
      <c r="G374" s="766">
        <f t="shared" si="312"/>
        <v>1540.0000000000002</v>
      </c>
      <c r="H374" s="385">
        <f t="shared" ref="H374:J374" si="322">F374*5</f>
        <v>1750</v>
      </c>
      <c r="I374" s="385">
        <f t="shared" si="322"/>
        <v>7700.0000000000009</v>
      </c>
      <c r="J374" s="385">
        <f t="shared" si="322"/>
        <v>8750</v>
      </c>
      <c r="K374" s="385">
        <f t="shared" si="314"/>
        <v>38500</v>
      </c>
      <c r="L374" s="385">
        <f t="shared" si="315"/>
        <v>4375</v>
      </c>
      <c r="M374" s="385">
        <f t="shared" si="316"/>
        <v>19250</v>
      </c>
      <c r="N374" s="385"/>
    </row>
    <row r="375" spans="1:14" ht="13.8">
      <c r="A375" s="333">
        <v>244</v>
      </c>
      <c r="B375" s="333" t="s">
        <v>4419</v>
      </c>
      <c r="C375" s="333" t="s">
        <v>4420</v>
      </c>
      <c r="D375" s="333" t="s">
        <v>4421</v>
      </c>
      <c r="E375" s="384" t="s">
        <v>4231</v>
      </c>
      <c r="F375" s="766">
        <v>245</v>
      </c>
      <c r="G375" s="766">
        <f t="shared" si="312"/>
        <v>1053.5</v>
      </c>
      <c r="H375" s="385">
        <f t="shared" ref="H375:J375" si="323">F375*5</f>
        <v>1225</v>
      </c>
      <c r="I375" s="385">
        <f t="shared" si="323"/>
        <v>5267.5</v>
      </c>
      <c r="J375" s="385">
        <f t="shared" si="323"/>
        <v>6125</v>
      </c>
      <c r="K375" s="385">
        <f t="shared" si="314"/>
        <v>26337.5</v>
      </c>
      <c r="L375" s="385">
        <f t="shared" si="315"/>
        <v>3062.5</v>
      </c>
      <c r="M375" s="385">
        <f t="shared" si="316"/>
        <v>13168.75</v>
      </c>
      <c r="N375" s="385"/>
    </row>
    <row r="376" spans="1:14" ht="13.8">
      <c r="A376" s="333">
        <v>245</v>
      </c>
      <c r="B376" s="333" t="s">
        <v>4422</v>
      </c>
      <c r="C376" s="333" t="s">
        <v>4423</v>
      </c>
      <c r="D376" s="333" t="s">
        <v>4424</v>
      </c>
      <c r="E376" s="384" t="s">
        <v>4251</v>
      </c>
      <c r="F376" s="766">
        <v>185</v>
      </c>
      <c r="G376" s="766">
        <f t="shared" si="312"/>
        <v>980.5</v>
      </c>
      <c r="H376" s="385">
        <f t="shared" ref="H376:J376" si="324">F376*5</f>
        <v>925</v>
      </c>
      <c r="I376" s="385">
        <f t="shared" si="324"/>
        <v>4902.5</v>
      </c>
      <c r="J376" s="385">
        <f t="shared" si="324"/>
        <v>4625</v>
      </c>
      <c r="K376" s="385">
        <f t="shared" si="314"/>
        <v>24512.5</v>
      </c>
      <c r="L376" s="385">
        <f t="shared" si="315"/>
        <v>2312.5</v>
      </c>
      <c r="M376" s="385">
        <f t="shared" si="316"/>
        <v>12256.25</v>
      </c>
      <c r="N376" s="385"/>
    </row>
    <row r="377" spans="1:14" ht="14.4">
      <c r="A377" s="1001" t="s">
        <v>318</v>
      </c>
      <c r="B377" s="931"/>
      <c r="C377" s="932"/>
      <c r="D377" s="789">
        <f>COUNTA(D368:D376)</f>
        <v>9</v>
      </c>
      <c r="E377" s="879"/>
      <c r="F377" s="879"/>
      <c r="G377" s="768">
        <f>SUM(G368:G373)</f>
        <v>6802.5</v>
      </c>
      <c r="H377" s="879"/>
      <c r="I377" s="769">
        <f>G377*5</f>
        <v>34012.5</v>
      </c>
      <c r="J377" s="880"/>
      <c r="K377" s="881"/>
      <c r="L377" s="881"/>
      <c r="M377" s="881"/>
      <c r="N377" s="881"/>
    </row>
    <row r="378" spans="1:14" ht="13.8">
      <c r="A378" s="331"/>
      <c r="B378" s="334"/>
      <c r="C378" s="334"/>
      <c r="D378" s="331"/>
      <c r="E378" s="334"/>
      <c r="F378" s="331"/>
      <c r="G378" s="863"/>
      <c r="H378" s="331"/>
      <c r="I378" s="864"/>
      <c r="J378" s="343"/>
      <c r="K378" s="344"/>
      <c r="L378" s="344"/>
      <c r="M378" s="344"/>
      <c r="N378" s="344"/>
    </row>
    <row r="379" spans="1:14" ht="13.8">
      <c r="A379" s="331"/>
      <c r="B379" s="334"/>
      <c r="C379" s="334"/>
      <c r="D379" s="331"/>
      <c r="E379" s="334"/>
      <c r="F379" s="331"/>
      <c r="G379" s="863"/>
      <c r="H379" s="331"/>
      <c r="I379" s="864"/>
      <c r="J379" s="343"/>
      <c r="K379" s="344"/>
      <c r="L379" s="344"/>
      <c r="M379" s="344"/>
      <c r="N379" s="344"/>
    </row>
    <row r="380" spans="1:14" ht="13.8">
      <c r="A380" s="331"/>
      <c r="B380" s="334"/>
      <c r="C380" s="334"/>
      <c r="D380" s="331"/>
      <c r="E380" s="334"/>
      <c r="F380" s="331"/>
      <c r="G380" s="863"/>
      <c r="H380" s="331"/>
      <c r="I380" s="864"/>
      <c r="J380" s="343"/>
      <c r="K380" s="344"/>
      <c r="L380" s="344"/>
      <c r="M380" s="344"/>
      <c r="N380" s="344"/>
    </row>
    <row r="381" spans="1:14" ht="13.2">
      <c r="A381" s="1009" t="s">
        <v>84</v>
      </c>
      <c r="B381" s="931"/>
      <c r="C381" s="931"/>
      <c r="D381" s="931"/>
      <c r="E381" s="931"/>
      <c r="F381" s="931"/>
      <c r="G381" s="931"/>
      <c r="H381" s="931"/>
      <c r="I381" s="931"/>
      <c r="J381" s="931"/>
      <c r="K381" s="931"/>
      <c r="L381" s="931"/>
      <c r="M381" s="931"/>
      <c r="N381" s="932"/>
    </row>
    <row r="382" spans="1:14" ht="22.5" customHeight="1">
      <c r="A382" s="396" t="s">
        <v>165</v>
      </c>
      <c r="B382" s="431" t="s">
        <v>166</v>
      </c>
      <c r="C382" s="431" t="s">
        <v>167</v>
      </c>
      <c r="D382" s="346" t="s">
        <v>168</v>
      </c>
      <c r="E382" s="431" t="s">
        <v>169</v>
      </c>
      <c r="F382" s="742" t="s">
        <v>4425</v>
      </c>
      <c r="G382" s="743" t="s">
        <v>4426</v>
      </c>
      <c r="H382" s="744" t="s">
        <v>4427</v>
      </c>
      <c r="I382" s="744" t="s">
        <v>4428</v>
      </c>
      <c r="J382" s="745" t="s">
        <v>4429</v>
      </c>
      <c r="K382" s="745" t="s">
        <v>4430</v>
      </c>
      <c r="L382" s="745" t="s">
        <v>175</v>
      </c>
      <c r="M382" s="745" t="s">
        <v>4431</v>
      </c>
      <c r="N382" s="878" t="s">
        <v>177</v>
      </c>
    </row>
    <row r="383" spans="1:14" ht="13.8">
      <c r="A383" s="333">
        <v>246</v>
      </c>
      <c r="B383" s="333" t="s">
        <v>4432</v>
      </c>
      <c r="C383" s="333">
        <v>85536</v>
      </c>
      <c r="D383" s="333" t="s">
        <v>4433</v>
      </c>
      <c r="E383" s="384" t="s">
        <v>3882</v>
      </c>
      <c r="F383" s="766">
        <v>110</v>
      </c>
      <c r="G383" s="766">
        <f t="shared" ref="G383:G390" si="325">F383*E383</f>
        <v>550</v>
      </c>
      <c r="H383" s="385">
        <f t="shared" ref="H383:J383" si="326">F383*5</f>
        <v>550</v>
      </c>
      <c r="I383" s="385">
        <f t="shared" si="326"/>
        <v>2750</v>
      </c>
      <c r="J383" s="385">
        <f t="shared" si="326"/>
        <v>2750</v>
      </c>
      <c r="K383" s="385">
        <f t="shared" ref="K383:K390" si="327">J383*E383</f>
        <v>13750</v>
      </c>
      <c r="L383" s="385">
        <f t="shared" ref="L383:L390" si="328">J383/2</f>
        <v>1375</v>
      </c>
      <c r="M383" s="385">
        <f t="shared" ref="M383:M390" si="329">L383*E383</f>
        <v>6875</v>
      </c>
      <c r="N383" s="385"/>
    </row>
    <row r="384" spans="1:14" ht="13.8">
      <c r="A384" s="333">
        <v>247</v>
      </c>
      <c r="B384" s="333" t="s">
        <v>4434</v>
      </c>
      <c r="C384" s="333" t="s">
        <v>4435</v>
      </c>
      <c r="D384" s="333" t="s">
        <v>4436</v>
      </c>
      <c r="E384" s="384" t="s">
        <v>3882</v>
      </c>
      <c r="F384" s="766">
        <v>110</v>
      </c>
      <c r="G384" s="766">
        <f t="shared" si="325"/>
        <v>550</v>
      </c>
      <c r="H384" s="385">
        <f t="shared" ref="H384:J384" si="330">F384*5</f>
        <v>550</v>
      </c>
      <c r="I384" s="385">
        <f t="shared" si="330"/>
        <v>2750</v>
      </c>
      <c r="J384" s="385">
        <f t="shared" si="330"/>
        <v>2750</v>
      </c>
      <c r="K384" s="385">
        <f t="shared" si="327"/>
        <v>13750</v>
      </c>
      <c r="L384" s="385">
        <f t="shared" si="328"/>
        <v>1375</v>
      </c>
      <c r="M384" s="385">
        <f t="shared" si="329"/>
        <v>6875</v>
      </c>
      <c r="N384" s="385"/>
    </row>
    <row r="385" spans="1:14" ht="13.8">
      <c r="A385" s="333">
        <v>248</v>
      </c>
      <c r="B385" s="333" t="s">
        <v>4437</v>
      </c>
      <c r="C385" s="333">
        <v>85573</v>
      </c>
      <c r="D385" s="333" t="s">
        <v>4433</v>
      </c>
      <c r="E385" s="384" t="s">
        <v>3882</v>
      </c>
      <c r="F385" s="766">
        <v>110</v>
      </c>
      <c r="G385" s="766">
        <f t="shared" si="325"/>
        <v>550</v>
      </c>
      <c r="H385" s="385">
        <f t="shared" ref="H385:J385" si="331">F385*5</f>
        <v>550</v>
      </c>
      <c r="I385" s="385">
        <f t="shared" si="331"/>
        <v>2750</v>
      </c>
      <c r="J385" s="385">
        <f t="shared" si="331"/>
        <v>2750</v>
      </c>
      <c r="K385" s="385">
        <f t="shared" si="327"/>
        <v>13750</v>
      </c>
      <c r="L385" s="385">
        <f t="shared" si="328"/>
        <v>1375</v>
      </c>
      <c r="M385" s="385">
        <f t="shared" si="329"/>
        <v>6875</v>
      </c>
      <c r="N385" s="385"/>
    </row>
    <row r="386" spans="1:14" ht="13.8">
      <c r="A386" s="333">
        <v>249</v>
      </c>
      <c r="B386" s="333" t="s">
        <v>4438</v>
      </c>
      <c r="C386" s="333" t="s">
        <v>4439</v>
      </c>
      <c r="D386" s="333" t="s">
        <v>4440</v>
      </c>
      <c r="E386" s="384" t="s">
        <v>3882</v>
      </c>
      <c r="F386" s="766">
        <v>110</v>
      </c>
      <c r="G386" s="766">
        <f t="shared" si="325"/>
        <v>550</v>
      </c>
      <c r="H386" s="385">
        <f t="shared" ref="H386:J386" si="332">F386*5</f>
        <v>550</v>
      </c>
      <c r="I386" s="385">
        <f t="shared" si="332"/>
        <v>2750</v>
      </c>
      <c r="J386" s="385">
        <f t="shared" si="332"/>
        <v>2750</v>
      </c>
      <c r="K386" s="385">
        <f t="shared" si="327"/>
        <v>13750</v>
      </c>
      <c r="L386" s="385">
        <f t="shared" si="328"/>
        <v>1375</v>
      </c>
      <c r="M386" s="385">
        <f t="shared" si="329"/>
        <v>6875</v>
      </c>
      <c r="N386" s="385"/>
    </row>
    <row r="387" spans="1:14" ht="13.8">
      <c r="A387" s="333">
        <v>250</v>
      </c>
      <c r="B387" s="333" t="s">
        <v>4441</v>
      </c>
      <c r="C387" s="333">
        <v>83520</v>
      </c>
      <c r="D387" s="333" t="s">
        <v>4442</v>
      </c>
      <c r="E387" s="384" t="s">
        <v>3882</v>
      </c>
      <c r="F387" s="766">
        <v>135</v>
      </c>
      <c r="G387" s="766">
        <f t="shared" si="325"/>
        <v>675</v>
      </c>
      <c r="H387" s="385">
        <f t="shared" ref="H387:J387" si="333">F387*5</f>
        <v>675</v>
      </c>
      <c r="I387" s="385">
        <f t="shared" si="333"/>
        <v>3375</v>
      </c>
      <c r="J387" s="385">
        <f t="shared" si="333"/>
        <v>3375</v>
      </c>
      <c r="K387" s="385">
        <f t="shared" si="327"/>
        <v>16875</v>
      </c>
      <c r="L387" s="385">
        <f t="shared" si="328"/>
        <v>1687.5</v>
      </c>
      <c r="M387" s="385">
        <f t="shared" si="329"/>
        <v>8437.5</v>
      </c>
      <c r="N387" s="385"/>
    </row>
    <row r="388" spans="1:14" ht="13.8">
      <c r="A388" s="333">
        <v>251</v>
      </c>
      <c r="B388" s="333" t="s">
        <v>4443</v>
      </c>
      <c r="C388" s="333">
        <v>85536</v>
      </c>
      <c r="D388" s="333" t="s">
        <v>4444</v>
      </c>
      <c r="E388" s="384" t="s">
        <v>3882</v>
      </c>
      <c r="F388" s="766">
        <v>135</v>
      </c>
      <c r="G388" s="766">
        <f t="shared" si="325"/>
        <v>675</v>
      </c>
      <c r="H388" s="385">
        <f t="shared" ref="H388:J388" si="334">F388*5</f>
        <v>675</v>
      </c>
      <c r="I388" s="385">
        <f t="shared" si="334"/>
        <v>3375</v>
      </c>
      <c r="J388" s="385">
        <f t="shared" si="334"/>
        <v>3375</v>
      </c>
      <c r="K388" s="385">
        <f t="shared" si="327"/>
        <v>16875</v>
      </c>
      <c r="L388" s="385">
        <f t="shared" si="328"/>
        <v>1687.5</v>
      </c>
      <c r="M388" s="385">
        <f t="shared" si="329"/>
        <v>8437.5</v>
      </c>
      <c r="N388" s="385"/>
    </row>
    <row r="389" spans="1:14" ht="13.8">
      <c r="A389" s="333">
        <v>252</v>
      </c>
      <c r="B389" s="333" t="s">
        <v>4445</v>
      </c>
      <c r="C389" s="333">
        <v>55089</v>
      </c>
      <c r="D389" s="333" t="s">
        <v>4446</v>
      </c>
      <c r="E389" s="384" t="s">
        <v>3882</v>
      </c>
      <c r="F389" s="766">
        <v>135</v>
      </c>
      <c r="G389" s="766">
        <f t="shared" si="325"/>
        <v>675</v>
      </c>
      <c r="H389" s="385">
        <f t="shared" ref="H389:J389" si="335">F389*5</f>
        <v>675</v>
      </c>
      <c r="I389" s="385">
        <f t="shared" si="335"/>
        <v>3375</v>
      </c>
      <c r="J389" s="385">
        <f t="shared" si="335"/>
        <v>3375</v>
      </c>
      <c r="K389" s="385">
        <f t="shared" si="327"/>
        <v>16875</v>
      </c>
      <c r="L389" s="385">
        <f t="shared" si="328"/>
        <v>1687.5</v>
      </c>
      <c r="M389" s="385">
        <f t="shared" si="329"/>
        <v>8437.5</v>
      </c>
      <c r="N389" s="385"/>
    </row>
    <row r="390" spans="1:14" ht="13.8">
      <c r="A390" s="333">
        <v>253</v>
      </c>
      <c r="B390" s="333" t="s">
        <v>4447</v>
      </c>
      <c r="C390" s="333">
        <v>63155</v>
      </c>
      <c r="D390" s="333" t="s">
        <v>4448</v>
      </c>
      <c r="E390" s="384" t="s">
        <v>3882</v>
      </c>
      <c r="F390" s="766">
        <v>135</v>
      </c>
      <c r="G390" s="766">
        <f t="shared" si="325"/>
        <v>675</v>
      </c>
      <c r="H390" s="385">
        <f t="shared" ref="H390:J390" si="336">F390*5</f>
        <v>675</v>
      </c>
      <c r="I390" s="385">
        <f t="shared" si="336"/>
        <v>3375</v>
      </c>
      <c r="J390" s="385">
        <f t="shared" si="336"/>
        <v>3375</v>
      </c>
      <c r="K390" s="385">
        <f t="shared" si="327"/>
        <v>16875</v>
      </c>
      <c r="L390" s="385">
        <f t="shared" si="328"/>
        <v>1687.5</v>
      </c>
      <c r="M390" s="385">
        <f t="shared" si="329"/>
        <v>8437.5</v>
      </c>
      <c r="N390" s="385"/>
    </row>
    <row r="391" spans="1:14" ht="14.4">
      <c r="A391" s="1001" t="s">
        <v>318</v>
      </c>
      <c r="B391" s="931"/>
      <c r="C391" s="932"/>
      <c r="D391" s="882">
        <f>COUNTA(D383:D390)</f>
        <v>8</v>
      </c>
      <c r="E391" s="879"/>
      <c r="F391" s="879"/>
      <c r="G391" s="768">
        <f>SUM(G383:G390)</f>
        <v>4900</v>
      </c>
      <c r="H391" s="879"/>
      <c r="I391" s="769">
        <f>SUM(I383:I390)</f>
        <v>24500</v>
      </c>
      <c r="J391" s="881"/>
      <c r="K391" s="881"/>
      <c r="L391" s="881"/>
      <c r="M391" s="881"/>
      <c r="N391" s="881"/>
    </row>
    <row r="392" spans="1:14" ht="13.8">
      <c r="A392" s="331"/>
      <c r="B392" s="334"/>
      <c r="C392" s="334"/>
      <c r="D392" s="331"/>
      <c r="E392" s="334"/>
      <c r="F392" s="331"/>
      <c r="G392" s="863"/>
      <c r="H392" s="331"/>
      <c r="I392" s="864"/>
      <c r="J392" s="343"/>
      <c r="K392" s="344"/>
      <c r="L392" s="344"/>
      <c r="M392" s="344"/>
      <c r="N392" s="344"/>
    </row>
    <row r="393" spans="1:14" ht="13.8">
      <c r="A393" s="331"/>
      <c r="B393" s="334"/>
      <c r="C393" s="334"/>
      <c r="D393" s="331"/>
      <c r="E393" s="334"/>
      <c r="F393" s="331"/>
      <c r="G393" s="863"/>
      <c r="H393" s="331"/>
      <c r="I393" s="864"/>
      <c r="J393" s="343"/>
      <c r="K393" s="344"/>
      <c r="L393" s="344"/>
      <c r="M393" s="344"/>
      <c r="N393" s="344"/>
    </row>
    <row r="394" spans="1:14" ht="13.8">
      <c r="A394" s="331"/>
      <c r="B394" s="334"/>
      <c r="C394" s="334"/>
      <c r="D394" s="331"/>
      <c r="E394" s="334"/>
      <c r="F394" s="331"/>
      <c r="G394" s="863"/>
      <c r="H394" s="331"/>
      <c r="I394" s="864"/>
      <c r="J394" s="343"/>
      <c r="K394" s="344"/>
      <c r="L394" s="344"/>
      <c r="M394" s="344"/>
      <c r="N394" s="344"/>
    </row>
    <row r="395" spans="1:14" ht="13.2">
      <c r="A395" s="1009" t="s">
        <v>4449</v>
      </c>
      <c r="B395" s="931"/>
      <c r="C395" s="931"/>
      <c r="D395" s="931"/>
      <c r="E395" s="931"/>
      <c r="F395" s="931"/>
      <c r="G395" s="931"/>
      <c r="H395" s="931"/>
      <c r="I395" s="931"/>
      <c r="J395" s="931"/>
      <c r="K395" s="931"/>
      <c r="L395" s="931"/>
      <c r="M395" s="931"/>
      <c r="N395" s="932"/>
    </row>
    <row r="396" spans="1:14" ht="22.5" customHeight="1">
      <c r="A396" s="396" t="s">
        <v>165</v>
      </c>
      <c r="B396" s="431" t="s">
        <v>166</v>
      </c>
      <c r="C396" s="431" t="s">
        <v>167</v>
      </c>
      <c r="D396" s="346" t="s">
        <v>168</v>
      </c>
      <c r="E396" s="431" t="s">
        <v>169</v>
      </c>
      <c r="F396" s="742" t="s">
        <v>4450</v>
      </c>
      <c r="G396" s="743" t="s">
        <v>4451</v>
      </c>
      <c r="H396" s="744" t="s">
        <v>4452</v>
      </c>
      <c r="I396" s="744" t="s">
        <v>4453</v>
      </c>
      <c r="J396" s="745" t="s">
        <v>4454</v>
      </c>
      <c r="K396" s="745" t="s">
        <v>4455</v>
      </c>
      <c r="L396" s="745" t="s">
        <v>175</v>
      </c>
      <c r="M396" s="745" t="s">
        <v>4456</v>
      </c>
      <c r="N396" s="878" t="s">
        <v>177</v>
      </c>
    </row>
    <row r="397" spans="1:14" ht="13.8">
      <c r="A397" s="333">
        <v>254</v>
      </c>
      <c r="B397" s="333" t="s">
        <v>4457</v>
      </c>
      <c r="C397" s="333" t="s">
        <v>4458</v>
      </c>
      <c r="D397" s="333" t="s">
        <v>4459</v>
      </c>
      <c r="E397" s="384" t="s">
        <v>3933</v>
      </c>
      <c r="F397" s="766">
        <v>120</v>
      </c>
      <c r="G397" s="766">
        <f t="shared" ref="G397:G403" si="337">F397*E397</f>
        <v>804</v>
      </c>
      <c r="H397" s="385">
        <f t="shared" ref="H397:J397" si="338">F397*5</f>
        <v>600</v>
      </c>
      <c r="I397" s="385">
        <f t="shared" si="338"/>
        <v>4020</v>
      </c>
      <c r="J397" s="385">
        <f t="shared" si="338"/>
        <v>3000</v>
      </c>
      <c r="K397" s="385">
        <f t="shared" ref="K397:K403" si="339">J397*E397</f>
        <v>20100</v>
      </c>
      <c r="L397" s="385">
        <f t="shared" ref="L397:L403" si="340">J397/2</f>
        <v>1500</v>
      </c>
      <c r="M397" s="385">
        <f t="shared" ref="M397:M403" si="341">L397*E397</f>
        <v>10050</v>
      </c>
      <c r="N397" s="385"/>
    </row>
    <row r="398" spans="1:14" ht="13.8">
      <c r="A398" s="333">
        <v>255</v>
      </c>
      <c r="B398" s="333" t="s">
        <v>4460</v>
      </c>
      <c r="C398" s="333" t="s">
        <v>4458</v>
      </c>
      <c r="D398" s="333" t="s">
        <v>4461</v>
      </c>
      <c r="E398" s="384" t="s">
        <v>3937</v>
      </c>
      <c r="F398" s="766">
        <v>120</v>
      </c>
      <c r="G398" s="766">
        <f t="shared" si="337"/>
        <v>816</v>
      </c>
      <c r="H398" s="385">
        <f t="shared" ref="H398:J398" si="342">F398*5</f>
        <v>600</v>
      </c>
      <c r="I398" s="385">
        <f t="shared" si="342"/>
        <v>4080</v>
      </c>
      <c r="J398" s="385">
        <f t="shared" si="342"/>
        <v>3000</v>
      </c>
      <c r="K398" s="385">
        <f t="shared" si="339"/>
        <v>20400</v>
      </c>
      <c r="L398" s="385">
        <f t="shared" si="340"/>
        <v>1500</v>
      </c>
      <c r="M398" s="385">
        <f t="shared" si="341"/>
        <v>10200</v>
      </c>
      <c r="N398" s="385"/>
    </row>
    <row r="399" spans="1:14" ht="13.8">
      <c r="A399" s="333">
        <v>256</v>
      </c>
      <c r="B399" s="333" t="s">
        <v>4462</v>
      </c>
      <c r="C399" s="333" t="s">
        <v>4458</v>
      </c>
      <c r="D399" s="333" t="s">
        <v>4463</v>
      </c>
      <c r="E399" s="384" t="s">
        <v>3839</v>
      </c>
      <c r="F399" s="766">
        <v>120</v>
      </c>
      <c r="G399" s="766">
        <f t="shared" si="337"/>
        <v>840</v>
      </c>
      <c r="H399" s="385">
        <f t="shared" ref="H399:J399" si="343">F399*5</f>
        <v>600</v>
      </c>
      <c r="I399" s="385">
        <f t="shared" si="343"/>
        <v>4200</v>
      </c>
      <c r="J399" s="385">
        <f t="shared" si="343"/>
        <v>3000</v>
      </c>
      <c r="K399" s="385">
        <f t="shared" si="339"/>
        <v>21000</v>
      </c>
      <c r="L399" s="385">
        <f t="shared" si="340"/>
        <v>1500</v>
      </c>
      <c r="M399" s="385">
        <f t="shared" si="341"/>
        <v>10500</v>
      </c>
      <c r="N399" s="385"/>
    </row>
    <row r="400" spans="1:14" ht="27.6">
      <c r="A400" s="333">
        <v>257</v>
      </c>
      <c r="B400" s="333" t="s">
        <v>4464</v>
      </c>
      <c r="C400" s="333" t="s">
        <v>4458</v>
      </c>
      <c r="D400" s="333" t="s">
        <v>4465</v>
      </c>
      <c r="E400" s="384" t="s">
        <v>3933</v>
      </c>
      <c r="F400" s="766">
        <v>120</v>
      </c>
      <c r="G400" s="766">
        <f t="shared" si="337"/>
        <v>804</v>
      </c>
      <c r="H400" s="385">
        <f t="shared" ref="H400:J400" si="344">F400*5</f>
        <v>600</v>
      </c>
      <c r="I400" s="385">
        <f t="shared" si="344"/>
        <v>4020</v>
      </c>
      <c r="J400" s="385">
        <f t="shared" si="344"/>
        <v>3000</v>
      </c>
      <c r="K400" s="385">
        <f t="shared" si="339"/>
        <v>20100</v>
      </c>
      <c r="L400" s="385">
        <f t="shared" si="340"/>
        <v>1500</v>
      </c>
      <c r="M400" s="385">
        <f t="shared" si="341"/>
        <v>10050</v>
      </c>
      <c r="N400" s="385"/>
    </row>
    <row r="401" spans="1:14" ht="13.8">
      <c r="A401" s="333">
        <v>258</v>
      </c>
      <c r="B401" s="333" t="s">
        <v>4466</v>
      </c>
      <c r="C401" s="333" t="s">
        <v>4467</v>
      </c>
      <c r="D401" s="333" t="s">
        <v>4468</v>
      </c>
      <c r="E401" s="384" t="s">
        <v>3773</v>
      </c>
      <c r="F401" s="766">
        <v>120</v>
      </c>
      <c r="G401" s="766">
        <f t="shared" si="337"/>
        <v>828</v>
      </c>
      <c r="H401" s="385">
        <f t="shared" ref="H401:J401" si="345">F401*5</f>
        <v>600</v>
      </c>
      <c r="I401" s="385">
        <f t="shared" si="345"/>
        <v>4140</v>
      </c>
      <c r="J401" s="385">
        <f t="shared" si="345"/>
        <v>3000</v>
      </c>
      <c r="K401" s="385">
        <f t="shared" si="339"/>
        <v>20700</v>
      </c>
      <c r="L401" s="385">
        <f t="shared" si="340"/>
        <v>1500</v>
      </c>
      <c r="M401" s="385">
        <f t="shared" si="341"/>
        <v>10350</v>
      </c>
      <c r="N401" s="385"/>
    </row>
    <row r="402" spans="1:14" ht="13.8">
      <c r="A402" s="333">
        <v>259</v>
      </c>
      <c r="B402" s="333" t="s">
        <v>4469</v>
      </c>
      <c r="C402" s="333">
        <v>31034</v>
      </c>
      <c r="D402" s="333" t="s">
        <v>4468</v>
      </c>
      <c r="E402" s="384" t="s">
        <v>3941</v>
      </c>
      <c r="F402" s="766">
        <v>100</v>
      </c>
      <c r="G402" s="766">
        <f t="shared" si="337"/>
        <v>660</v>
      </c>
      <c r="H402" s="385">
        <f t="shared" ref="H402:J402" si="346">F402*5</f>
        <v>500</v>
      </c>
      <c r="I402" s="385">
        <f t="shared" si="346"/>
        <v>3300</v>
      </c>
      <c r="J402" s="385">
        <f t="shared" si="346"/>
        <v>2500</v>
      </c>
      <c r="K402" s="385">
        <f t="shared" si="339"/>
        <v>16500</v>
      </c>
      <c r="L402" s="385">
        <f t="shared" si="340"/>
        <v>1250</v>
      </c>
      <c r="M402" s="385">
        <f t="shared" si="341"/>
        <v>8250</v>
      </c>
      <c r="N402" s="385"/>
    </row>
    <row r="403" spans="1:14" ht="13.8">
      <c r="A403" s="333">
        <v>260</v>
      </c>
      <c r="B403" s="333" t="s">
        <v>4470</v>
      </c>
      <c r="C403" s="333">
        <v>31004</v>
      </c>
      <c r="D403" s="333" t="s">
        <v>4459</v>
      </c>
      <c r="E403" s="384" t="s">
        <v>3821</v>
      </c>
      <c r="F403" s="766">
        <v>130</v>
      </c>
      <c r="G403" s="766">
        <f t="shared" si="337"/>
        <v>949</v>
      </c>
      <c r="H403" s="385">
        <f t="shared" ref="H403:J403" si="347">F403*5</f>
        <v>650</v>
      </c>
      <c r="I403" s="385">
        <f t="shared" si="347"/>
        <v>4745</v>
      </c>
      <c r="J403" s="385">
        <f t="shared" si="347"/>
        <v>3250</v>
      </c>
      <c r="K403" s="385">
        <f t="shared" si="339"/>
        <v>23725</v>
      </c>
      <c r="L403" s="385">
        <f t="shared" si="340"/>
        <v>1625</v>
      </c>
      <c r="M403" s="385">
        <f t="shared" si="341"/>
        <v>11862.5</v>
      </c>
      <c r="N403" s="385"/>
    </row>
    <row r="404" spans="1:14" ht="14.4">
      <c r="A404" s="1001" t="s">
        <v>318</v>
      </c>
      <c r="B404" s="931"/>
      <c r="C404" s="932"/>
      <c r="D404" s="882">
        <f>COUNTA(D397:D403)</f>
        <v>7</v>
      </c>
      <c r="E404" s="879"/>
      <c r="F404" s="879"/>
      <c r="G404" s="768">
        <f>SUM(G397:G403)</f>
        <v>5701</v>
      </c>
      <c r="H404" s="879"/>
      <c r="I404" s="769">
        <f>SUM(I397:I403)</f>
        <v>28505</v>
      </c>
      <c r="J404" s="880"/>
      <c r="K404" s="881"/>
      <c r="L404" s="881"/>
      <c r="M404" s="881"/>
      <c r="N404" s="881"/>
    </row>
    <row r="405" spans="1:14" ht="13.8">
      <c r="A405" s="331"/>
      <c r="B405" s="334"/>
      <c r="C405" s="334"/>
      <c r="D405" s="331"/>
      <c r="E405" s="334"/>
      <c r="F405" s="331"/>
      <c r="G405" s="863"/>
      <c r="H405" s="331"/>
      <c r="I405" s="864"/>
      <c r="J405" s="343"/>
      <c r="K405" s="344"/>
      <c r="L405" s="344"/>
      <c r="M405" s="344"/>
      <c r="N405" s="344"/>
    </row>
    <row r="406" spans="1:14" ht="13.8">
      <c r="A406" s="331"/>
      <c r="B406" s="334"/>
      <c r="C406" s="334"/>
      <c r="D406" s="331"/>
      <c r="E406" s="334"/>
      <c r="F406" s="331"/>
      <c r="G406" s="863"/>
      <c r="H406" s="331"/>
      <c r="I406" s="864"/>
      <c r="J406" s="343"/>
      <c r="K406" s="344"/>
      <c r="L406" s="344"/>
      <c r="M406" s="344"/>
      <c r="N406" s="344"/>
    </row>
    <row r="407" spans="1:14" ht="13.8">
      <c r="A407" s="331"/>
      <c r="B407" s="334"/>
      <c r="C407" s="334"/>
      <c r="D407" s="331"/>
      <c r="E407" s="334"/>
      <c r="F407" s="331"/>
      <c r="G407" s="863"/>
      <c r="H407" s="331"/>
      <c r="I407" s="864"/>
      <c r="J407" s="343"/>
      <c r="K407" s="344"/>
      <c r="L407" s="344"/>
      <c r="M407" s="344"/>
      <c r="N407" s="344"/>
    </row>
    <row r="408" spans="1:14" ht="13.2">
      <c r="A408" s="1009" t="s">
        <v>86</v>
      </c>
      <c r="B408" s="931"/>
      <c r="C408" s="931"/>
      <c r="D408" s="931"/>
      <c r="E408" s="931"/>
      <c r="F408" s="931"/>
      <c r="G408" s="931"/>
      <c r="H408" s="931"/>
      <c r="I408" s="931"/>
      <c r="J408" s="931"/>
      <c r="K408" s="931"/>
      <c r="L408" s="931"/>
      <c r="M408" s="931"/>
      <c r="N408" s="932"/>
    </row>
    <row r="409" spans="1:14" ht="22.5" customHeight="1">
      <c r="A409" s="396" t="s">
        <v>165</v>
      </c>
      <c r="B409" s="431" t="s">
        <v>166</v>
      </c>
      <c r="C409" s="431" t="s">
        <v>167</v>
      </c>
      <c r="D409" s="346" t="s">
        <v>168</v>
      </c>
      <c r="E409" s="431" t="s">
        <v>169</v>
      </c>
      <c r="F409" s="742" t="s">
        <v>4471</v>
      </c>
      <c r="G409" s="743" t="s">
        <v>4472</v>
      </c>
      <c r="H409" s="744" t="s">
        <v>4473</v>
      </c>
      <c r="I409" s="744" t="s">
        <v>4474</v>
      </c>
      <c r="J409" s="745" t="s">
        <v>4475</v>
      </c>
      <c r="K409" s="745" t="s">
        <v>4476</v>
      </c>
      <c r="L409" s="745" t="s">
        <v>175</v>
      </c>
      <c r="M409" s="745" t="s">
        <v>4477</v>
      </c>
      <c r="N409" s="878" t="s">
        <v>177</v>
      </c>
    </row>
    <row r="410" spans="1:14" ht="13.8">
      <c r="A410" s="333">
        <v>261</v>
      </c>
      <c r="B410" s="333" t="s">
        <v>4478</v>
      </c>
      <c r="C410" s="333" t="s">
        <v>4479</v>
      </c>
      <c r="D410" s="333" t="s">
        <v>4480</v>
      </c>
      <c r="E410" s="384" t="s">
        <v>3882</v>
      </c>
      <c r="F410" s="766">
        <v>90</v>
      </c>
      <c r="G410" s="766">
        <f t="shared" ref="G410:G414" si="348">F410*E410</f>
        <v>450</v>
      </c>
      <c r="H410" s="385">
        <f t="shared" ref="H410:J410" si="349">F410*5</f>
        <v>450</v>
      </c>
      <c r="I410" s="385">
        <f t="shared" si="349"/>
        <v>2250</v>
      </c>
      <c r="J410" s="385">
        <f t="shared" si="349"/>
        <v>2250</v>
      </c>
      <c r="K410" s="385">
        <f t="shared" ref="K410:K414" si="350">J410*E410</f>
        <v>11250</v>
      </c>
      <c r="L410" s="385">
        <f t="shared" ref="L410:L414" si="351">J410/2</f>
        <v>1125</v>
      </c>
      <c r="M410" s="385">
        <f t="shared" ref="M410:M414" si="352">L410*E410</f>
        <v>5625</v>
      </c>
      <c r="N410" s="385"/>
    </row>
    <row r="411" spans="1:14" ht="13.8">
      <c r="A411" s="333">
        <v>262</v>
      </c>
      <c r="B411" s="333" t="s">
        <v>4481</v>
      </c>
      <c r="C411" s="333" t="s">
        <v>4482</v>
      </c>
      <c r="D411" s="333" t="s">
        <v>4483</v>
      </c>
      <c r="E411" s="384" t="s">
        <v>3882</v>
      </c>
      <c r="F411" s="766">
        <v>90</v>
      </c>
      <c r="G411" s="766">
        <f t="shared" si="348"/>
        <v>450</v>
      </c>
      <c r="H411" s="385">
        <f t="shared" ref="H411:J411" si="353">F411*5</f>
        <v>450</v>
      </c>
      <c r="I411" s="385">
        <f t="shared" si="353"/>
        <v>2250</v>
      </c>
      <c r="J411" s="385">
        <f t="shared" si="353"/>
        <v>2250</v>
      </c>
      <c r="K411" s="385">
        <f t="shared" si="350"/>
        <v>11250</v>
      </c>
      <c r="L411" s="385">
        <f t="shared" si="351"/>
        <v>1125</v>
      </c>
      <c r="M411" s="385">
        <f t="shared" si="352"/>
        <v>5625</v>
      </c>
      <c r="N411" s="385"/>
    </row>
    <row r="412" spans="1:14" ht="13.8">
      <c r="A412" s="333">
        <v>263</v>
      </c>
      <c r="B412" s="333" t="s">
        <v>4484</v>
      </c>
      <c r="C412" s="333" t="s">
        <v>4485</v>
      </c>
      <c r="D412" s="333" t="s">
        <v>4486</v>
      </c>
      <c r="E412" s="384" t="s">
        <v>3882</v>
      </c>
      <c r="F412" s="766">
        <v>90</v>
      </c>
      <c r="G412" s="766">
        <f t="shared" si="348"/>
        <v>450</v>
      </c>
      <c r="H412" s="385">
        <f t="shared" ref="H412:J412" si="354">F412*5</f>
        <v>450</v>
      </c>
      <c r="I412" s="385">
        <f t="shared" si="354"/>
        <v>2250</v>
      </c>
      <c r="J412" s="385">
        <f t="shared" si="354"/>
        <v>2250</v>
      </c>
      <c r="K412" s="385">
        <f t="shared" si="350"/>
        <v>11250</v>
      </c>
      <c r="L412" s="385">
        <f t="shared" si="351"/>
        <v>1125</v>
      </c>
      <c r="M412" s="385">
        <f t="shared" si="352"/>
        <v>5625</v>
      </c>
      <c r="N412" s="385"/>
    </row>
    <row r="413" spans="1:14" ht="13.8">
      <c r="A413" s="333">
        <v>264</v>
      </c>
      <c r="B413" s="333" t="s">
        <v>4487</v>
      </c>
      <c r="C413" s="333" t="s">
        <v>4488</v>
      </c>
      <c r="D413" s="333" t="s">
        <v>4480</v>
      </c>
      <c r="E413" s="384" t="s">
        <v>3882</v>
      </c>
      <c r="F413" s="766">
        <v>90</v>
      </c>
      <c r="G413" s="766">
        <f t="shared" si="348"/>
        <v>450</v>
      </c>
      <c r="H413" s="385">
        <f t="shared" ref="H413:J413" si="355">F413*5</f>
        <v>450</v>
      </c>
      <c r="I413" s="385">
        <f t="shared" si="355"/>
        <v>2250</v>
      </c>
      <c r="J413" s="385">
        <f t="shared" si="355"/>
        <v>2250</v>
      </c>
      <c r="K413" s="385">
        <f t="shared" si="350"/>
        <v>11250</v>
      </c>
      <c r="L413" s="385">
        <f t="shared" si="351"/>
        <v>1125</v>
      </c>
      <c r="M413" s="385">
        <f t="shared" si="352"/>
        <v>5625</v>
      </c>
      <c r="N413" s="385"/>
    </row>
    <row r="414" spans="1:14" ht="13.8">
      <c r="A414" s="333">
        <v>265</v>
      </c>
      <c r="B414" s="333" t="s">
        <v>4489</v>
      </c>
      <c r="C414" s="333" t="s">
        <v>4490</v>
      </c>
      <c r="D414" s="333" t="s">
        <v>4333</v>
      </c>
      <c r="E414" s="384" t="s">
        <v>3882</v>
      </c>
      <c r="F414" s="766">
        <v>90</v>
      </c>
      <c r="G414" s="766">
        <f t="shared" si="348"/>
        <v>450</v>
      </c>
      <c r="H414" s="385">
        <f t="shared" ref="H414:J414" si="356">F414*5</f>
        <v>450</v>
      </c>
      <c r="I414" s="385">
        <f t="shared" si="356"/>
        <v>2250</v>
      </c>
      <c r="J414" s="385">
        <f t="shared" si="356"/>
        <v>2250</v>
      </c>
      <c r="K414" s="385">
        <f t="shared" si="350"/>
        <v>11250</v>
      </c>
      <c r="L414" s="385">
        <f t="shared" si="351"/>
        <v>1125</v>
      </c>
      <c r="M414" s="385">
        <f t="shared" si="352"/>
        <v>5625</v>
      </c>
      <c r="N414" s="385"/>
    </row>
    <row r="415" spans="1:14" ht="15.6">
      <c r="A415" s="1008" t="s">
        <v>318</v>
      </c>
      <c r="B415" s="931"/>
      <c r="C415" s="932"/>
      <c r="D415" s="882">
        <f>COUNTA(D410:D414)</f>
        <v>5</v>
      </c>
      <c r="E415" s="879"/>
      <c r="F415" s="879"/>
      <c r="G415" s="867">
        <f>SUM(G410:G414)</f>
        <v>2250</v>
      </c>
      <c r="H415" s="879"/>
      <c r="I415" s="868">
        <f>SUM(I410:I414)</f>
        <v>11250</v>
      </c>
      <c r="J415" s="880"/>
      <c r="K415" s="881"/>
      <c r="L415" s="881"/>
      <c r="M415" s="881"/>
      <c r="N415" s="881"/>
    </row>
    <row r="416" spans="1:14" ht="13.8">
      <c r="A416" s="331"/>
      <c r="B416" s="334"/>
      <c r="C416" s="334"/>
      <c r="D416" s="331"/>
      <c r="E416" s="334"/>
      <c r="F416" s="331"/>
      <c r="G416" s="863"/>
      <c r="H416" s="331"/>
      <c r="I416" s="864"/>
      <c r="J416" s="343"/>
      <c r="K416" s="344"/>
      <c r="L416" s="344"/>
      <c r="M416" s="344"/>
      <c r="N416" s="344"/>
    </row>
    <row r="417" spans="1:14" ht="13.8">
      <c r="A417" s="331"/>
      <c r="B417" s="334"/>
      <c r="C417" s="334"/>
      <c r="D417" s="331"/>
      <c r="E417" s="334"/>
      <c r="F417" s="331"/>
      <c r="G417" s="863"/>
      <c r="H417" s="331"/>
      <c r="I417" s="864"/>
      <c r="J417" s="343"/>
      <c r="K417" s="344"/>
      <c r="L417" s="344"/>
      <c r="M417" s="344"/>
      <c r="N417" s="344"/>
    </row>
    <row r="418" spans="1:14" ht="13.8">
      <c r="A418" s="331"/>
      <c r="B418" s="334"/>
      <c r="C418" s="334"/>
      <c r="D418" s="331"/>
      <c r="E418" s="334"/>
      <c r="F418" s="331"/>
      <c r="G418" s="863"/>
      <c r="H418" s="331"/>
      <c r="I418" s="864"/>
      <c r="J418" s="343"/>
      <c r="K418" s="344"/>
      <c r="L418" s="344"/>
      <c r="M418" s="344"/>
      <c r="N418" s="344"/>
    </row>
    <row r="419" spans="1:14" ht="13.2">
      <c r="A419" s="1009" t="s">
        <v>87</v>
      </c>
      <c r="B419" s="931"/>
      <c r="C419" s="931"/>
      <c r="D419" s="931"/>
      <c r="E419" s="931"/>
      <c r="F419" s="931"/>
      <c r="G419" s="931"/>
      <c r="H419" s="931"/>
      <c r="I419" s="931"/>
      <c r="J419" s="931"/>
      <c r="K419" s="931"/>
      <c r="L419" s="931"/>
      <c r="M419" s="931"/>
      <c r="N419" s="932"/>
    </row>
    <row r="420" spans="1:14" ht="22.5" customHeight="1">
      <c r="A420" s="396" t="s">
        <v>165</v>
      </c>
      <c r="B420" s="431" t="s">
        <v>166</v>
      </c>
      <c r="C420" s="431" t="s">
        <v>167</v>
      </c>
      <c r="D420" s="346" t="s">
        <v>168</v>
      </c>
      <c r="E420" s="431" t="s">
        <v>169</v>
      </c>
      <c r="F420" s="742" t="s">
        <v>4491</v>
      </c>
      <c r="G420" s="743" t="s">
        <v>4492</v>
      </c>
      <c r="H420" s="744" t="s">
        <v>4493</v>
      </c>
      <c r="I420" s="744" t="s">
        <v>4494</v>
      </c>
      <c r="J420" s="745" t="s">
        <v>4495</v>
      </c>
      <c r="K420" s="745" t="s">
        <v>4496</v>
      </c>
      <c r="L420" s="745" t="s">
        <v>175</v>
      </c>
      <c r="M420" s="745" t="s">
        <v>4497</v>
      </c>
      <c r="N420" s="878" t="s">
        <v>177</v>
      </c>
    </row>
    <row r="421" spans="1:14" ht="27.6">
      <c r="A421" s="333">
        <v>266</v>
      </c>
      <c r="B421" s="333" t="s">
        <v>4498</v>
      </c>
      <c r="C421" s="333" t="s">
        <v>4499</v>
      </c>
      <c r="D421" s="333" t="s">
        <v>4500</v>
      </c>
      <c r="E421" s="384" t="s">
        <v>4099</v>
      </c>
      <c r="F421" s="766">
        <v>110</v>
      </c>
      <c r="G421" s="766">
        <f t="shared" ref="G421:G423" si="357">F421*E421</f>
        <v>363</v>
      </c>
      <c r="H421" s="385">
        <f t="shared" ref="H421:J421" si="358">F421*5</f>
        <v>550</v>
      </c>
      <c r="I421" s="385">
        <f t="shared" si="358"/>
        <v>1815</v>
      </c>
      <c r="J421" s="385">
        <f t="shared" si="358"/>
        <v>2750</v>
      </c>
      <c r="K421" s="385">
        <f t="shared" ref="K421:K423" si="359">J421*E421</f>
        <v>9075</v>
      </c>
      <c r="L421" s="385">
        <f t="shared" ref="L421:L423" si="360">J421/2</f>
        <v>1375</v>
      </c>
      <c r="M421" s="385">
        <f t="shared" ref="M421:M423" si="361">L421*E421</f>
        <v>4537.5</v>
      </c>
      <c r="N421" s="385"/>
    </row>
    <row r="422" spans="1:14" ht="13.8">
      <c r="A422" s="333">
        <v>267</v>
      </c>
      <c r="B422" s="333" t="s">
        <v>4501</v>
      </c>
      <c r="C422" s="333" t="s">
        <v>4502</v>
      </c>
      <c r="D422" s="333" t="s">
        <v>4503</v>
      </c>
      <c r="E422" s="384" t="s">
        <v>3882</v>
      </c>
      <c r="F422" s="766">
        <v>110</v>
      </c>
      <c r="G422" s="766">
        <f t="shared" si="357"/>
        <v>550</v>
      </c>
      <c r="H422" s="385">
        <f t="shared" ref="H422:J422" si="362">F422*5</f>
        <v>550</v>
      </c>
      <c r="I422" s="385">
        <f t="shared" si="362"/>
        <v>2750</v>
      </c>
      <c r="J422" s="385">
        <f t="shared" si="362"/>
        <v>2750</v>
      </c>
      <c r="K422" s="385">
        <f t="shared" si="359"/>
        <v>13750</v>
      </c>
      <c r="L422" s="385">
        <f t="shared" si="360"/>
        <v>1375</v>
      </c>
      <c r="M422" s="385">
        <f t="shared" si="361"/>
        <v>6875</v>
      </c>
      <c r="N422" s="385"/>
    </row>
    <row r="423" spans="1:14" ht="13.8">
      <c r="A423" s="333">
        <v>268</v>
      </c>
      <c r="B423" s="333" t="s">
        <v>4504</v>
      </c>
      <c r="C423" s="333" t="s">
        <v>4505</v>
      </c>
      <c r="D423" s="333" t="s">
        <v>4506</v>
      </c>
      <c r="E423" s="384" t="s">
        <v>3826</v>
      </c>
      <c r="F423" s="766">
        <v>110</v>
      </c>
      <c r="G423" s="766">
        <f t="shared" si="357"/>
        <v>572</v>
      </c>
      <c r="H423" s="385">
        <f t="shared" ref="H423:J423" si="363">F423*5</f>
        <v>550</v>
      </c>
      <c r="I423" s="385">
        <f t="shared" si="363"/>
        <v>2860</v>
      </c>
      <c r="J423" s="385">
        <f t="shared" si="363"/>
        <v>2750</v>
      </c>
      <c r="K423" s="385">
        <f t="shared" si="359"/>
        <v>14300</v>
      </c>
      <c r="L423" s="385">
        <f t="shared" si="360"/>
        <v>1375</v>
      </c>
      <c r="M423" s="385">
        <f t="shared" si="361"/>
        <v>7150</v>
      </c>
      <c r="N423" s="385"/>
    </row>
    <row r="424" spans="1:14" ht="15.6">
      <c r="A424" s="1008" t="s">
        <v>318</v>
      </c>
      <c r="B424" s="931"/>
      <c r="C424" s="932"/>
      <c r="D424" s="882">
        <f>COUNTA(D421:D423)</f>
        <v>3</v>
      </c>
      <c r="E424" s="879"/>
      <c r="F424" s="879"/>
      <c r="G424" s="867">
        <f>SUM(G421:G423)</f>
        <v>1485</v>
      </c>
      <c r="H424" s="879"/>
      <c r="I424" s="868">
        <f>G424*5</f>
        <v>7425</v>
      </c>
      <c r="J424" s="880"/>
      <c r="K424" s="881"/>
      <c r="L424" s="881"/>
      <c r="M424" s="881"/>
      <c r="N424" s="881"/>
    </row>
    <row r="425" spans="1:14" ht="13.8">
      <c r="A425" s="331"/>
      <c r="B425" s="334"/>
      <c r="C425" s="334"/>
      <c r="D425" s="331"/>
      <c r="E425" s="334"/>
      <c r="F425" s="331"/>
      <c r="G425" s="863"/>
      <c r="H425" s="331"/>
      <c r="I425" s="864"/>
      <c r="J425" s="343"/>
      <c r="K425" s="344"/>
      <c r="L425" s="344"/>
      <c r="M425" s="344"/>
      <c r="N425" s="344"/>
    </row>
    <row r="426" spans="1:14" ht="13.8">
      <c r="A426" s="331"/>
      <c r="B426" s="334"/>
      <c r="C426" s="334"/>
      <c r="D426" s="331"/>
      <c r="E426" s="334"/>
      <c r="F426" s="331"/>
      <c r="G426" s="863"/>
      <c r="H426" s="331"/>
      <c r="I426" s="864"/>
      <c r="J426" s="343"/>
      <c r="K426" s="344"/>
      <c r="L426" s="344"/>
      <c r="M426" s="344"/>
      <c r="N426" s="344"/>
    </row>
    <row r="427" spans="1:14" ht="13.8">
      <c r="A427" s="331"/>
      <c r="B427" s="334"/>
      <c r="C427" s="334"/>
      <c r="D427" s="331"/>
      <c r="E427" s="334"/>
      <c r="F427" s="331"/>
      <c r="G427" s="863"/>
      <c r="H427" s="331"/>
      <c r="I427" s="864"/>
      <c r="J427" s="343"/>
      <c r="K427" s="344"/>
      <c r="L427" s="344"/>
      <c r="M427" s="344"/>
      <c r="N427" s="344"/>
    </row>
    <row r="428" spans="1:14" ht="13.2">
      <c r="A428" s="1009" t="s">
        <v>88</v>
      </c>
      <c r="B428" s="931"/>
      <c r="C428" s="931"/>
      <c r="D428" s="931"/>
      <c r="E428" s="931"/>
      <c r="F428" s="931"/>
      <c r="G428" s="931"/>
      <c r="H428" s="931"/>
      <c r="I428" s="931"/>
      <c r="J428" s="931"/>
      <c r="K428" s="931"/>
      <c r="L428" s="931"/>
      <c r="M428" s="931"/>
      <c r="N428" s="932"/>
    </row>
    <row r="429" spans="1:14" ht="22.5" customHeight="1">
      <c r="A429" s="396" t="s">
        <v>165</v>
      </c>
      <c r="B429" s="431" t="s">
        <v>166</v>
      </c>
      <c r="C429" s="431" t="s">
        <v>167</v>
      </c>
      <c r="D429" s="346" t="s">
        <v>168</v>
      </c>
      <c r="E429" s="431" t="s">
        <v>169</v>
      </c>
      <c r="F429" s="742" t="s">
        <v>4507</v>
      </c>
      <c r="G429" s="743" t="s">
        <v>4508</v>
      </c>
      <c r="H429" s="744" t="s">
        <v>4509</v>
      </c>
      <c r="I429" s="744" t="s">
        <v>4510</v>
      </c>
      <c r="J429" s="745" t="s">
        <v>4511</v>
      </c>
      <c r="K429" s="745" t="s">
        <v>4512</v>
      </c>
      <c r="L429" s="745" t="s">
        <v>175</v>
      </c>
      <c r="M429" s="745" t="s">
        <v>4513</v>
      </c>
      <c r="N429" s="878" t="s">
        <v>177</v>
      </c>
    </row>
    <row r="430" spans="1:14" ht="27.6">
      <c r="A430" s="333">
        <v>269</v>
      </c>
      <c r="B430" s="333" t="s">
        <v>4514</v>
      </c>
      <c r="C430" s="333" t="s">
        <v>4515</v>
      </c>
      <c r="D430" s="333" t="s">
        <v>4516</v>
      </c>
      <c r="E430" s="384" t="s">
        <v>3882</v>
      </c>
      <c r="F430" s="766">
        <v>40</v>
      </c>
      <c r="G430" s="766">
        <f t="shared" ref="G430:G433" si="364">F430*E430</f>
        <v>200</v>
      </c>
      <c r="H430" s="385">
        <f t="shared" ref="H430:J430" si="365">F430*5</f>
        <v>200</v>
      </c>
      <c r="I430" s="385">
        <f t="shared" si="365"/>
        <v>1000</v>
      </c>
      <c r="J430" s="385">
        <f t="shared" si="365"/>
        <v>1000</v>
      </c>
      <c r="K430" s="385">
        <f t="shared" ref="K430:K433" si="366">J430*E430</f>
        <v>5000</v>
      </c>
      <c r="L430" s="385">
        <f t="shared" ref="L430:L433" si="367">J430/2</f>
        <v>500</v>
      </c>
      <c r="M430" s="385">
        <f t="shared" ref="M430:M433" si="368">L430*E430</f>
        <v>2500</v>
      </c>
      <c r="N430" s="385"/>
    </row>
    <row r="431" spans="1:14" ht="13.8">
      <c r="A431" s="333">
        <v>270</v>
      </c>
      <c r="B431" s="333" t="s">
        <v>4517</v>
      </c>
      <c r="C431" s="333" t="s">
        <v>4518</v>
      </c>
      <c r="D431" s="333" t="s">
        <v>4519</v>
      </c>
      <c r="E431" s="384" t="s">
        <v>3882</v>
      </c>
      <c r="F431" s="766">
        <v>40</v>
      </c>
      <c r="G431" s="766">
        <f t="shared" si="364"/>
        <v>200</v>
      </c>
      <c r="H431" s="385">
        <f t="shared" ref="H431:J431" si="369">F431*5</f>
        <v>200</v>
      </c>
      <c r="I431" s="385">
        <f t="shared" si="369"/>
        <v>1000</v>
      </c>
      <c r="J431" s="385">
        <f t="shared" si="369"/>
        <v>1000</v>
      </c>
      <c r="K431" s="385">
        <f t="shared" si="366"/>
        <v>5000</v>
      </c>
      <c r="L431" s="385">
        <f t="shared" si="367"/>
        <v>500</v>
      </c>
      <c r="M431" s="385">
        <f t="shared" si="368"/>
        <v>2500</v>
      </c>
      <c r="N431" s="385"/>
    </row>
    <row r="432" spans="1:14" ht="27.6">
      <c r="A432" s="333">
        <v>271</v>
      </c>
      <c r="B432" s="333" t="s">
        <v>4520</v>
      </c>
      <c r="C432" s="333" t="s">
        <v>4521</v>
      </c>
      <c r="D432" s="333" t="s">
        <v>4522</v>
      </c>
      <c r="E432" s="384" t="s">
        <v>3882</v>
      </c>
      <c r="F432" s="766">
        <v>40</v>
      </c>
      <c r="G432" s="766">
        <f t="shared" si="364"/>
        <v>200</v>
      </c>
      <c r="H432" s="385">
        <f t="shared" ref="H432:J432" si="370">F432*5</f>
        <v>200</v>
      </c>
      <c r="I432" s="385">
        <f t="shared" si="370"/>
        <v>1000</v>
      </c>
      <c r="J432" s="385">
        <f t="shared" si="370"/>
        <v>1000</v>
      </c>
      <c r="K432" s="385">
        <f t="shared" si="366"/>
        <v>5000</v>
      </c>
      <c r="L432" s="385">
        <f t="shared" si="367"/>
        <v>500</v>
      </c>
      <c r="M432" s="385">
        <f t="shared" si="368"/>
        <v>2500</v>
      </c>
      <c r="N432" s="385"/>
    </row>
    <row r="433" spans="1:14" ht="13.8">
      <c r="A433" s="333">
        <v>272</v>
      </c>
      <c r="B433" s="333" t="s">
        <v>4523</v>
      </c>
      <c r="C433" s="333" t="s">
        <v>4524</v>
      </c>
      <c r="D433" s="333" t="s">
        <v>4525</v>
      </c>
      <c r="E433" s="384" t="s">
        <v>3882</v>
      </c>
      <c r="F433" s="766">
        <v>38</v>
      </c>
      <c r="G433" s="766">
        <f t="shared" si="364"/>
        <v>190</v>
      </c>
      <c r="H433" s="385">
        <f t="shared" ref="H433:J433" si="371">F433*5</f>
        <v>190</v>
      </c>
      <c r="I433" s="385">
        <f t="shared" si="371"/>
        <v>950</v>
      </c>
      <c r="J433" s="385">
        <f t="shared" si="371"/>
        <v>950</v>
      </c>
      <c r="K433" s="385">
        <f t="shared" si="366"/>
        <v>4750</v>
      </c>
      <c r="L433" s="385">
        <f t="shared" si="367"/>
        <v>475</v>
      </c>
      <c r="M433" s="385">
        <f t="shared" si="368"/>
        <v>2375</v>
      </c>
      <c r="N433" s="385"/>
    </row>
    <row r="434" spans="1:14" ht="14.4">
      <c r="A434" s="1001" t="s">
        <v>318</v>
      </c>
      <c r="B434" s="931"/>
      <c r="C434" s="932"/>
      <c r="D434" s="882">
        <f>COUNTA(D430:D433)</f>
        <v>4</v>
      </c>
      <c r="E434" s="879"/>
      <c r="F434" s="879"/>
      <c r="G434" s="768">
        <f>SUM(G430:G433)</f>
        <v>790</v>
      </c>
      <c r="H434" s="879"/>
      <c r="I434" s="769">
        <f>SUM(I430:I433)</f>
        <v>3950</v>
      </c>
      <c r="J434" s="880"/>
      <c r="K434" s="881"/>
      <c r="L434" s="881"/>
      <c r="M434" s="881"/>
      <c r="N434" s="881"/>
    </row>
    <row r="435" spans="1:14" ht="13.8">
      <c r="A435" s="331"/>
      <c r="B435" s="334"/>
      <c r="C435" s="334"/>
      <c r="D435" s="331"/>
      <c r="E435" s="334"/>
      <c r="F435" s="331"/>
      <c r="G435" s="863"/>
      <c r="H435" s="331"/>
      <c r="I435" s="864"/>
      <c r="J435" s="343"/>
      <c r="K435" s="344"/>
      <c r="L435" s="344"/>
      <c r="M435" s="344"/>
      <c r="N435" s="344"/>
    </row>
    <row r="436" spans="1:14" ht="13.8">
      <c r="A436" s="331"/>
      <c r="B436" s="334"/>
      <c r="C436" s="334"/>
      <c r="D436" s="331"/>
      <c r="E436" s="334"/>
      <c r="F436" s="331"/>
      <c r="G436" s="863"/>
      <c r="H436" s="331"/>
      <c r="I436" s="864"/>
      <c r="J436" s="343"/>
      <c r="K436" s="344"/>
      <c r="L436" s="344"/>
      <c r="M436" s="344"/>
      <c r="N436" s="344"/>
    </row>
    <row r="437" spans="1:14" ht="13.2">
      <c r="A437" s="1009" t="s">
        <v>4526</v>
      </c>
      <c r="B437" s="931"/>
      <c r="C437" s="931"/>
      <c r="D437" s="931"/>
      <c r="E437" s="931"/>
      <c r="F437" s="931"/>
      <c r="G437" s="931"/>
      <c r="H437" s="931"/>
      <c r="I437" s="931"/>
      <c r="J437" s="931"/>
      <c r="K437" s="931"/>
      <c r="L437" s="931"/>
      <c r="M437" s="931"/>
      <c r="N437" s="932"/>
    </row>
    <row r="438" spans="1:14" ht="22.5" customHeight="1">
      <c r="A438" s="396" t="s">
        <v>165</v>
      </c>
      <c r="B438" s="431" t="s">
        <v>166</v>
      </c>
      <c r="C438" s="431" t="s">
        <v>167</v>
      </c>
      <c r="D438" s="346" t="s">
        <v>168</v>
      </c>
      <c r="E438" s="431" t="s">
        <v>169</v>
      </c>
      <c r="F438" s="742" t="s">
        <v>4527</v>
      </c>
      <c r="G438" s="743" t="s">
        <v>4528</v>
      </c>
      <c r="H438" s="744" t="s">
        <v>4529</v>
      </c>
      <c r="I438" s="744" t="s">
        <v>4530</v>
      </c>
      <c r="J438" s="745" t="s">
        <v>4531</v>
      </c>
      <c r="K438" s="745" t="s">
        <v>4532</v>
      </c>
      <c r="L438" s="745" t="s">
        <v>175</v>
      </c>
      <c r="M438" s="745" t="s">
        <v>4533</v>
      </c>
      <c r="N438" s="878" t="s">
        <v>177</v>
      </c>
    </row>
    <row r="439" spans="1:14" ht="41.4">
      <c r="A439" s="333">
        <v>273</v>
      </c>
      <c r="B439" s="333" t="s">
        <v>4534</v>
      </c>
      <c r="C439" s="384" t="s">
        <v>868</v>
      </c>
      <c r="D439" s="333" t="s">
        <v>4535</v>
      </c>
      <c r="E439" s="384" t="s">
        <v>3882</v>
      </c>
      <c r="F439" s="766">
        <v>82</v>
      </c>
      <c r="G439" s="766">
        <f t="shared" ref="G439:G461" si="372">F439*E439</f>
        <v>410</v>
      </c>
      <c r="H439" s="385">
        <f t="shared" ref="H439:J439" si="373">F439*5</f>
        <v>410</v>
      </c>
      <c r="I439" s="385">
        <f t="shared" si="373"/>
        <v>2050</v>
      </c>
      <c r="J439" s="385">
        <f t="shared" si="373"/>
        <v>2050</v>
      </c>
      <c r="K439" s="385">
        <f t="shared" ref="K439:K461" si="374">J439*E439</f>
        <v>10250</v>
      </c>
      <c r="L439" s="385">
        <f t="shared" ref="L439:L461" si="375">J439/2</f>
        <v>1025</v>
      </c>
      <c r="M439" s="385">
        <f t="shared" ref="M439:M461" si="376">L439*E439</f>
        <v>5125</v>
      </c>
      <c r="N439" s="385"/>
    </row>
    <row r="440" spans="1:14" ht="41.4">
      <c r="A440" s="333">
        <v>274</v>
      </c>
      <c r="B440" s="333" t="s">
        <v>4536</v>
      </c>
      <c r="C440" s="384" t="s">
        <v>4537</v>
      </c>
      <c r="D440" s="333" t="s">
        <v>4538</v>
      </c>
      <c r="E440" s="384" t="s">
        <v>3957</v>
      </c>
      <c r="F440" s="766">
        <v>82</v>
      </c>
      <c r="G440" s="766">
        <f t="shared" si="372"/>
        <v>524.80000000000007</v>
      </c>
      <c r="H440" s="385">
        <f t="shared" ref="H440:J440" si="377">F440*5</f>
        <v>410</v>
      </c>
      <c r="I440" s="385">
        <f t="shared" si="377"/>
        <v>2624.0000000000005</v>
      </c>
      <c r="J440" s="385">
        <f t="shared" si="377"/>
        <v>2050</v>
      </c>
      <c r="K440" s="385">
        <f t="shared" si="374"/>
        <v>13120</v>
      </c>
      <c r="L440" s="385">
        <f t="shared" si="375"/>
        <v>1025</v>
      </c>
      <c r="M440" s="385">
        <f t="shared" si="376"/>
        <v>6560</v>
      </c>
      <c r="N440" s="385"/>
    </row>
    <row r="441" spans="1:14" ht="41.4">
      <c r="A441" s="333">
        <v>275</v>
      </c>
      <c r="B441" s="333" t="s">
        <v>4539</v>
      </c>
      <c r="C441" s="384" t="s">
        <v>4540</v>
      </c>
      <c r="D441" s="333" t="s">
        <v>4541</v>
      </c>
      <c r="E441" s="384" t="s">
        <v>3957</v>
      </c>
      <c r="F441" s="766">
        <v>82</v>
      </c>
      <c r="G441" s="766">
        <f t="shared" si="372"/>
        <v>524.80000000000007</v>
      </c>
      <c r="H441" s="385">
        <f t="shared" ref="H441:J441" si="378">F441*5</f>
        <v>410</v>
      </c>
      <c r="I441" s="385">
        <f t="shared" si="378"/>
        <v>2624.0000000000005</v>
      </c>
      <c r="J441" s="385">
        <f t="shared" si="378"/>
        <v>2050</v>
      </c>
      <c r="K441" s="385">
        <f t="shared" si="374"/>
        <v>13120</v>
      </c>
      <c r="L441" s="385">
        <f t="shared" si="375"/>
        <v>1025</v>
      </c>
      <c r="M441" s="385">
        <f t="shared" si="376"/>
        <v>6560</v>
      </c>
      <c r="N441" s="385"/>
    </row>
    <row r="442" spans="1:14" ht="27.6">
      <c r="A442" s="333">
        <v>276</v>
      </c>
      <c r="B442" s="333" t="s">
        <v>4542</v>
      </c>
      <c r="C442" s="384" t="s">
        <v>4543</v>
      </c>
      <c r="D442" s="352" t="s">
        <v>4544</v>
      </c>
      <c r="E442" s="384" t="s">
        <v>3937</v>
      </c>
      <c r="F442" s="766">
        <v>82</v>
      </c>
      <c r="G442" s="766">
        <f t="shared" si="372"/>
        <v>557.6</v>
      </c>
      <c r="H442" s="385">
        <f t="shared" ref="H442:J442" si="379">F442*5</f>
        <v>410</v>
      </c>
      <c r="I442" s="385">
        <f t="shared" si="379"/>
        <v>2788</v>
      </c>
      <c r="J442" s="385">
        <f t="shared" si="379"/>
        <v>2050</v>
      </c>
      <c r="K442" s="385">
        <f t="shared" si="374"/>
        <v>13940</v>
      </c>
      <c r="L442" s="385">
        <f t="shared" si="375"/>
        <v>1025</v>
      </c>
      <c r="M442" s="385">
        <f t="shared" si="376"/>
        <v>6970</v>
      </c>
      <c r="N442" s="385"/>
    </row>
    <row r="443" spans="1:14" ht="41.4">
      <c r="A443" s="333">
        <v>277</v>
      </c>
      <c r="B443" s="333" t="s">
        <v>4545</v>
      </c>
      <c r="C443" s="384" t="s">
        <v>4546</v>
      </c>
      <c r="D443" s="333" t="s">
        <v>4547</v>
      </c>
      <c r="E443" s="384" t="s">
        <v>3933</v>
      </c>
      <c r="F443" s="766">
        <v>82</v>
      </c>
      <c r="G443" s="766">
        <f t="shared" si="372"/>
        <v>549.4</v>
      </c>
      <c r="H443" s="385">
        <f t="shared" ref="H443:J443" si="380">F443*5</f>
        <v>410</v>
      </c>
      <c r="I443" s="385">
        <f t="shared" si="380"/>
        <v>2747</v>
      </c>
      <c r="J443" s="385">
        <f t="shared" si="380"/>
        <v>2050</v>
      </c>
      <c r="K443" s="385">
        <f t="shared" si="374"/>
        <v>13735</v>
      </c>
      <c r="L443" s="385">
        <f t="shared" si="375"/>
        <v>1025</v>
      </c>
      <c r="M443" s="385">
        <f t="shared" si="376"/>
        <v>6867.5</v>
      </c>
      <c r="N443" s="385"/>
    </row>
    <row r="444" spans="1:14" ht="27.6">
      <c r="A444" s="333">
        <v>278</v>
      </c>
      <c r="B444" s="333" t="s">
        <v>4548</v>
      </c>
      <c r="C444" s="384" t="s">
        <v>4549</v>
      </c>
      <c r="D444" s="333" t="s">
        <v>4550</v>
      </c>
      <c r="E444" s="384" t="s">
        <v>3839</v>
      </c>
      <c r="F444" s="766">
        <v>82</v>
      </c>
      <c r="G444" s="766">
        <f t="shared" si="372"/>
        <v>574</v>
      </c>
      <c r="H444" s="385">
        <f t="shared" ref="H444:J444" si="381">F444*5</f>
        <v>410</v>
      </c>
      <c r="I444" s="385">
        <f t="shared" si="381"/>
        <v>2870</v>
      </c>
      <c r="J444" s="385">
        <f t="shared" si="381"/>
        <v>2050</v>
      </c>
      <c r="K444" s="385">
        <f t="shared" si="374"/>
        <v>14350</v>
      </c>
      <c r="L444" s="385">
        <f t="shared" si="375"/>
        <v>1025</v>
      </c>
      <c r="M444" s="385">
        <f t="shared" si="376"/>
        <v>7175</v>
      </c>
      <c r="N444" s="385"/>
    </row>
    <row r="445" spans="1:14" ht="27.6">
      <c r="A445" s="333">
        <v>279</v>
      </c>
      <c r="B445" s="333" t="s">
        <v>4551</v>
      </c>
      <c r="C445" s="384" t="s">
        <v>4552</v>
      </c>
      <c r="D445" s="333" t="s">
        <v>4550</v>
      </c>
      <c r="E445" s="384" t="s">
        <v>3839</v>
      </c>
      <c r="F445" s="766">
        <v>82</v>
      </c>
      <c r="G445" s="766">
        <f t="shared" si="372"/>
        <v>574</v>
      </c>
      <c r="H445" s="385">
        <f t="shared" ref="H445:J445" si="382">F445*5</f>
        <v>410</v>
      </c>
      <c r="I445" s="385">
        <f t="shared" si="382"/>
        <v>2870</v>
      </c>
      <c r="J445" s="385">
        <f t="shared" si="382"/>
        <v>2050</v>
      </c>
      <c r="K445" s="385">
        <f t="shared" si="374"/>
        <v>14350</v>
      </c>
      <c r="L445" s="385">
        <f t="shared" si="375"/>
        <v>1025</v>
      </c>
      <c r="M445" s="385">
        <f t="shared" si="376"/>
        <v>7175</v>
      </c>
      <c r="N445" s="385"/>
    </row>
    <row r="446" spans="1:14" ht="41.4">
      <c r="A446" s="333">
        <v>280</v>
      </c>
      <c r="B446" s="333" t="s">
        <v>4553</v>
      </c>
      <c r="C446" s="384" t="s">
        <v>4554</v>
      </c>
      <c r="D446" s="333" t="s">
        <v>4555</v>
      </c>
      <c r="E446" s="384" t="s">
        <v>3937</v>
      </c>
      <c r="F446" s="766">
        <v>82</v>
      </c>
      <c r="G446" s="766">
        <f t="shared" si="372"/>
        <v>557.6</v>
      </c>
      <c r="H446" s="385">
        <f t="shared" ref="H446:J446" si="383">F446*5</f>
        <v>410</v>
      </c>
      <c r="I446" s="385">
        <f t="shared" si="383"/>
        <v>2788</v>
      </c>
      <c r="J446" s="385">
        <f t="shared" si="383"/>
        <v>2050</v>
      </c>
      <c r="K446" s="385">
        <f t="shared" si="374"/>
        <v>13940</v>
      </c>
      <c r="L446" s="385">
        <f t="shared" si="375"/>
        <v>1025</v>
      </c>
      <c r="M446" s="385">
        <f t="shared" si="376"/>
        <v>6970</v>
      </c>
      <c r="N446" s="385"/>
    </row>
    <row r="447" spans="1:14" ht="27.6">
      <c r="A447" s="333">
        <v>281</v>
      </c>
      <c r="B447" s="333" t="s">
        <v>4556</v>
      </c>
      <c r="C447" s="384" t="s">
        <v>4557</v>
      </c>
      <c r="D447" s="333" t="s">
        <v>4550</v>
      </c>
      <c r="E447" s="384" t="s">
        <v>3773</v>
      </c>
      <c r="F447" s="766">
        <v>82</v>
      </c>
      <c r="G447" s="766">
        <f t="shared" si="372"/>
        <v>565.80000000000007</v>
      </c>
      <c r="H447" s="385">
        <f t="shared" ref="H447:J447" si="384">F447*5</f>
        <v>410</v>
      </c>
      <c r="I447" s="385">
        <f t="shared" si="384"/>
        <v>2829.0000000000005</v>
      </c>
      <c r="J447" s="385">
        <f t="shared" si="384"/>
        <v>2050</v>
      </c>
      <c r="K447" s="385">
        <f t="shared" si="374"/>
        <v>14145</v>
      </c>
      <c r="L447" s="385">
        <f t="shared" si="375"/>
        <v>1025</v>
      </c>
      <c r="M447" s="385">
        <f t="shared" si="376"/>
        <v>7072.5</v>
      </c>
      <c r="N447" s="385"/>
    </row>
    <row r="448" spans="1:14" ht="27.6">
      <c r="A448" s="333">
        <v>282</v>
      </c>
      <c r="B448" s="333" t="s">
        <v>4558</v>
      </c>
      <c r="C448" s="384" t="s">
        <v>4559</v>
      </c>
      <c r="D448" s="333" t="s">
        <v>4560</v>
      </c>
      <c r="E448" s="384" t="s">
        <v>3787</v>
      </c>
      <c r="F448" s="766">
        <v>88</v>
      </c>
      <c r="G448" s="766">
        <f t="shared" si="372"/>
        <v>396</v>
      </c>
      <c r="H448" s="385">
        <f t="shared" ref="H448:J448" si="385">F448*5</f>
        <v>440</v>
      </c>
      <c r="I448" s="385">
        <f t="shared" si="385"/>
        <v>1980</v>
      </c>
      <c r="J448" s="385">
        <f t="shared" si="385"/>
        <v>2200</v>
      </c>
      <c r="K448" s="385">
        <f t="shared" si="374"/>
        <v>9900</v>
      </c>
      <c r="L448" s="385">
        <f t="shared" si="375"/>
        <v>1100</v>
      </c>
      <c r="M448" s="385">
        <f t="shared" si="376"/>
        <v>4950</v>
      </c>
      <c r="N448" s="385"/>
    </row>
    <row r="449" spans="1:14" ht="41.4">
      <c r="A449" s="333">
        <v>283</v>
      </c>
      <c r="B449" s="333" t="s">
        <v>4561</v>
      </c>
      <c r="C449" s="384" t="s">
        <v>4562</v>
      </c>
      <c r="D449" s="333" t="s">
        <v>4563</v>
      </c>
      <c r="E449" s="384" t="s">
        <v>4212</v>
      </c>
      <c r="F449" s="766">
        <v>88</v>
      </c>
      <c r="G449" s="766">
        <f t="shared" si="372"/>
        <v>387.20000000000005</v>
      </c>
      <c r="H449" s="385">
        <f t="shared" ref="H449:J449" si="386">F449*5</f>
        <v>440</v>
      </c>
      <c r="I449" s="385">
        <f t="shared" si="386"/>
        <v>1936.0000000000002</v>
      </c>
      <c r="J449" s="385">
        <f t="shared" si="386"/>
        <v>2200</v>
      </c>
      <c r="K449" s="385">
        <f t="shared" si="374"/>
        <v>9680</v>
      </c>
      <c r="L449" s="385">
        <f t="shared" si="375"/>
        <v>1100</v>
      </c>
      <c r="M449" s="385">
        <f t="shared" si="376"/>
        <v>4840</v>
      </c>
      <c r="N449" s="385"/>
    </row>
    <row r="450" spans="1:14" ht="27.6">
      <c r="A450" s="333">
        <v>284</v>
      </c>
      <c r="B450" s="333" t="s">
        <v>4564</v>
      </c>
      <c r="C450" s="384" t="s">
        <v>4565</v>
      </c>
      <c r="D450" s="333" t="s">
        <v>4560</v>
      </c>
      <c r="E450" s="384" t="s">
        <v>4219</v>
      </c>
      <c r="F450" s="766">
        <v>88</v>
      </c>
      <c r="G450" s="766">
        <f t="shared" si="372"/>
        <v>413.6</v>
      </c>
      <c r="H450" s="385">
        <f t="shared" ref="H450:J450" si="387">F450*5</f>
        <v>440</v>
      </c>
      <c r="I450" s="385">
        <f t="shared" si="387"/>
        <v>2068</v>
      </c>
      <c r="J450" s="385">
        <f t="shared" si="387"/>
        <v>2200</v>
      </c>
      <c r="K450" s="385">
        <f t="shared" si="374"/>
        <v>10340</v>
      </c>
      <c r="L450" s="385">
        <f t="shared" si="375"/>
        <v>1100</v>
      </c>
      <c r="M450" s="385">
        <f t="shared" si="376"/>
        <v>5170</v>
      </c>
      <c r="N450" s="385"/>
    </row>
    <row r="451" spans="1:14" ht="41.4">
      <c r="A451" s="333">
        <v>285</v>
      </c>
      <c r="B451" s="333" t="s">
        <v>4566</v>
      </c>
      <c r="C451" s="384" t="s">
        <v>4567</v>
      </c>
      <c r="D451" s="333" t="s">
        <v>4568</v>
      </c>
      <c r="E451" s="384" t="s">
        <v>4260</v>
      </c>
      <c r="F451" s="766">
        <v>88</v>
      </c>
      <c r="G451" s="766">
        <f t="shared" si="372"/>
        <v>431.20000000000005</v>
      </c>
      <c r="H451" s="385">
        <f t="shared" ref="H451:J451" si="388">F451*5</f>
        <v>440</v>
      </c>
      <c r="I451" s="385">
        <f t="shared" si="388"/>
        <v>2156</v>
      </c>
      <c r="J451" s="385">
        <f t="shared" si="388"/>
        <v>2200</v>
      </c>
      <c r="K451" s="385">
        <f t="shared" si="374"/>
        <v>10780</v>
      </c>
      <c r="L451" s="385">
        <f t="shared" si="375"/>
        <v>1100</v>
      </c>
      <c r="M451" s="385">
        <f t="shared" si="376"/>
        <v>5390</v>
      </c>
      <c r="N451" s="385"/>
    </row>
    <row r="452" spans="1:14" ht="41.4">
      <c r="A452" s="333">
        <v>286</v>
      </c>
      <c r="B452" s="333" t="s">
        <v>4569</v>
      </c>
      <c r="C452" s="384" t="s">
        <v>4570</v>
      </c>
      <c r="D452" s="333" t="s">
        <v>4571</v>
      </c>
      <c r="E452" s="384" t="s">
        <v>4214</v>
      </c>
      <c r="F452" s="766">
        <v>88</v>
      </c>
      <c r="G452" s="766">
        <f t="shared" si="372"/>
        <v>404.79999999999995</v>
      </c>
      <c r="H452" s="385">
        <f t="shared" ref="H452:J452" si="389">F452*5</f>
        <v>440</v>
      </c>
      <c r="I452" s="385">
        <f t="shared" si="389"/>
        <v>2023.9999999999998</v>
      </c>
      <c r="J452" s="385">
        <f t="shared" si="389"/>
        <v>2200</v>
      </c>
      <c r="K452" s="385">
        <f t="shared" si="374"/>
        <v>10120</v>
      </c>
      <c r="L452" s="385">
        <f t="shared" si="375"/>
        <v>1100</v>
      </c>
      <c r="M452" s="385">
        <f t="shared" si="376"/>
        <v>5060</v>
      </c>
      <c r="N452" s="385"/>
    </row>
    <row r="453" spans="1:14" ht="27.6">
      <c r="A453" s="333">
        <v>287</v>
      </c>
      <c r="B453" s="333" t="s">
        <v>4572</v>
      </c>
      <c r="C453" s="384" t="s">
        <v>4573</v>
      </c>
      <c r="D453" s="333" t="s">
        <v>4574</v>
      </c>
      <c r="E453" s="384" t="s">
        <v>4214</v>
      </c>
      <c r="F453" s="766">
        <v>88</v>
      </c>
      <c r="G453" s="766">
        <f t="shared" si="372"/>
        <v>404.79999999999995</v>
      </c>
      <c r="H453" s="385">
        <f t="shared" ref="H453:J453" si="390">F453*5</f>
        <v>440</v>
      </c>
      <c r="I453" s="385">
        <f t="shared" si="390"/>
        <v>2023.9999999999998</v>
      </c>
      <c r="J453" s="385">
        <f t="shared" si="390"/>
        <v>2200</v>
      </c>
      <c r="K453" s="385">
        <f t="shared" si="374"/>
        <v>10120</v>
      </c>
      <c r="L453" s="385">
        <f t="shared" si="375"/>
        <v>1100</v>
      </c>
      <c r="M453" s="385">
        <f t="shared" si="376"/>
        <v>5060</v>
      </c>
      <c r="N453" s="385"/>
    </row>
    <row r="454" spans="1:14" ht="27.6">
      <c r="A454" s="333">
        <v>288</v>
      </c>
      <c r="B454" s="333" t="s">
        <v>4575</v>
      </c>
      <c r="C454" s="384" t="s">
        <v>4576</v>
      </c>
      <c r="D454" s="333" t="s">
        <v>4560</v>
      </c>
      <c r="E454" s="384" t="s">
        <v>4231</v>
      </c>
      <c r="F454" s="766">
        <v>88</v>
      </c>
      <c r="G454" s="766">
        <f t="shared" si="372"/>
        <v>378.4</v>
      </c>
      <c r="H454" s="385">
        <f t="shared" ref="H454:J454" si="391">F454*5</f>
        <v>440</v>
      </c>
      <c r="I454" s="385">
        <f t="shared" si="391"/>
        <v>1892</v>
      </c>
      <c r="J454" s="385">
        <f t="shared" si="391"/>
        <v>2200</v>
      </c>
      <c r="K454" s="385">
        <f t="shared" si="374"/>
        <v>9460</v>
      </c>
      <c r="L454" s="385">
        <f t="shared" si="375"/>
        <v>1100</v>
      </c>
      <c r="M454" s="385">
        <f t="shared" si="376"/>
        <v>4730</v>
      </c>
      <c r="N454" s="385"/>
    </row>
    <row r="455" spans="1:14" ht="41.4">
      <c r="A455" s="333">
        <v>289</v>
      </c>
      <c r="B455" s="333" t="s">
        <v>4577</v>
      </c>
      <c r="C455" s="384" t="s">
        <v>4578</v>
      </c>
      <c r="D455" s="333" t="s">
        <v>4579</v>
      </c>
      <c r="E455" s="384" t="s">
        <v>4219</v>
      </c>
      <c r="F455" s="766">
        <v>88</v>
      </c>
      <c r="G455" s="766">
        <f t="shared" si="372"/>
        <v>413.6</v>
      </c>
      <c r="H455" s="385">
        <f t="shared" ref="H455:J455" si="392">F455*5</f>
        <v>440</v>
      </c>
      <c r="I455" s="385">
        <f t="shared" si="392"/>
        <v>2068</v>
      </c>
      <c r="J455" s="385">
        <f t="shared" si="392"/>
        <v>2200</v>
      </c>
      <c r="K455" s="385">
        <f t="shared" si="374"/>
        <v>10340</v>
      </c>
      <c r="L455" s="385">
        <f t="shared" si="375"/>
        <v>1100</v>
      </c>
      <c r="M455" s="385">
        <f t="shared" si="376"/>
        <v>5170</v>
      </c>
      <c r="N455" s="385"/>
    </row>
    <row r="456" spans="1:14" ht="41.4">
      <c r="A456" s="333">
        <v>290</v>
      </c>
      <c r="B456" s="333" t="s">
        <v>4580</v>
      </c>
      <c r="C456" s="384" t="s">
        <v>4581</v>
      </c>
      <c r="D456" s="333" t="s">
        <v>4582</v>
      </c>
      <c r="E456" s="384" t="s">
        <v>3787</v>
      </c>
      <c r="F456" s="766">
        <v>88</v>
      </c>
      <c r="G456" s="766">
        <f t="shared" si="372"/>
        <v>396</v>
      </c>
      <c r="H456" s="385">
        <f t="shared" ref="H456:J456" si="393">F456*5</f>
        <v>440</v>
      </c>
      <c r="I456" s="385">
        <f t="shared" si="393"/>
        <v>1980</v>
      </c>
      <c r="J456" s="385">
        <f t="shared" si="393"/>
        <v>2200</v>
      </c>
      <c r="K456" s="385">
        <f t="shared" si="374"/>
        <v>9900</v>
      </c>
      <c r="L456" s="385">
        <f t="shared" si="375"/>
        <v>1100</v>
      </c>
      <c r="M456" s="385">
        <f t="shared" si="376"/>
        <v>4950</v>
      </c>
      <c r="N456" s="385"/>
    </row>
    <row r="457" spans="1:14" ht="41.4">
      <c r="A457" s="333">
        <v>291</v>
      </c>
      <c r="B457" s="333" t="s">
        <v>4583</v>
      </c>
      <c r="C457" s="384" t="s">
        <v>4584</v>
      </c>
      <c r="D457" s="333" t="s">
        <v>4585</v>
      </c>
      <c r="E457" s="384" t="s">
        <v>4219</v>
      </c>
      <c r="F457" s="766">
        <v>88</v>
      </c>
      <c r="G457" s="766">
        <f t="shared" si="372"/>
        <v>413.6</v>
      </c>
      <c r="H457" s="385">
        <f t="shared" ref="H457:J457" si="394">F457*5</f>
        <v>440</v>
      </c>
      <c r="I457" s="385">
        <f t="shared" si="394"/>
        <v>2068</v>
      </c>
      <c r="J457" s="385">
        <f t="shared" si="394"/>
        <v>2200</v>
      </c>
      <c r="K457" s="385">
        <f t="shared" si="374"/>
        <v>10340</v>
      </c>
      <c r="L457" s="385">
        <f t="shared" si="375"/>
        <v>1100</v>
      </c>
      <c r="M457" s="385">
        <f t="shared" si="376"/>
        <v>5170</v>
      </c>
      <c r="N457" s="385"/>
    </row>
    <row r="458" spans="1:14" ht="41.4">
      <c r="A458" s="333">
        <v>292</v>
      </c>
      <c r="B458" s="333" t="s">
        <v>4586</v>
      </c>
      <c r="C458" s="384" t="s">
        <v>4587</v>
      </c>
      <c r="D458" s="333" t="s">
        <v>4588</v>
      </c>
      <c r="E458" s="384" t="s">
        <v>4214</v>
      </c>
      <c r="F458" s="766">
        <v>88</v>
      </c>
      <c r="G458" s="766">
        <f t="shared" si="372"/>
        <v>404.79999999999995</v>
      </c>
      <c r="H458" s="385">
        <f t="shared" ref="H458:J458" si="395">F458*5</f>
        <v>440</v>
      </c>
      <c r="I458" s="385">
        <f t="shared" si="395"/>
        <v>2023.9999999999998</v>
      </c>
      <c r="J458" s="385">
        <f t="shared" si="395"/>
        <v>2200</v>
      </c>
      <c r="K458" s="385">
        <f t="shared" si="374"/>
        <v>10120</v>
      </c>
      <c r="L458" s="385">
        <f t="shared" si="375"/>
        <v>1100</v>
      </c>
      <c r="M458" s="385">
        <f t="shared" si="376"/>
        <v>5060</v>
      </c>
      <c r="N458" s="385"/>
    </row>
    <row r="459" spans="1:14" ht="41.4">
      <c r="A459" s="333">
        <v>293</v>
      </c>
      <c r="B459" s="333" t="s">
        <v>4589</v>
      </c>
      <c r="C459" s="384" t="s">
        <v>4590</v>
      </c>
      <c r="D459" s="333" t="s">
        <v>4591</v>
      </c>
      <c r="E459" s="384" t="s">
        <v>4214</v>
      </c>
      <c r="F459" s="766">
        <v>88</v>
      </c>
      <c r="G459" s="766">
        <f t="shared" si="372"/>
        <v>404.79999999999995</v>
      </c>
      <c r="H459" s="385">
        <f t="shared" ref="H459:J459" si="396">F459*5</f>
        <v>440</v>
      </c>
      <c r="I459" s="385">
        <f t="shared" si="396"/>
        <v>2023.9999999999998</v>
      </c>
      <c r="J459" s="385">
        <f t="shared" si="396"/>
        <v>2200</v>
      </c>
      <c r="K459" s="385">
        <f t="shared" si="374"/>
        <v>10120</v>
      </c>
      <c r="L459" s="385">
        <f t="shared" si="375"/>
        <v>1100</v>
      </c>
      <c r="M459" s="385">
        <f t="shared" si="376"/>
        <v>5060</v>
      </c>
      <c r="N459" s="385"/>
    </row>
    <row r="460" spans="1:14" ht="27.6">
      <c r="A460" s="333">
        <v>294</v>
      </c>
      <c r="B460" s="333" t="s">
        <v>4592</v>
      </c>
      <c r="C460" s="384" t="s">
        <v>4593</v>
      </c>
      <c r="D460" s="333" t="s">
        <v>4550</v>
      </c>
      <c r="E460" s="384" t="s">
        <v>4219</v>
      </c>
      <c r="F460" s="766">
        <v>88</v>
      </c>
      <c r="G460" s="766">
        <f t="shared" si="372"/>
        <v>413.6</v>
      </c>
      <c r="H460" s="385">
        <f t="shared" ref="H460:J460" si="397">F460*5</f>
        <v>440</v>
      </c>
      <c r="I460" s="385">
        <f t="shared" si="397"/>
        <v>2068</v>
      </c>
      <c r="J460" s="385">
        <f t="shared" si="397"/>
        <v>2200</v>
      </c>
      <c r="K460" s="385">
        <f t="shared" si="374"/>
        <v>10340</v>
      </c>
      <c r="L460" s="385">
        <f t="shared" si="375"/>
        <v>1100</v>
      </c>
      <c r="M460" s="385">
        <f t="shared" si="376"/>
        <v>5170</v>
      </c>
      <c r="N460" s="385"/>
    </row>
    <row r="461" spans="1:14" ht="27.6">
      <c r="A461" s="333">
        <v>295</v>
      </c>
      <c r="B461" s="333" t="s">
        <v>4594</v>
      </c>
      <c r="C461" s="384" t="s">
        <v>4595</v>
      </c>
      <c r="D461" s="333" t="s">
        <v>4550</v>
      </c>
      <c r="E461" s="384" t="s">
        <v>3829</v>
      </c>
      <c r="F461" s="766">
        <v>88</v>
      </c>
      <c r="G461" s="766">
        <f t="shared" si="372"/>
        <v>422.4</v>
      </c>
      <c r="H461" s="385">
        <f t="shared" ref="H461:J461" si="398">F461*5</f>
        <v>440</v>
      </c>
      <c r="I461" s="385">
        <f t="shared" si="398"/>
        <v>2112</v>
      </c>
      <c r="J461" s="385">
        <f t="shared" si="398"/>
        <v>2200</v>
      </c>
      <c r="K461" s="385">
        <f t="shared" si="374"/>
        <v>10560</v>
      </c>
      <c r="L461" s="385">
        <f t="shared" si="375"/>
        <v>1100</v>
      </c>
      <c r="M461" s="385">
        <f t="shared" si="376"/>
        <v>5280</v>
      </c>
      <c r="N461" s="385"/>
    </row>
    <row r="462" spans="1:14" ht="15.6">
      <c r="A462" s="1008" t="s">
        <v>4596</v>
      </c>
      <c r="B462" s="931"/>
      <c r="C462" s="932"/>
      <c r="D462" s="879">
        <f>COUNTA(D439:D461)</f>
        <v>23</v>
      </c>
      <c r="E462" s="879"/>
      <c r="F462" s="879"/>
      <c r="G462" s="867">
        <f>SUM(G439:G461)</f>
        <v>10522.800000000001</v>
      </c>
      <c r="H462" s="879"/>
      <c r="I462" s="868">
        <f>SUM(I439:I461)</f>
        <v>52614</v>
      </c>
      <c r="J462" s="880"/>
      <c r="K462" s="881"/>
      <c r="L462" s="881"/>
      <c r="M462" s="881"/>
      <c r="N462" s="881"/>
    </row>
    <row r="463" spans="1:14" ht="13.8">
      <c r="A463" s="331"/>
      <c r="B463" s="334"/>
      <c r="C463" s="334"/>
      <c r="D463" s="331"/>
      <c r="E463" s="334"/>
      <c r="F463" s="331"/>
      <c r="G463" s="863"/>
      <c r="H463" s="331"/>
      <c r="I463" s="864"/>
      <c r="J463" s="343"/>
      <c r="K463" s="344"/>
      <c r="L463" s="344"/>
      <c r="M463" s="344"/>
      <c r="N463" s="344"/>
    </row>
    <row r="464" spans="1:14" ht="13.8">
      <c r="A464" s="331"/>
      <c r="B464" s="334"/>
      <c r="C464" s="334"/>
      <c r="D464" s="331"/>
      <c r="E464" s="334"/>
      <c r="F464" s="331"/>
      <c r="G464" s="863"/>
      <c r="H464" s="331"/>
      <c r="I464" s="864"/>
      <c r="J464" s="343"/>
      <c r="K464" s="344"/>
      <c r="L464" s="344"/>
      <c r="M464" s="344"/>
      <c r="N464" s="344"/>
    </row>
    <row r="465" spans="1:14" ht="13.8">
      <c r="A465" s="331"/>
      <c r="B465" s="334"/>
      <c r="C465" s="334"/>
      <c r="D465" s="331"/>
      <c r="E465" s="334"/>
      <c r="F465" s="331"/>
      <c r="G465" s="863"/>
      <c r="H465" s="331"/>
      <c r="I465" s="864"/>
      <c r="J465" s="343"/>
      <c r="K465" s="344"/>
      <c r="L465" s="344"/>
      <c r="M465" s="344"/>
      <c r="N465" s="344"/>
    </row>
    <row r="466" spans="1:14" ht="13.8">
      <c r="A466" s="331"/>
      <c r="B466" s="334"/>
      <c r="C466" s="334"/>
      <c r="D466" s="331"/>
      <c r="E466" s="334"/>
      <c r="F466" s="331"/>
      <c r="G466" s="863"/>
      <c r="H466" s="331"/>
      <c r="I466" s="864"/>
      <c r="J466" s="343"/>
      <c r="K466" s="344"/>
      <c r="L466" s="344"/>
      <c r="M466" s="344"/>
      <c r="N466" s="344"/>
    </row>
    <row r="467" spans="1:14" ht="17.399999999999999">
      <c r="A467" s="1010" t="s">
        <v>88</v>
      </c>
      <c r="B467" s="931"/>
      <c r="C467" s="931"/>
      <c r="D467" s="931"/>
      <c r="E467" s="931"/>
      <c r="F467" s="931"/>
      <c r="G467" s="931"/>
      <c r="H467" s="931"/>
      <c r="I467" s="931"/>
      <c r="J467" s="931"/>
      <c r="K467" s="931"/>
      <c r="L467" s="931"/>
      <c r="M467" s="931"/>
      <c r="N467" s="932"/>
    </row>
    <row r="468" spans="1:14" ht="22.5" customHeight="1">
      <c r="A468" s="396" t="s">
        <v>165</v>
      </c>
      <c r="B468" s="431" t="s">
        <v>166</v>
      </c>
      <c r="C468" s="431" t="s">
        <v>167</v>
      </c>
      <c r="D468" s="346" t="s">
        <v>168</v>
      </c>
      <c r="E468" s="431" t="s">
        <v>169</v>
      </c>
      <c r="F468" s="742" t="s">
        <v>4597</v>
      </c>
      <c r="G468" s="743" t="s">
        <v>4598</v>
      </c>
      <c r="H468" s="744" t="s">
        <v>4599</v>
      </c>
      <c r="I468" s="744" t="s">
        <v>4600</v>
      </c>
      <c r="J468" s="745" t="s">
        <v>4601</v>
      </c>
      <c r="K468" s="745" t="s">
        <v>4602</v>
      </c>
      <c r="L468" s="745" t="s">
        <v>175</v>
      </c>
      <c r="M468" s="745" t="s">
        <v>4603</v>
      </c>
      <c r="N468" s="878" t="s">
        <v>177</v>
      </c>
    </row>
    <row r="469" spans="1:14" ht="27.6">
      <c r="A469" s="466">
        <v>1</v>
      </c>
      <c r="B469" s="466" t="s">
        <v>4604</v>
      </c>
      <c r="C469" s="466" t="s">
        <v>4605</v>
      </c>
      <c r="D469" s="333" t="s">
        <v>4606</v>
      </c>
      <c r="E469" s="482" t="s">
        <v>4149</v>
      </c>
      <c r="F469" s="747">
        <v>18</v>
      </c>
      <c r="G469" s="747">
        <f t="shared" ref="G469:G482" si="399">F469*E469</f>
        <v>108</v>
      </c>
      <c r="H469" s="469">
        <f t="shared" ref="H469:J469" si="400">F469*5</f>
        <v>90</v>
      </c>
      <c r="I469" s="469">
        <f t="shared" si="400"/>
        <v>540</v>
      </c>
      <c r="J469" s="469">
        <f t="shared" si="400"/>
        <v>450</v>
      </c>
      <c r="K469" s="469">
        <f t="shared" ref="K469:K482" si="401">J469*E469</f>
        <v>2700</v>
      </c>
      <c r="L469" s="469">
        <f t="shared" ref="L469:L482" si="402">J469/2</f>
        <v>225</v>
      </c>
      <c r="M469" s="469">
        <f t="shared" ref="M469:M482" si="403">L469*E469</f>
        <v>1350</v>
      </c>
      <c r="N469" s="385"/>
    </row>
    <row r="470" spans="1:14" ht="27.6">
      <c r="A470" s="466">
        <v>2</v>
      </c>
      <c r="B470" s="466" t="s">
        <v>4607</v>
      </c>
      <c r="C470" s="466" t="s">
        <v>4608</v>
      </c>
      <c r="D470" s="333" t="s">
        <v>4609</v>
      </c>
      <c r="E470" s="482" t="s">
        <v>3839</v>
      </c>
      <c r="F470" s="747">
        <v>20</v>
      </c>
      <c r="G470" s="747">
        <f t="shared" si="399"/>
        <v>140</v>
      </c>
      <c r="H470" s="469">
        <f t="shared" ref="H470:J470" si="404">F470*5</f>
        <v>100</v>
      </c>
      <c r="I470" s="469">
        <f t="shared" si="404"/>
        <v>700</v>
      </c>
      <c r="J470" s="469">
        <f t="shared" si="404"/>
        <v>500</v>
      </c>
      <c r="K470" s="469">
        <f t="shared" si="401"/>
        <v>3500</v>
      </c>
      <c r="L470" s="469">
        <f t="shared" si="402"/>
        <v>250</v>
      </c>
      <c r="M470" s="469">
        <f t="shared" si="403"/>
        <v>1750</v>
      </c>
      <c r="N470" s="385"/>
    </row>
    <row r="471" spans="1:14" ht="27.6">
      <c r="A471" s="466">
        <v>3</v>
      </c>
      <c r="B471" s="466" t="s">
        <v>4610</v>
      </c>
      <c r="C471" s="466" t="s">
        <v>4611</v>
      </c>
      <c r="D471" s="333" t="s">
        <v>4612</v>
      </c>
      <c r="E471" s="482" t="s">
        <v>3882</v>
      </c>
      <c r="F471" s="747">
        <v>18</v>
      </c>
      <c r="G471" s="747">
        <f t="shared" si="399"/>
        <v>90</v>
      </c>
      <c r="H471" s="469">
        <f t="shared" ref="H471:J471" si="405">F471*5</f>
        <v>90</v>
      </c>
      <c r="I471" s="469">
        <f t="shared" si="405"/>
        <v>450</v>
      </c>
      <c r="J471" s="469">
        <f t="shared" si="405"/>
        <v>450</v>
      </c>
      <c r="K471" s="469">
        <f t="shared" si="401"/>
        <v>2250</v>
      </c>
      <c r="L471" s="469">
        <f t="shared" si="402"/>
        <v>225</v>
      </c>
      <c r="M471" s="469">
        <f t="shared" si="403"/>
        <v>1125</v>
      </c>
      <c r="N471" s="385"/>
    </row>
    <row r="472" spans="1:14" ht="27.6">
      <c r="A472" s="466">
        <v>4</v>
      </c>
      <c r="B472" s="466" t="s">
        <v>4613</v>
      </c>
      <c r="C472" s="466" t="s">
        <v>4614</v>
      </c>
      <c r="D472" s="333" t="s">
        <v>4615</v>
      </c>
      <c r="E472" s="482" t="s">
        <v>3882</v>
      </c>
      <c r="F472" s="747">
        <v>18</v>
      </c>
      <c r="G472" s="747">
        <f t="shared" si="399"/>
        <v>90</v>
      </c>
      <c r="H472" s="469">
        <f t="shared" ref="H472:J472" si="406">F472*5</f>
        <v>90</v>
      </c>
      <c r="I472" s="469">
        <f t="shared" si="406"/>
        <v>450</v>
      </c>
      <c r="J472" s="469">
        <f t="shared" si="406"/>
        <v>450</v>
      </c>
      <c r="K472" s="469">
        <f t="shared" si="401"/>
        <v>2250</v>
      </c>
      <c r="L472" s="469">
        <f t="shared" si="402"/>
        <v>225</v>
      </c>
      <c r="M472" s="469">
        <f t="shared" si="403"/>
        <v>1125</v>
      </c>
      <c r="N472" s="385"/>
    </row>
    <row r="473" spans="1:14" ht="13.8">
      <c r="A473" s="466">
        <v>5</v>
      </c>
      <c r="B473" s="466" t="s">
        <v>4616</v>
      </c>
      <c r="C473" s="466" t="s">
        <v>4617</v>
      </c>
      <c r="D473" s="333" t="s">
        <v>4519</v>
      </c>
      <c r="E473" s="482" t="s">
        <v>3882</v>
      </c>
      <c r="F473" s="747">
        <v>20</v>
      </c>
      <c r="G473" s="747">
        <f t="shared" si="399"/>
        <v>100</v>
      </c>
      <c r="H473" s="469">
        <f t="shared" ref="H473:J473" si="407">F473*5</f>
        <v>100</v>
      </c>
      <c r="I473" s="469">
        <f t="shared" si="407"/>
        <v>500</v>
      </c>
      <c r="J473" s="469">
        <f t="shared" si="407"/>
        <v>500</v>
      </c>
      <c r="K473" s="469">
        <f t="shared" si="401"/>
        <v>2500</v>
      </c>
      <c r="L473" s="469">
        <f t="shared" si="402"/>
        <v>250</v>
      </c>
      <c r="M473" s="469">
        <f t="shared" si="403"/>
        <v>1250</v>
      </c>
      <c r="N473" s="385"/>
    </row>
    <row r="474" spans="1:14" ht="27.6">
      <c r="A474" s="466">
        <v>6</v>
      </c>
      <c r="B474" s="466" t="s">
        <v>4618</v>
      </c>
      <c r="C474" s="466" t="s">
        <v>4619</v>
      </c>
      <c r="D474" s="333" t="s">
        <v>4620</v>
      </c>
      <c r="E474" s="482" t="s">
        <v>3882</v>
      </c>
      <c r="F474" s="747">
        <v>20</v>
      </c>
      <c r="G474" s="747">
        <f t="shared" si="399"/>
        <v>100</v>
      </c>
      <c r="H474" s="469">
        <f t="shared" ref="H474:J474" si="408">F474*5</f>
        <v>100</v>
      </c>
      <c r="I474" s="469">
        <f t="shared" si="408"/>
        <v>500</v>
      </c>
      <c r="J474" s="469">
        <f t="shared" si="408"/>
        <v>500</v>
      </c>
      <c r="K474" s="469">
        <f t="shared" si="401"/>
        <v>2500</v>
      </c>
      <c r="L474" s="469">
        <f t="shared" si="402"/>
        <v>250</v>
      </c>
      <c r="M474" s="469">
        <f t="shared" si="403"/>
        <v>1250</v>
      </c>
      <c r="N474" s="385"/>
    </row>
    <row r="475" spans="1:14" ht="27.6">
      <c r="A475" s="466">
        <v>7</v>
      </c>
      <c r="B475" s="466" t="s">
        <v>4621</v>
      </c>
      <c r="C475" s="466" t="s">
        <v>4622</v>
      </c>
      <c r="D475" s="333" t="s">
        <v>4623</v>
      </c>
      <c r="E475" s="482" t="s">
        <v>3882</v>
      </c>
      <c r="F475" s="747">
        <v>38</v>
      </c>
      <c r="G475" s="747">
        <f t="shared" si="399"/>
        <v>190</v>
      </c>
      <c r="H475" s="469">
        <f t="shared" ref="H475:J475" si="409">F475*5</f>
        <v>190</v>
      </c>
      <c r="I475" s="469">
        <f t="shared" si="409"/>
        <v>950</v>
      </c>
      <c r="J475" s="469">
        <f t="shared" si="409"/>
        <v>950</v>
      </c>
      <c r="K475" s="469">
        <f t="shared" si="401"/>
        <v>4750</v>
      </c>
      <c r="L475" s="469">
        <f t="shared" si="402"/>
        <v>475</v>
      </c>
      <c r="M475" s="469">
        <f t="shared" si="403"/>
        <v>2375</v>
      </c>
      <c r="N475" s="385"/>
    </row>
    <row r="476" spans="1:14" ht="27.6">
      <c r="A476" s="466">
        <v>8</v>
      </c>
      <c r="B476" s="466" t="s">
        <v>4624</v>
      </c>
      <c r="C476" s="466" t="s">
        <v>4625</v>
      </c>
      <c r="D476" s="333" t="s">
        <v>4623</v>
      </c>
      <c r="E476" s="482" t="s">
        <v>3882</v>
      </c>
      <c r="F476" s="747">
        <v>38</v>
      </c>
      <c r="G476" s="747">
        <f t="shared" si="399"/>
        <v>190</v>
      </c>
      <c r="H476" s="469">
        <f t="shared" ref="H476:J476" si="410">F476*5</f>
        <v>190</v>
      </c>
      <c r="I476" s="469">
        <f t="shared" si="410"/>
        <v>950</v>
      </c>
      <c r="J476" s="469">
        <f t="shared" si="410"/>
        <v>950</v>
      </c>
      <c r="K476" s="469">
        <f t="shared" si="401"/>
        <v>4750</v>
      </c>
      <c r="L476" s="469">
        <f t="shared" si="402"/>
        <v>475</v>
      </c>
      <c r="M476" s="469">
        <f t="shared" si="403"/>
        <v>2375</v>
      </c>
      <c r="N476" s="385"/>
    </row>
    <row r="477" spans="1:14" ht="27.6">
      <c r="A477" s="466">
        <v>9</v>
      </c>
      <c r="B477" s="466" t="s">
        <v>4626</v>
      </c>
      <c r="C477" s="466" t="s">
        <v>4627</v>
      </c>
      <c r="D477" s="333" t="s">
        <v>4522</v>
      </c>
      <c r="E477" s="482" t="s">
        <v>3839</v>
      </c>
      <c r="F477" s="747">
        <v>38</v>
      </c>
      <c r="G477" s="747">
        <f t="shared" si="399"/>
        <v>266</v>
      </c>
      <c r="H477" s="469">
        <f t="shared" ref="H477:J477" si="411">F477*5</f>
        <v>190</v>
      </c>
      <c r="I477" s="469">
        <f t="shared" si="411"/>
        <v>1330</v>
      </c>
      <c r="J477" s="469">
        <f t="shared" si="411"/>
        <v>950</v>
      </c>
      <c r="K477" s="469">
        <f t="shared" si="401"/>
        <v>6650</v>
      </c>
      <c r="L477" s="469">
        <f t="shared" si="402"/>
        <v>475</v>
      </c>
      <c r="M477" s="469">
        <f t="shared" si="403"/>
        <v>3325</v>
      </c>
      <c r="N477" s="385"/>
    </row>
    <row r="478" spans="1:14" ht="13.8">
      <c r="A478" s="466">
        <v>10</v>
      </c>
      <c r="B478" s="466" t="s">
        <v>4628</v>
      </c>
      <c r="C478" s="466" t="s">
        <v>4629</v>
      </c>
      <c r="D478" s="333" t="s">
        <v>3460</v>
      </c>
      <c r="E478" s="482" t="s">
        <v>3882</v>
      </c>
      <c r="F478" s="747">
        <v>38</v>
      </c>
      <c r="G478" s="747">
        <f t="shared" si="399"/>
        <v>190</v>
      </c>
      <c r="H478" s="469">
        <f t="shared" ref="H478:J478" si="412">F478*5</f>
        <v>190</v>
      </c>
      <c r="I478" s="469">
        <f t="shared" si="412"/>
        <v>950</v>
      </c>
      <c r="J478" s="469">
        <f t="shared" si="412"/>
        <v>950</v>
      </c>
      <c r="K478" s="469">
        <f t="shared" si="401"/>
        <v>4750</v>
      </c>
      <c r="L478" s="469">
        <f t="shared" si="402"/>
        <v>475</v>
      </c>
      <c r="M478" s="469">
        <f t="shared" si="403"/>
        <v>2375</v>
      </c>
      <c r="N478" s="385"/>
    </row>
    <row r="479" spans="1:14" ht="13.8">
      <c r="A479" s="466">
        <v>11</v>
      </c>
      <c r="B479" s="466" t="s">
        <v>4630</v>
      </c>
      <c r="C479" s="466" t="s">
        <v>4631</v>
      </c>
      <c r="D479" s="333" t="s">
        <v>3460</v>
      </c>
      <c r="E479" s="482" t="s">
        <v>3882</v>
      </c>
      <c r="F479" s="747">
        <v>40</v>
      </c>
      <c r="G479" s="747">
        <f t="shared" si="399"/>
        <v>200</v>
      </c>
      <c r="H479" s="469">
        <f t="shared" ref="H479:J479" si="413">F479*5</f>
        <v>200</v>
      </c>
      <c r="I479" s="469">
        <f t="shared" si="413"/>
        <v>1000</v>
      </c>
      <c r="J479" s="469">
        <f t="shared" si="413"/>
        <v>1000</v>
      </c>
      <c r="K479" s="469">
        <f t="shared" si="401"/>
        <v>5000</v>
      </c>
      <c r="L479" s="469">
        <f t="shared" si="402"/>
        <v>500</v>
      </c>
      <c r="M479" s="469">
        <f t="shared" si="403"/>
        <v>2500</v>
      </c>
      <c r="N479" s="385"/>
    </row>
    <row r="480" spans="1:14" ht="13.8">
      <c r="A480" s="466">
        <v>12</v>
      </c>
      <c r="B480" s="466" t="s">
        <v>4632</v>
      </c>
      <c r="C480" s="466" t="s">
        <v>4633</v>
      </c>
      <c r="D480" s="333" t="s">
        <v>3460</v>
      </c>
      <c r="E480" s="482" t="s">
        <v>3882</v>
      </c>
      <c r="F480" s="747">
        <v>40</v>
      </c>
      <c r="G480" s="747">
        <f t="shared" si="399"/>
        <v>200</v>
      </c>
      <c r="H480" s="469">
        <f t="shared" ref="H480:J480" si="414">F480*5</f>
        <v>200</v>
      </c>
      <c r="I480" s="469">
        <f t="shared" si="414"/>
        <v>1000</v>
      </c>
      <c r="J480" s="469">
        <f t="shared" si="414"/>
        <v>1000</v>
      </c>
      <c r="K480" s="469">
        <f t="shared" si="401"/>
        <v>5000</v>
      </c>
      <c r="L480" s="469">
        <f t="shared" si="402"/>
        <v>500</v>
      </c>
      <c r="M480" s="469">
        <f t="shared" si="403"/>
        <v>2500</v>
      </c>
      <c r="N480" s="385"/>
    </row>
    <row r="481" spans="1:14" ht="13.8">
      <c r="A481" s="466">
        <v>13</v>
      </c>
      <c r="B481" s="466" t="s">
        <v>4634</v>
      </c>
      <c r="C481" s="466" t="s">
        <v>4635</v>
      </c>
      <c r="D481" s="333" t="s">
        <v>3460</v>
      </c>
      <c r="E481" s="482" t="s">
        <v>3882</v>
      </c>
      <c r="F481" s="747">
        <v>40</v>
      </c>
      <c r="G481" s="747">
        <f t="shared" si="399"/>
        <v>200</v>
      </c>
      <c r="H481" s="469">
        <f t="shared" ref="H481:J481" si="415">F481*5</f>
        <v>200</v>
      </c>
      <c r="I481" s="469">
        <f t="shared" si="415"/>
        <v>1000</v>
      </c>
      <c r="J481" s="469">
        <f t="shared" si="415"/>
        <v>1000</v>
      </c>
      <c r="K481" s="469">
        <f t="shared" si="401"/>
        <v>5000</v>
      </c>
      <c r="L481" s="469">
        <f t="shared" si="402"/>
        <v>500</v>
      </c>
      <c r="M481" s="469">
        <f t="shared" si="403"/>
        <v>2500</v>
      </c>
      <c r="N481" s="385"/>
    </row>
    <row r="482" spans="1:14" ht="13.8">
      <c r="A482" s="466">
        <v>14</v>
      </c>
      <c r="B482" s="466" t="s">
        <v>4636</v>
      </c>
      <c r="C482" s="466" t="s">
        <v>4637</v>
      </c>
      <c r="D482" s="333" t="s">
        <v>3460</v>
      </c>
      <c r="E482" s="482" t="s">
        <v>3882</v>
      </c>
      <c r="F482" s="747">
        <v>40</v>
      </c>
      <c r="G482" s="747">
        <f t="shared" si="399"/>
        <v>200</v>
      </c>
      <c r="H482" s="469">
        <f t="shared" ref="H482:J482" si="416">F482*5</f>
        <v>200</v>
      </c>
      <c r="I482" s="469">
        <f t="shared" si="416"/>
        <v>1000</v>
      </c>
      <c r="J482" s="469">
        <f t="shared" si="416"/>
        <v>1000</v>
      </c>
      <c r="K482" s="469">
        <f t="shared" si="401"/>
        <v>5000</v>
      </c>
      <c r="L482" s="469">
        <f t="shared" si="402"/>
        <v>500</v>
      </c>
      <c r="M482" s="469">
        <f t="shared" si="403"/>
        <v>2500</v>
      </c>
      <c r="N482" s="385"/>
    </row>
    <row r="483" spans="1:14" ht="14.4">
      <c r="A483" s="1002" t="s">
        <v>318</v>
      </c>
      <c r="B483" s="931"/>
      <c r="C483" s="932"/>
      <c r="D483" s="883">
        <f>COUNTA(D469:D482)</f>
        <v>14</v>
      </c>
      <c r="E483" s="884"/>
      <c r="F483" s="884"/>
      <c r="G483" s="752">
        <f>SUM(G469:G482)</f>
        <v>2264</v>
      </c>
      <c r="H483" s="884"/>
      <c r="I483" s="753">
        <f>SUM(I469:I482)</f>
        <v>11320</v>
      </c>
      <c r="J483" s="885"/>
      <c r="K483" s="886"/>
      <c r="L483" s="886"/>
      <c r="M483" s="886"/>
      <c r="N483" s="886"/>
    </row>
    <row r="484" spans="1:14" ht="13.8">
      <c r="A484" s="331"/>
      <c r="B484" s="334"/>
      <c r="C484" s="334"/>
      <c r="D484" s="331"/>
      <c r="E484" s="334"/>
      <c r="F484" s="331"/>
      <c r="G484" s="863"/>
      <c r="H484" s="331"/>
      <c r="I484" s="864"/>
      <c r="J484" s="343"/>
      <c r="K484" s="344"/>
      <c r="L484" s="344"/>
      <c r="M484" s="344"/>
      <c r="N484" s="344"/>
    </row>
  </sheetData>
  <mergeCells count="74">
    <mergeCell ref="A229:N229"/>
    <mergeCell ref="A245:C245"/>
    <mergeCell ref="A249:N249"/>
    <mergeCell ref="A142:C142"/>
    <mergeCell ref="A160:C160"/>
    <mergeCell ref="A210:C210"/>
    <mergeCell ref="A214:N214"/>
    <mergeCell ref="A225:C225"/>
    <mergeCell ref="A124:N124"/>
    <mergeCell ref="A146:N146"/>
    <mergeCell ref="A164:N164"/>
    <mergeCell ref="F7:G7"/>
    <mergeCell ref="F8:G8"/>
    <mergeCell ref="A25:C25"/>
    <mergeCell ref="A29:N29"/>
    <mergeCell ref="A34:C34"/>
    <mergeCell ref="A38:N38"/>
    <mergeCell ref="A49:N49"/>
    <mergeCell ref="A45:C45"/>
    <mergeCell ref="A63:C63"/>
    <mergeCell ref="A77:C77"/>
    <mergeCell ref="A89:C89"/>
    <mergeCell ref="A99:C99"/>
    <mergeCell ref="A120:C120"/>
    <mergeCell ref="A13:N13"/>
    <mergeCell ref="A67:N67"/>
    <mergeCell ref="A81:N81"/>
    <mergeCell ref="A93:N93"/>
    <mergeCell ref="A103:N103"/>
    <mergeCell ref="A6:C6"/>
    <mergeCell ref="F6:G6"/>
    <mergeCell ref="A7:C7"/>
    <mergeCell ref="I7:J8"/>
    <mergeCell ref="K7:L8"/>
    <mergeCell ref="I2:M3"/>
    <mergeCell ref="A3:C3"/>
    <mergeCell ref="A4:C4"/>
    <mergeCell ref="A5:C5"/>
    <mergeCell ref="F5:G5"/>
    <mergeCell ref="F3:G3"/>
    <mergeCell ref="F4:G4"/>
    <mergeCell ref="A1:D1"/>
    <mergeCell ref="F1:H1"/>
    <mergeCell ref="A2:C2"/>
    <mergeCell ref="F2:G2"/>
    <mergeCell ref="A462:C462"/>
    <mergeCell ref="A483:C483"/>
    <mergeCell ref="A317:C317"/>
    <mergeCell ref="A337:C337"/>
    <mergeCell ref="A346:C346"/>
    <mergeCell ref="A362:C362"/>
    <mergeCell ref="A377:C377"/>
    <mergeCell ref="A391:C391"/>
    <mergeCell ref="A404:C404"/>
    <mergeCell ref="A428:N428"/>
    <mergeCell ref="A437:N437"/>
    <mergeCell ref="A467:N467"/>
    <mergeCell ref="A341:N341"/>
    <mergeCell ref="A350:N350"/>
    <mergeCell ref="A366:N366"/>
    <mergeCell ref="A381:N381"/>
    <mergeCell ref="A308:N308"/>
    <mergeCell ref="A321:N321"/>
    <mergeCell ref="A415:C415"/>
    <mergeCell ref="A424:C424"/>
    <mergeCell ref="A434:C434"/>
    <mergeCell ref="A395:N395"/>
    <mergeCell ref="A408:N408"/>
    <mergeCell ref="A419:N419"/>
    <mergeCell ref="A274:C274"/>
    <mergeCell ref="A278:N278"/>
    <mergeCell ref="A293:C293"/>
    <mergeCell ref="A297:N297"/>
    <mergeCell ref="A305:C305"/>
  </mergeCells>
  <pageMargins left="0.7" right="0.7" top="0.75" bottom="0.75" header="0.3" footer="0.3"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00"/>
    <outlinePr summaryBelow="0" summaryRight="0"/>
  </sheetPr>
  <dimension ref="A1:M258"/>
  <sheetViews>
    <sheetView workbookViewId="0"/>
  </sheetViews>
  <sheetFormatPr defaultColWidth="12.6640625" defaultRowHeight="15.75" customHeight="1"/>
  <cols>
    <col min="1" max="1" width="6" customWidth="1"/>
    <col min="2" max="2" width="10.109375" customWidth="1"/>
    <col min="3" max="3" width="15.6640625" customWidth="1"/>
    <col min="4" max="4" width="34" customWidth="1"/>
    <col min="5" max="5" width="5.77734375" customWidth="1"/>
    <col min="7" max="7" width="17.33203125" customWidth="1"/>
    <col min="8" max="8" width="13.109375" customWidth="1"/>
    <col min="9" max="9" width="8.44140625" customWidth="1"/>
    <col min="10" max="10" width="14.88671875" customWidth="1"/>
    <col min="11" max="11" width="22.21875" customWidth="1"/>
    <col min="12" max="12" width="15.33203125" customWidth="1"/>
  </cols>
  <sheetData>
    <row r="1" spans="1:13" ht="16.8">
      <c r="A1" s="971" t="s">
        <v>146</v>
      </c>
      <c r="B1" s="931"/>
      <c r="C1" s="931"/>
      <c r="D1" s="932"/>
      <c r="E1" s="252"/>
      <c r="F1" s="930" t="s">
        <v>147</v>
      </c>
      <c r="G1" s="931"/>
      <c r="H1" s="932"/>
      <c r="I1" s="252"/>
      <c r="J1" s="252"/>
      <c r="K1" s="252"/>
      <c r="L1" s="252"/>
      <c r="M1" s="252"/>
    </row>
    <row r="2" spans="1:13" ht="18">
      <c r="A2" s="971" t="s">
        <v>148</v>
      </c>
      <c r="B2" s="931"/>
      <c r="C2" s="932"/>
      <c r="D2" s="530" t="s">
        <v>149</v>
      </c>
      <c r="E2" s="252"/>
      <c r="F2" s="972" t="s">
        <v>150</v>
      </c>
      <c r="G2" s="932"/>
      <c r="H2" s="254"/>
      <c r="I2" s="938" t="s">
        <v>151</v>
      </c>
      <c r="J2" s="929"/>
      <c r="K2" s="929"/>
      <c r="L2" s="929"/>
      <c r="M2" s="929"/>
    </row>
    <row r="3" spans="1:13" ht="33.6">
      <c r="A3" s="976" t="s">
        <v>26</v>
      </c>
      <c r="B3" s="931"/>
      <c r="C3" s="932"/>
      <c r="D3" s="596"/>
      <c r="E3" s="252"/>
      <c r="F3" s="971" t="s">
        <v>153</v>
      </c>
      <c r="G3" s="932"/>
      <c r="H3" s="257" t="s">
        <v>4638</v>
      </c>
      <c r="I3" s="929"/>
      <c r="J3" s="929"/>
      <c r="K3" s="929"/>
      <c r="L3" s="929"/>
      <c r="M3" s="929"/>
    </row>
    <row r="4" spans="1:13" ht="39.75" customHeight="1">
      <c r="A4" s="976"/>
      <c r="B4" s="931"/>
      <c r="C4" s="932"/>
      <c r="D4" s="258"/>
      <c r="E4" s="252"/>
      <c r="F4" s="976" t="s">
        <v>156</v>
      </c>
      <c r="G4" s="932"/>
      <c r="H4" s="887"/>
      <c r="I4" s="1013" t="s">
        <v>159</v>
      </c>
      <c r="J4" s="935"/>
      <c r="K4" s="1012">
        <f>K16+K23+J32+J41+J50+J59+J68+J77+J86+J95+J103+J111+J120+J129+J139+J148+J157+J167+J176+J185+J194+J203+J212+J222+J231+J240+J248+J257</f>
        <v>37945</v>
      </c>
      <c r="L4" s="935"/>
      <c r="M4" s="252"/>
    </row>
    <row r="5" spans="1:13" ht="18">
      <c r="A5" s="976"/>
      <c r="B5" s="931"/>
      <c r="C5" s="932"/>
      <c r="D5" s="258"/>
      <c r="E5" s="252"/>
      <c r="F5" s="976" t="s">
        <v>158</v>
      </c>
      <c r="G5" s="932"/>
      <c r="H5" s="252"/>
      <c r="I5" s="1011" t="s">
        <v>1555</v>
      </c>
      <c r="J5" s="935"/>
      <c r="K5" s="1012">
        <f>L16+L23</f>
        <v>4185.2000000000007</v>
      </c>
      <c r="L5" s="935"/>
      <c r="M5" s="252"/>
    </row>
    <row r="6" spans="1:13" ht="16.8">
      <c r="A6" s="976" t="s">
        <v>160</v>
      </c>
      <c r="B6" s="931"/>
      <c r="C6" s="932"/>
      <c r="D6" s="260"/>
      <c r="E6" s="259"/>
      <c r="F6" s="976" t="s">
        <v>161</v>
      </c>
      <c r="G6" s="932"/>
      <c r="H6" s="252"/>
      <c r="I6" s="597"/>
      <c r="J6" s="597"/>
      <c r="K6" s="597"/>
      <c r="L6" s="597"/>
      <c r="M6" s="252"/>
    </row>
    <row r="7" spans="1:13" ht="18">
      <c r="A7" s="972" t="s">
        <v>162</v>
      </c>
      <c r="B7" s="931"/>
      <c r="C7" s="932"/>
      <c r="D7" s="598"/>
      <c r="E7" s="259"/>
      <c r="F7" s="976" t="s">
        <v>163</v>
      </c>
      <c r="G7" s="932"/>
      <c r="H7" s="252"/>
      <c r="I7" s="252"/>
      <c r="J7" s="252"/>
      <c r="K7" s="252"/>
      <c r="L7" s="252"/>
      <c r="M7" s="252"/>
    </row>
    <row r="8" spans="1:13" ht="16.8">
      <c r="A8" s="252"/>
      <c r="B8" s="252"/>
      <c r="C8" s="252"/>
      <c r="D8" s="252"/>
      <c r="E8" s="259"/>
      <c r="F8" s="976" t="s">
        <v>164</v>
      </c>
      <c r="G8" s="932"/>
      <c r="H8" s="252"/>
      <c r="I8" s="252"/>
      <c r="J8" s="252"/>
      <c r="K8" s="252"/>
      <c r="L8" s="252"/>
      <c r="M8" s="252"/>
    </row>
    <row r="9" spans="1:13" ht="16.8">
      <c r="A9" s="252"/>
      <c r="B9" s="261"/>
      <c r="C9" s="261"/>
      <c r="D9" s="262"/>
      <c r="E9" s="262"/>
      <c r="F9" s="252"/>
      <c r="G9" s="263"/>
      <c r="H9" s="252"/>
      <c r="I9" s="252"/>
      <c r="J9" s="252"/>
      <c r="K9" s="252"/>
      <c r="L9" s="252"/>
      <c r="M9" s="252"/>
    </row>
    <row r="10" spans="1:13" ht="16.2">
      <c r="A10" s="597"/>
      <c r="B10" s="597"/>
      <c r="C10" s="597"/>
      <c r="D10" s="597"/>
      <c r="E10" s="597"/>
      <c r="F10" s="597"/>
      <c r="G10" s="597"/>
      <c r="H10" s="597"/>
      <c r="I10" s="597"/>
      <c r="J10" s="597"/>
      <c r="K10" s="597"/>
      <c r="L10" s="597"/>
      <c r="M10" s="597"/>
    </row>
    <row r="11" spans="1:13" ht="13.2">
      <c r="A11" s="998" t="s">
        <v>1696</v>
      </c>
      <c r="B11" s="931"/>
      <c r="C11" s="931"/>
      <c r="D11" s="931"/>
      <c r="E11" s="931"/>
      <c r="F11" s="931"/>
      <c r="G11" s="931"/>
      <c r="H11" s="931"/>
      <c r="I11" s="931"/>
      <c r="J11" s="931"/>
      <c r="K11" s="931"/>
      <c r="L11" s="931"/>
      <c r="M11" s="932"/>
    </row>
    <row r="12" spans="1:13" ht="50.4">
      <c r="A12" s="253" t="s">
        <v>165</v>
      </c>
      <c r="B12" s="282" t="s">
        <v>166</v>
      </c>
      <c r="C12" s="282" t="s">
        <v>1556</v>
      </c>
      <c r="D12" s="282" t="s">
        <v>168</v>
      </c>
      <c r="E12" s="282" t="s">
        <v>169</v>
      </c>
      <c r="F12" s="282" t="s">
        <v>1557</v>
      </c>
      <c r="G12" s="282" t="s">
        <v>1558</v>
      </c>
      <c r="H12" s="282" t="s">
        <v>1559</v>
      </c>
      <c r="I12" s="282" t="s">
        <v>4639</v>
      </c>
      <c r="J12" s="670" t="s">
        <v>3689</v>
      </c>
      <c r="K12" s="686" t="s">
        <v>1562</v>
      </c>
      <c r="L12" s="671" t="s">
        <v>1563</v>
      </c>
      <c r="M12" s="287" t="s">
        <v>177</v>
      </c>
    </row>
    <row r="13" spans="1:13" ht="16.8">
      <c r="A13" s="254"/>
      <c r="B13" s="254"/>
      <c r="C13" s="291"/>
      <c r="D13" s="291"/>
      <c r="E13" s="291"/>
      <c r="F13" s="706"/>
      <c r="G13" s="706"/>
      <c r="H13" s="706"/>
      <c r="I13" s="888"/>
      <c r="J13" s="889"/>
      <c r="K13" s="889"/>
      <c r="L13" s="890"/>
      <c r="M13" s="890"/>
    </row>
    <row r="14" spans="1:13" ht="16.8">
      <c r="A14" s="254"/>
      <c r="B14" s="308"/>
      <c r="C14" s="700"/>
      <c r="D14" s="700"/>
      <c r="E14" s="700"/>
      <c r="F14" s="712"/>
      <c r="G14" s="712"/>
      <c r="H14" s="712"/>
      <c r="I14" s="891"/>
      <c r="J14" s="892"/>
      <c r="K14" s="892"/>
      <c r="L14" s="893"/>
      <c r="M14" s="893"/>
    </row>
    <row r="15" spans="1:13" ht="16.8">
      <c r="A15" s="254"/>
      <c r="B15" s="308"/>
      <c r="C15" s="700"/>
      <c r="D15" s="700"/>
      <c r="E15" s="700"/>
      <c r="F15" s="712"/>
      <c r="G15" s="712"/>
      <c r="H15" s="712"/>
      <c r="I15" s="891"/>
      <c r="J15" s="892"/>
      <c r="K15" s="892"/>
      <c r="L15" s="893"/>
      <c r="M15" s="893"/>
    </row>
    <row r="16" spans="1:13" ht="19.8">
      <c r="A16" s="894"/>
      <c r="B16" s="895" t="s">
        <v>26</v>
      </c>
      <c r="C16" s="894">
        <f t="array" ref="C16">COUNTA(C13:INDEX(C:C,ROW()-1))</f>
        <v>0</v>
      </c>
      <c r="D16" s="894"/>
      <c r="E16" s="894"/>
      <c r="F16" s="894"/>
      <c r="G16" s="894"/>
      <c r="H16" s="894"/>
      <c r="I16" s="894"/>
      <c r="J16" s="896">
        <f>SUM(J13:J15)</f>
        <v>0</v>
      </c>
      <c r="K16" s="896">
        <f>SUM(L4:L15)</f>
        <v>0</v>
      </c>
      <c r="L16" s="1014">
        <f>SUM(L4:L15)</f>
        <v>0</v>
      </c>
      <c r="M16" s="932"/>
    </row>
    <row r="17" spans="1:13" ht="16.8">
      <c r="A17" s="252"/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</row>
    <row r="18" spans="1:13" ht="16.2">
      <c r="A18" s="597"/>
      <c r="B18" s="597"/>
      <c r="C18" s="597"/>
      <c r="D18" s="597"/>
      <c r="E18" s="597"/>
      <c r="F18" s="597"/>
      <c r="G18" s="597"/>
      <c r="H18" s="597"/>
      <c r="I18" s="597"/>
      <c r="J18" s="597"/>
      <c r="K18" s="597"/>
      <c r="L18" s="597"/>
      <c r="M18" s="597"/>
    </row>
    <row r="19" spans="1:13" ht="13.2">
      <c r="A19" s="998" t="s">
        <v>4640</v>
      </c>
      <c r="B19" s="931"/>
      <c r="C19" s="931"/>
      <c r="D19" s="931"/>
      <c r="E19" s="931"/>
      <c r="F19" s="931"/>
      <c r="G19" s="931"/>
      <c r="H19" s="931"/>
      <c r="I19" s="931"/>
      <c r="J19" s="931"/>
      <c r="K19" s="931"/>
      <c r="L19" s="931"/>
      <c r="M19" s="932"/>
    </row>
    <row r="20" spans="1:13" ht="50.4">
      <c r="A20" s="253" t="s">
        <v>165</v>
      </c>
      <c r="B20" s="282" t="s">
        <v>166</v>
      </c>
      <c r="C20" s="282" t="s">
        <v>1556</v>
      </c>
      <c r="D20" s="282" t="s">
        <v>168</v>
      </c>
      <c r="E20" s="282" t="s">
        <v>169</v>
      </c>
      <c r="F20" s="282" t="s">
        <v>1557</v>
      </c>
      <c r="G20" s="282" t="s">
        <v>1558</v>
      </c>
      <c r="H20" s="282" t="s">
        <v>1559</v>
      </c>
      <c r="I20" s="282" t="s">
        <v>4639</v>
      </c>
      <c r="J20" s="670" t="s">
        <v>3689</v>
      </c>
      <c r="K20" s="686" t="s">
        <v>1562</v>
      </c>
      <c r="L20" s="671" t="s">
        <v>1563</v>
      </c>
      <c r="M20" s="287" t="s">
        <v>177</v>
      </c>
    </row>
    <row r="21" spans="1:13" ht="18">
      <c r="A21" s="254">
        <v>1</v>
      </c>
      <c r="B21" s="254" t="s">
        <v>4641</v>
      </c>
      <c r="C21" s="254" t="s">
        <v>4642</v>
      </c>
      <c r="D21" s="254" t="s">
        <v>4643</v>
      </c>
      <c r="E21" s="254">
        <v>6.9</v>
      </c>
      <c r="F21" s="320">
        <v>4500</v>
      </c>
      <c r="G21" s="320">
        <v>31050</v>
      </c>
      <c r="H21" s="897">
        <v>12994</v>
      </c>
      <c r="I21" s="898">
        <v>0.2</v>
      </c>
      <c r="J21" s="899">
        <f>H21*(1-I21)</f>
        <v>10395.200000000001</v>
      </c>
      <c r="K21" s="897">
        <v>6210</v>
      </c>
      <c r="L21" s="897">
        <f>J21-K21</f>
        <v>4185.2000000000007</v>
      </c>
      <c r="M21" s="253" t="s">
        <v>1565</v>
      </c>
    </row>
    <row r="22" spans="1:13" ht="36">
      <c r="A22" s="254"/>
      <c r="B22" s="254" t="s">
        <v>4644</v>
      </c>
      <c r="C22" s="254" t="s">
        <v>4645</v>
      </c>
      <c r="D22" s="254" t="s">
        <v>4646</v>
      </c>
      <c r="E22" s="254">
        <v>6.8</v>
      </c>
      <c r="F22" s="320" t="s">
        <v>4647</v>
      </c>
      <c r="G22" s="320" t="s">
        <v>4648</v>
      </c>
      <c r="H22" s="897" t="s">
        <v>4649</v>
      </c>
      <c r="I22" s="898">
        <v>0</v>
      </c>
      <c r="J22" s="900" t="s">
        <v>4650</v>
      </c>
      <c r="K22" s="901">
        <v>6120</v>
      </c>
      <c r="L22" s="897" t="s">
        <v>4651</v>
      </c>
      <c r="M22" s="253" t="s">
        <v>1724</v>
      </c>
    </row>
    <row r="23" spans="1:13" ht="19.8">
      <c r="A23" s="894"/>
      <c r="B23" s="902" t="s">
        <v>26</v>
      </c>
      <c r="C23" s="903">
        <f t="array" ref="C23">COUNTA(C21:INDEX(C:C,ROW()-1))</f>
        <v>2</v>
      </c>
      <c r="D23" s="904"/>
      <c r="E23" s="903"/>
      <c r="F23" s="905"/>
      <c r="G23" s="905"/>
      <c r="H23" s="905"/>
      <c r="I23" s="906"/>
      <c r="J23" s="896">
        <f t="shared" ref="J23:L23" si="0">SUM(J21:J22)</f>
        <v>10395.200000000001</v>
      </c>
      <c r="K23" s="896">
        <f t="shared" si="0"/>
        <v>12330</v>
      </c>
      <c r="L23" s="1014">
        <f t="shared" si="0"/>
        <v>4185.2000000000007</v>
      </c>
      <c r="M23" s="932"/>
    </row>
    <row r="24" spans="1:13" ht="16.2">
      <c r="A24" s="597"/>
      <c r="B24" s="597"/>
      <c r="C24" s="597"/>
      <c r="D24" s="597"/>
      <c r="E24" s="597"/>
      <c r="F24" s="597"/>
      <c r="G24" s="597"/>
      <c r="H24" s="597"/>
      <c r="I24" s="597"/>
      <c r="J24" s="597"/>
      <c r="K24" s="597"/>
      <c r="L24" s="597"/>
      <c r="M24" s="597"/>
    </row>
    <row r="25" spans="1:13" ht="16.2">
      <c r="A25" s="597"/>
      <c r="B25" s="597"/>
      <c r="C25" s="597"/>
      <c r="D25" s="597"/>
      <c r="E25" s="597"/>
      <c r="F25" s="597"/>
      <c r="G25" s="597"/>
      <c r="H25" s="597"/>
      <c r="I25" s="597"/>
      <c r="J25" s="597"/>
      <c r="K25" s="597"/>
      <c r="L25" s="597"/>
      <c r="M25" s="597"/>
    </row>
    <row r="26" spans="1:13" ht="16.2">
      <c r="A26" s="597"/>
      <c r="B26" s="597"/>
      <c r="C26" s="597"/>
      <c r="D26" s="597"/>
      <c r="E26" s="597"/>
      <c r="F26" s="597"/>
      <c r="G26" s="597"/>
      <c r="H26" s="597"/>
      <c r="I26" s="597"/>
      <c r="J26" s="597"/>
      <c r="K26" s="597"/>
      <c r="L26" s="597"/>
      <c r="M26" s="597"/>
    </row>
    <row r="27" spans="1:13" ht="13.2">
      <c r="A27" s="998" t="s">
        <v>4652</v>
      </c>
      <c r="B27" s="931"/>
      <c r="C27" s="931"/>
      <c r="D27" s="931"/>
      <c r="E27" s="931"/>
      <c r="F27" s="931"/>
      <c r="G27" s="931"/>
      <c r="H27" s="931"/>
      <c r="I27" s="931"/>
      <c r="J27" s="931"/>
      <c r="K27" s="931"/>
      <c r="L27" s="931"/>
      <c r="M27" s="932"/>
    </row>
    <row r="28" spans="1:13" ht="50.4">
      <c r="A28" s="253" t="s">
        <v>165</v>
      </c>
      <c r="B28" s="282" t="s">
        <v>166</v>
      </c>
      <c r="C28" s="282" t="s">
        <v>1556</v>
      </c>
      <c r="D28" s="282" t="s">
        <v>168</v>
      </c>
      <c r="E28" s="282" t="s">
        <v>169</v>
      </c>
      <c r="F28" s="282" t="s">
        <v>1557</v>
      </c>
      <c r="G28" s="282" t="s">
        <v>1558</v>
      </c>
      <c r="H28" s="282" t="s">
        <v>1559</v>
      </c>
      <c r="I28" s="282" t="s">
        <v>4639</v>
      </c>
      <c r="J28" s="670" t="s">
        <v>3689</v>
      </c>
      <c r="K28" s="686" t="s">
        <v>1562</v>
      </c>
      <c r="L28" s="671" t="s">
        <v>1563</v>
      </c>
      <c r="M28" s="287" t="s">
        <v>177</v>
      </c>
    </row>
    <row r="29" spans="1:13" ht="16.8">
      <c r="A29" s="254"/>
      <c r="B29" s="254"/>
      <c r="C29" s="291"/>
      <c r="D29" s="291"/>
      <c r="E29" s="291"/>
      <c r="F29" s="706"/>
      <c r="G29" s="706"/>
      <c r="H29" s="706"/>
      <c r="I29" s="888"/>
      <c r="J29" s="889"/>
      <c r="K29" s="889"/>
      <c r="L29" s="890"/>
      <c r="M29" s="890"/>
    </row>
    <row r="30" spans="1:13" ht="16.8">
      <c r="A30" s="254"/>
      <c r="B30" s="308"/>
      <c r="C30" s="700"/>
      <c r="D30" s="700"/>
      <c r="E30" s="700"/>
      <c r="F30" s="712"/>
      <c r="G30" s="712"/>
      <c r="H30" s="712"/>
      <c r="I30" s="891"/>
      <c r="J30" s="892"/>
      <c r="K30" s="892"/>
      <c r="L30" s="893"/>
      <c r="M30" s="893"/>
    </row>
    <row r="31" spans="1:13" ht="16.8">
      <c r="A31" s="254"/>
      <c r="B31" s="308"/>
      <c r="C31" s="700"/>
      <c r="D31" s="700"/>
      <c r="E31" s="700"/>
      <c r="F31" s="712"/>
      <c r="G31" s="712"/>
      <c r="H31" s="712"/>
      <c r="I31" s="891"/>
      <c r="J31" s="892"/>
      <c r="K31" s="892"/>
      <c r="L31" s="893"/>
      <c r="M31" s="893"/>
    </row>
    <row r="32" spans="1:13" ht="19.8">
      <c r="A32" s="894"/>
      <c r="B32" s="895" t="s">
        <v>26</v>
      </c>
      <c r="C32" s="894">
        <f t="array" ref="C32">COUNTA(C29:INDEX(C:C,ROW()-1))</f>
        <v>0</v>
      </c>
      <c r="D32" s="894"/>
      <c r="E32" s="894"/>
      <c r="F32" s="894"/>
      <c r="G32" s="894"/>
      <c r="H32" s="894"/>
      <c r="I32" s="894"/>
      <c r="J32" s="1015">
        <f>SUM(K29:K31)</f>
        <v>0</v>
      </c>
      <c r="K32" s="932"/>
      <c r="L32" s="1014">
        <f>SUM(L29:L31)</f>
        <v>0</v>
      </c>
      <c r="M32" s="932"/>
    </row>
    <row r="33" spans="1:13" ht="16.2">
      <c r="A33" s="597"/>
      <c r="B33" s="597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</row>
    <row r="34" spans="1:13" ht="16.2">
      <c r="A34" s="597"/>
      <c r="B34" s="597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</row>
    <row r="35" spans="1:13" ht="16.2">
      <c r="A35" s="597"/>
      <c r="B35" s="597"/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</row>
    <row r="36" spans="1:13" ht="13.2">
      <c r="A36" s="998" t="s">
        <v>4653</v>
      </c>
      <c r="B36" s="931"/>
      <c r="C36" s="931"/>
      <c r="D36" s="931"/>
      <c r="E36" s="931"/>
      <c r="F36" s="931"/>
      <c r="G36" s="931"/>
      <c r="H36" s="931"/>
      <c r="I36" s="931"/>
      <c r="J36" s="931"/>
      <c r="K36" s="931"/>
      <c r="L36" s="931"/>
      <c r="M36" s="932"/>
    </row>
    <row r="37" spans="1:13" ht="50.4">
      <c r="A37" s="253" t="s">
        <v>165</v>
      </c>
      <c r="B37" s="282" t="s">
        <v>166</v>
      </c>
      <c r="C37" s="282" t="s">
        <v>1556</v>
      </c>
      <c r="D37" s="282" t="s">
        <v>168</v>
      </c>
      <c r="E37" s="282" t="s">
        <v>169</v>
      </c>
      <c r="F37" s="282" t="s">
        <v>1557</v>
      </c>
      <c r="G37" s="282" t="s">
        <v>1558</v>
      </c>
      <c r="H37" s="282" t="s">
        <v>1559</v>
      </c>
      <c r="I37" s="282" t="s">
        <v>4639</v>
      </c>
      <c r="J37" s="670" t="s">
        <v>3689</v>
      </c>
      <c r="K37" s="686" t="s">
        <v>1562</v>
      </c>
      <c r="L37" s="671" t="s">
        <v>1563</v>
      </c>
      <c r="M37" s="287" t="s">
        <v>177</v>
      </c>
    </row>
    <row r="38" spans="1:13" ht="33.6">
      <c r="A38" s="254"/>
      <c r="B38" s="319" t="s">
        <v>4654</v>
      </c>
      <c r="C38" s="610" t="s">
        <v>3809</v>
      </c>
      <c r="D38" s="610" t="s">
        <v>4655</v>
      </c>
      <c r="E38" s="610" t="s">
        <v>3882</v>
      </c>
      <c r="F38" s="907">
        <v>2860</v>
      </c>
      <c r="G38" s="706">
        <v>14300</v>
      </c>
      <c r="H38" s="706">
        <v>12155</v>
      </c>
      <c r="I38" s="888">
        <v>0</v>
      </c>
      <c r="J38" s="908">
        <v>12155</v>
      </c>
      <c r="K38" s="707">
        <v>5725</v>
      </c>
      <c r="L38" s="680">
        <v>6430</v>
      </c>
      <c r="M38" s="890" t="s">
        <v>1724</v>
      </c>
    </row>
    <row r="39" spans="1:13" ht="16.8">
      <c r="A39" s="254"/>
      <c r="B39" s="308"/>
      <c r="C39" s="700"/>
      <c r="D39" s="700"/>
      <c r="E39" s="700"/>
      <c r="F39" s="712"/>
      <c r="G39" s="712"/>
      <c r="H39" s="712"/>
      <c r="I39" s="891"/>
      <c r="J39" s="892"/>
      <c r="K39" s="892"/>
      <c r="L39" s="893"/>
      <c r="M39" s="893"/>
    </row>
    <row r="40" spans="1:13" ht="16.8">
      <c r="A40" s="254"/>
      <c r="B40" s="308"/>
      <c r="C40" s="700"/>
      <c r="D40" s="700"/>
      <c r="E40" s="700"/>
      <c r="F40" s="712"/>
      <c r="G40" s="712"/>
      <c r="H40" s="712"/>
      <c r="I40" s="891"/>
      <c r="J40" s="892"/>
      <c r="K40" s="892"/>
      <c r="L40" s="893"/>
      <c r="M40" s="893"/>
    </row>
    <row r="41" spans="1:13" ht="19.8">
      <c r="A41" s="894"/>
      <c r="B41" s="895" t="s">
        <v>26</v>
      </c>
      <c r="C41" s="894">
        <f t="array" ref="C41">COUNTA(C38:INDEX(C:C,ROW()-1))</f>
        <v>1</v>
      </c>
      <c r="D41" s="894"/>
      <c r="E41" s="894"/>
      <c r="F41" s="894"/>
      <c r="G41" s="894"/>
      <c r="H41" s="894"/>
      <c r="I41" s="894"/>
      <c r="J41" s="1015">
        <f>SUM(K38:K40)</f>
        <v>5725</v>
      </c>
      <c r="K41" s="932"/>
      <c r="L41" s="1014">
        <f>SUM(L38:L40)</f>
        <v>6430</v>
      </c>
      <c r="M41" s="932"/>
    </row>
    <row r="42" spans="1:13" ht="16.2">
      <c r="A42" s="597"/>
      <c r="B42" s="597"/>
      <c r="C42" s="597"/>
      <c r="D42" s="597"/>
      <c r="E42" s="597"/>
      <c r="F42" s="597"/>
      <c r="G42" s="597"/>
      <c r="H42" s="597"/>
      <c r="I42" s="597"/>
      <c r="J42" s="597"/>
      <c r="K42" s="597"/>
      <c r="L42" s="597"/>
      <c r="M42" s="597"/>
    </row>
    <row r="43" spans="1:13" ht="16.2">
      <c r="A43" s="597"/>
      <c r="B43" s="597"/>
      <c r="C43" s="597"/>
      <c r="D43" s="597"/>
      <c r="E43" s="597"/>
      <c r="F43" s="597"/>
      <c r="G43" s="597"/>
      <c r="H43" s="597"/>
      <c r="I43" s="597"/>
      <c r="J43" s="597"/>
      <c r="K43" s="597"/>
      <c r="L43" s="597"/>
      <c r="M43" s="597"/>
    </row>
    <row r="44" spans="1:13" ht="16.2">
      <c r="A44" s="597"/>
      <c r="B44" s="597"/>
      <c r="C44" s="597"/>
      <c r="D44" s="597"/>
      <c r="E44" s="597"/>
      <c r="F44" s="597"/>
      <c r="G44" s="597"/>
      <c r="H44" s="597"/>
      <c r="I44" s="597"/>
      <c r="J44" s="597"/>
      <c r="K44" s="597"/>
      <c r="L44" s="597"/>
      <c r="M44" s="597"/>
    </row>
    <row r="45" spans="1:13" ht="13.2">
      <c r="A45" s="998" t="s">
        <v>4656</v>
      </c>
      <c r="B45" s="931"/>
      <c r="C45" s="931"/>
      <c r="D45" s="931"/>
      <c r="E45" s="931"/>
      <c r="F45" s="931"/>
      <c r="G45" s="931"/>
      <c r="H45" s="931"/>
      <c r="I45" s="931"/>
      <c r="J45" s="931"/>
      <c r="K45" s="931"/>
      <c r="L45" s="931"/>
      <c r="M45" s="932"/>
    </row>
    <row r="46" spans="1:13" ht="50.4">
      <c r="A46" s="253" t="s">
        <v>165</v>
      </c>
      <c r="B46" s="282" t="s">
        <v>166</v>
      </c>
      <c r="C46" s="282" t="s">
        <v>1556</v>
      </c>
      <c r="D46" s="282" t="s">
        <v>168</v>
      </c>
      <c r="E46" s="282" t="s">
        <v>169</v>
      </c>
      <c r="F46" s="282" t="s">
        <v>1557</v>
      </c>
      <c r="G46" s="282" t="s">
        <v>1558</v>
      </c>
      <c r="H46" s="282" t="s">
        <v>1559</v>
      </c>
      <c r="I46" s="282" t="s">
        <v>4639</v>
      </c>
      <c r="J46" s="670" t="s">
        <v>3689</v>
      </c>
      <c r="K46" s="686" t="s">
        <v>1562</v>
      </c>
      <c r="L46" s="671" t="s">
        <v>1563</v>
      </c>
      <c r="M46" s="287" t="s">
        <v>177</v>
      </c>
    </row>
    <row r="47" spans="1:13" ht="18">
      <c r="A47" s="254">
        <v>2</v>
      </c>
      <c r="B47" s="254" t="s">
        <v>4657</v>
      </c>
      <c r="C47" s="254" t="s">
        <v>4658</v>
      </c>
      <c r="D47" s="254" t="s">
        <v>3852</v>
      </c>
      <c r="E47" s="254">
        <v>6.7</v>
      </c>
      <c r="F47" s="320">
        <v>1775</v>
      </c>
      <c r="G47" s="320">
        <f t="shared" ref="G47:G49" si="1">E47*F47</f>
        <v>11892.5</v>
      </c>
      <c r="H47" s="897">
        <v>4976</v>
      </c>
      <c r="I47" s="898">
        <v>0.2</v>
      </c>
      <c r="J47" s="899">
        <f t="shared" ref="J47:J49" si="2">H47*(1-I47)</f>
        <v>3980.8</v>
      </c>
      <c r="K47" s="897">
        <v>2378.5</v>
      </c>
      <c r="L47" s="897">
        <f t="shared" ref="L47:L49" si="3">J47-K47</f>
        <v>1602.3000000000002</v>
      </c>
      <c r="M47" s="253" t="s">
        <v>1565</v>
      </c>
    </row>
    <row r="48" spans="1:13" ht="18">
      <c r="A48" s="254">
        <v>3</v>
      </c>
      <c r="B48" s="254" t="s">
        <v>4659</v>
      </c>
      <c r="C48" s="254" t="s">
        <v>4660</v>
      </c>
      <c r="D48" s="254" t="s">
        <v>3866</v>
      </c>
      <c r="E48" s="254">
        <v>6.7</v>
      </c>
      <c r="F48" s="320">
        <v>2425</v>
      </c>
      <c r="G48" s="320">
        <f t="shared" si="1"/>
        <v>16247.5</v>
      </c>
      <c r="H48" s="897">
        <v>6799</v>
      </c>
      <c r="I48" s="898">
        <v>0.2</v>
      </c>
      <c r="J48" s="899">
        <f t="shared" si="2"/>
        <v>5439.2000000000007</v>
      </c>
      <c r="K48" s="897">
        <v>3249.5</v>
      </c>
      <c r="L48" s="897">
        <f t="shared" si="3"/>
        <v>2189.7000000000007</v>
      </c>
      <c r="M48" s="253" t="s">
        <v>1565</v>
      </c>
    </row>
    <row r="49" spans="1:13" ht="18">
      <c r="A49" s="254">
        <v>4</v>
      </c>
      <c r="B49" s="254" t="s">
        <v>4661</v>
      </c>
      <c r="C49" s="254">
        <v>9448</v>
      </c>
      <c r="D49" s="254" t="s">
        <v>3944</v>
      </c>
      <c r="E49" s="254">
        <v>7</v>
      </c>
      <c r="F49" s="320">
        <v>1650</v>
      </c>
      <c r="G49" s="320">
        <f t="shared" si="1"/>
        <v>11550</v>
      </c>
      <c r="H49" s="897">
        <v>4833</v>
      </c>
      <c r="I49" s="898">
        <v>0.2</v>
      </c>
      <c r="J49" s="899">
        <f t="shared" si="2"/>
        <v>3866.4</v>
      </c>
      <c r="K49" s="897">
        <v>2310</v>
      </c>
      <c r="L49" s="897">
        <f t="shared" si="3"/>
        <v>1556.4</v>
      </c>
      <c r="M49" s="253" t="s">
        <v>1565</v>
      </c>
    </row>
    <row r="50" spans="1:13" ht="19.8">
      <c r="A50" s="894"/>
      <c r="B50" s="895" t="s">
        <v>26</v>
      </c>
      <c r="C50" s="894">
        <f t="array" ref="C50">COUNTA(C47:INDEX(C:C,ROW()-1))</f>
        <v>3</v>
      </c>
      <c r="D50" s="894"/>
      <c r="E50" s="894"/>
      <c r="F50" s="894"/>
      <c r="G50" s="894"/>
      <c r="H50" s="894"/>
      <c r="I50" s="894"/>
      <c r="J50" s="1015">
        <f>SUM(K47:K49)</f>
        <v>7938</v>
      </c>
      <c r="K50" s="932"/>
      <c r="L50" s="1014">
        <f>SUM(L47:L49)</f>
        <v>5348.4000000000015</v>
      </c>
      <c r="M50" s="932"/>
    </row>
    <row r="51" spans="1:13" ht="16.2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</row>
    <row r="52" spans="1:13" ht="16.2">
      <c r="A52" s="597"/>
      <c r="B52" s="597"/>
      <c r="C52" s="597"/>
      <c r="D52" s="597"/>
      <c r="E52" s="597"/>
      <c r="F52" s="597"/>
      <c r="G52" s="597"/>
      <c r="H52" s="597"/>
      <c r="I52" s="597"/>
      <c r="J52" s="597"/>
      <c r="K52" s="597"/>
      <c r="L52" s="597"/>
      <c r="M52" s="597"/>
    </row>
    <row r="53" spans="1:13" ht="16.2">
      <c r="A53" s="597"/>
      <c r="B53" s="597"/>
      <c r="C53" s="597"/>
      <c r="D53" s="597"/>
      <c r="E53" s="597"/>
      <c r="F53" s="597"/>
      <c r="G53" s="597"/>
      <c r="H53" s="597"/>
      <c r="I53" s="597"/>
      <c r="J53" s="597"/>
      <c r="K53" s="597"/>
      <c r="L53" s="597"/>
      <c r="M53" s="597"/>
    </row>
    <row r="54" spans="1:13" ht="13.2">
      <c r="A54" s="998" t="s">
        <v>4662</v>
      </c>
      <c r="B54" s="931"/>
      <c r="C54" s="931"/>
      <c r="D54" s="931"/>
      <c r="E54" s="931"/>
      <c r="F54" s="931"/>
      <c r="G54" s="931"/>
      <c r="H54" s="931"/>
      <c r="I54" s="931"/>
      <c r="J54" s="931"/>
      <c r="K54" s="931"/>
      <c r="L54" s="931"/>
      <c r="M54" s="932"/>
    </row>
    <row r="55" spans="1:13" ht="50.4">
      <c r="A55" s="253" t="s">
        <v>165</v>
      </c>
      <c r="B55" s="282" t="s">
        <v>166</v>
      </c>
      <c r="C55" s="282" t="s">
        <v>1556</v>
      </c>
      <c r="D55" s="282" t="s">
        <v>168</v>
      </c>
      <c r="E55" s="282" t="s">
        <v>169</v>
      </c>
      <c r="F55" s="282" t="s">
        <v>1557</v>
      </c>
      <c r="G55" s="282" t="s">
        <v>1558</v>
      </c>
      <c r="H55" s="282" t="s">
        <v>1559</v>
      </c>
      <c r="I55" s="282" t="s">
        <v>4639</v>
      </c>
      <c r="J55" s="670" t="s">
        <v>3689</v>
      </c>
      <c r="K55" s="686" t="s">
        <v>1562</v>
      </c>
      <c r="L55" s="671" t="s">
        <v>1563</v>
      </c>
      <c r="M55" s="287" t="s">
        <v>177</v>
      </c>
    </row>
    <row r="56" spans="1:13" ht="16.8">
      <c r="A56" s="254"/>
      <c r="B56" s="254"/>
      <c r="C56" s="291"/>
      <c r="D56" s="291"/>
      <c r="E56" s="291"/>
      <c r="F56" s="706"/>
      <c r="G56" s="706"/>
      <c r="H56" s="706"/>
      <c r="I56" s="888"/>
      <c r="J56" s="889"/>
      <c r="K56" s="889"/>
      <c r="L56" s="890"/>
      <c r="M56" s="890"/>
    </row>
    <row r="57" spans="1:13" ht="16.8">
      <c r="A57" s="254"/>
      <c r="B57" s="308"/>
      <c r="C57" s="700"/>
      <c r="D57" s="700"/>
      <c r="E57" s="700"/>
      <c r="F57" s="712"/>
      <c r="G57" s="712"/>
      <c r="H57" s="712"/>
      <c r="I57" s="891"/>
      <c r="J57" s="892"/>
      <c r="K57" s="892"/>
      <c r="L57" s="893"/>
      <c r="M57" s="893"/>
    </row>
    <row r="58" spans="1:13" ht="16.8">
      <c r="A58" s="254"/>
      <c r="B58" s="308"/>
      <c r="C58" s="700"/>
      <c r="D58" s="700"/>
      <c r="E58" s="700"/>
      <c r="F58" s="712"/>
      <c r="G58" s="712"/>
      <c r="H58" s="712"/>
      <c r="I58" s="891"/>
      <c r="J58" s="892"/>
      <c r="K58" s="892"/>
      <c r="L58" s="893"/>
      <c r="M58" s="893"/>
    </row>
    <row r="59" spans="1:13" ht="19.8">
      <c r="A59" s="894"/>
      <c r="B59" s="895" t="s">
        <v>26</v>
      </c>
      <c r="C59" s="894">
        <f t="array" ref="C59">COUNTA(C56:INDEX(C:C,ROW()-1))</f>
        <v>0</v>
      </c>
      <c r="D59" s="894"/>
      <c r="E59" s="894"/>
      <c r="F59" s="894"/>
      <c r="G59" s="894"/>
      <c r="H59" s="894"/>
      <c r="I59" s="894"/>
      <c r="J59" s="1015">
        <f>SUM(K56:K58)</f>
        <v>0</v>
      </c>
      <c r="K59" s="932"/>
      <c r="L59" s="1014">
        <f>SUM(L56:L58)</f>
        <v>0</v>
      </c>
      <c r="M59" s="932"/>
    </row>
    <row r="60" spans="1:13" ht="16.2">
      <c r="A60" s="597"/>
      <c r="B60" s="597"/>
      <c r="C60" s="597"/>
      <c r="D60" s="597"/>
      <c r="E60" s="597"/>
      <c r="F60" s="597"/>
      <c r="G60" s="597"/>
      <c r="H60" s="597"/>
      <c r="I60" s="597"/>
      <c r="J60" s="597"/>
      <c r="K60" s="597"/>
      <c r="L60" s="597"/>
      <c r="M60" s="597"/>
    </row>
    <row r="61" spans="1:13" ht="16.2">
      <c r="A61" s="597"/>
      <c r="B61" s="597"/>
      <c r="C61" s="597"/>
      <c r="D61" s="597"/>
      <c r="E61" s="597"/>
      <c r="F61" s="597"/>
      <c r="G61" s="597"/>
      <c r="H61" s="597"/>
      <c r="I61" s="597"/>
      <c r="J61" s="597"/>
      <c r="K61" s="597"/>
      <c r="L61" s="597"/>
      <c r="M61" s="597"/>
    </row>
    <row r="62" spans="1:13" ht="16.2">
      <c r="A62" s="597"/>
      <c r="B62" s="597"/>
      <c r="C62" s="597"/>
      <c r="D62" s="597"/>
      <c r="E62" s="597"/>
      <c r="F62" s="597"/>
      <c r="G62" s="597"/>
      <c r="H62" s="597"/>
      <c r="I62" s="597"/>
      <c r="J62" s="597"/>
      <c r="K62" s="597"/>
      <c r="L62" s="597"/>
      <c r="M62" s="597"/>
    </row>
    <row r="63" spans="1:13" ht="13.2">
      <c r="A63" s="998" t="s">
        <v>4663</v>
      </c>
      <c r="B63" s="931"/>
      <c r="C63" s="931"/>
      <c r="D63" s="931"/>
      <c r="E63" s="931"/>
      <c r="F63" s="931"/>
      <c r="G63" s="931"/>
      <c r="H63" s="931"/>
      <c r="I63" s="931"/>
      <c r="J63" s="931"/>
      <c r="K63" s="931"/>
      <c r="L63" s="931"/>
      <c r="M63" s="932"/>
    </row>
    <row r="64" spans="1:13" ht="50.4">
      <c r="A64" s="253" t="s">
        <v>165</v>
      </c>
      <c r="B64" s="282" t="s">
        <v>166</v>
      </c>
      <c r="C64" s="282" t="s">
        <v>1556</v>
      </c>
      <c r="D64" s="282" t="s">
        <v>168</v>
      </c>
      <c r="E64" s="282" t="s">
        <v>169</v>
      </c>
      <c r="F64" s="282" t="s">
        <v>1557</v>
      </c>
      <c r="G64" s="282" t="s">
        <v>1558</v>
      </c>
      <c r="H64" s="282" t="s">
        <v>1559</v>
      </c>
      <c r="I64" s="282" t="s">
        <v>4639</v>
      </c>
      <c r="J64" s="670" t="s">
        <v>3689</v>
      </c>
      <c r="K64" s="686" t="s">
        <v>1562</v>
      </c>
      <c r="L64" s="671" t="s">
        <v>1563</v>
      </c>
      <c r="M64" s="287" t="s">
        <v>177</v>
      </c>
    </row>
    <row r="65" spans="1:13" ht="16.8">
      <c r="A65" s="254"/>
      <c r="B65" s="254"/>
      <c r="C65" s="291"/>
      <c r="D65" s="291"/>
      <c r="E65" s="291"/>
      <c r="F65" s="706"/>
      <c r="G65" s="706"/>
      <c r="H65" s="706"/>
      <c r="I65" s="888"/>
      <c r="J65" s="889"/>
      <c r="K65" s="889"/>
      <c r="L65" s="890"/>
      <c r="M65" s="890"/>
    </row>
    <row r="66" spans="1:13" ht="16.8">
      <c r="A66" s="254"/>
      <c r="B66" s="308"/>
      <c r="C66" s="700"/>
      <c r="D66" s="700"/>
      <c r="E66" s="700"/>
      <c r="F66" s="712"/>
      <c r="G66" s="712"/>
      <c r="H66" s="712"/>
      <c r="I66" s="891"/>
      <c r="J66" s="892"/>
      <c r="K66" s="892"/>
      <c r="L66" s="893"/>
      <c r="M66" s="893"/>
    </row>
    <row r="67" spans="1:13" ht="16.8">
      <c r="A67" s="254"/>
      <c r="B67" s="308"/>
      <c r="C67" s="700"/>
      <c r="D67" s="700"/>
      <c r="E67" s="700"/>
      <c r="F67" s="712"/>
      <c r="G67" s="712"/>
      <c r="H67" s="712"/>
      <c r="I67" s="891"/>
      <c r="J67" s="892"/>
      <c r="K67" s="892"/>
      <c r="L67" s="893"/>
      <c r="M67" s="893"/>
    </row>
    <row r="68" spans="1:13" ht="19.8">
      <c r="A68" s="894"/>
      <c r="B68" s="895" t="s">
        <v>26</v>
      </c>
      <c r="C68" s="894">
        <f t="array" ref="C68">COUNTA(C65:INDEX(C:C,ROW()-1))</f>
        <v>0</v>
      </c>
      <c r="D68" s="894"/>
      <c r="E68" s="894"/>
      <c r="F68" s="894"/>
      <c r="G68" s="894"/>
      <c r="H68" s="894"/>
      <c r="I68" s="894"/>
      <c r="J68" s="1015">
        <f>SUM(K65:K67)</f>
        <v>0</v>
      </c>
      <c r="K68" s="932"/>
      <c r="L68" s="1014">
        <f>SUM(L65:L67)</f>
        <v>0</v>
      </c>
      <c r="M68" s="932"/>
    </row>
    <row r="69" spans="1:13" ht="16.2">
      <c r="A69" s="597"/>
      <c r="B69" s="597"/>
      <c r="C69" s="597"/>
      <c r="D69" s="597"/>
      <c r="E69" s="597"/>
      <c r="F69" s="597"/>
      <c r="G69" s="597"/>
      <c r="H69" s="597"/>
      <c r="I69" s="597"/>
      <c r="J69" s="597"/>
      <c r="K69" s="597"/>
      <c r="L69" s="597"/>
      <c r="M69" s="597"/>
    </row>
    <row r="70" spans="1:13" ht="16.2">
      <c r="A70" s="597"/>
      <c r="B70" s="597"/>
      <c r="C70" s="597"/>
      <c r="D70" s="597"/>
      <c r="E70" s="597"/>
      <c r="F70" s="597"/>
      <c r="G70" s="597"/>
      <c r="H70" s="597"/>
      <c r="I70" s="597"/>
      <c r="J70" s="597"/>
      <c r="K70" s="597"/>
      <c r="L70" s="597"/>
      <c r="M70" s="597"/>
    </row>
    <row r="71" spans="1:13" ht="16.2">
      <c r="A71" s="597"/>
      <c r="B71" s="597"/>
      <c r="C71" s="597"/>
      <c r="D71" s="597"/>
      <c r="E71" s="597"/>
      <c r="F71" s="597"/>
      <c r="G71" s="597"/>
      <c r="H71" s="597"/>
      <c r="I71" s="597"/>
      <c r="J71" s="597"/>
      <c r="K71" s="597"/>
      <c r="L71" s="597"/>
      <c r="M71" s="597"/>
    </row>
    <row r="72" spans="1:13" ht="13.2">
      <c r="A72" s="998" t="s">
        <v>4664</v>
      </c>
      <c r="B72" s="931"/>
      <c r="C72" s="931"/>
      <c r="D72" s="931"/>
      <c r="E72" s="931"/>
      <c r="F72" s="931"/>
      <c r="G72" s="931"/>
      <c r="H72" s="931"/>
      <c r="I72" s="931"/>
      <c r="J72" s="931"/>
      <c r="K72" s="931"/>
      <c r="L72" s="931"/>
      <c r="M72" s="932"/>
    </row>
    <row r="73" spans="1:13" ht="50.4">
      <c r="A73" s="253" t="s">
        <v>165</v>
      </c>
      <c r="B73" s="282" t="s">
        <v>166</v>
      </c>
      <c r="C73" s="282" t="s">
        <v>1556</v>
      </c>
      <c r="D73" s="282" t="s">
        <v>168</v>
      </c>
      <c r="E73" s="282" t="s">
        <v>169</v>
      </c>
      <c r="F73" s="282" t="s">
        <v>1557</v>
      </c>
      <c r="G73" s="282" t="s">
        <v>1558</v>
      </c>
      <c r="H73" s="282" t="s">
        <v>1559</v>
      </c>
      <c r="I73" s="282" t="s">
        <v>4639</v>
      </c>
      <c r="J73" s="670" t="s">
        <v>3689</v>
      </c>
      <c r="K73" s="686" t="s">
        <v>1562</v>
      </c>
      <c r="L73" s="671" t="s">
        <v>1563</v>
      </c>
      <c r="M73" s="287" t="s">
        <v>177</v>
      </c>
    </row>
    <row r="74" spans="1:13" ht="16.8">
      <c r="A74" s="254"/>
      <c r="B74" s="254"/>
      <c r="C74" s="291"/>
      <c r="D74" s="291"/>
      <c r="E74" s="291"/>
      <c r="F74" s="706"/>
      <c r="G74" s="706"/>
      <c r="H74" s="706"/>
      <c r="I74" s="888"/>
      <c r="J74" s="889"/>
      <c r="K74" s="889"/>
      <c r="L74" s="890"/>
      <c r="M74" s="890"/>
    </row>
    <row r="75" spans="1:13" ht="16.8">
      <c r="A75" s="254"/>
      <c r="B75" s="308"/>
      <c r="C75" s="700"/>
      <c r="D75" s="700"/>
      <c r="E75" s="700"/>
      <c r="F75" s="712"/>
      <c r="G75" s="712"/>
      <c r="H75" s="712"/>
      <c r="I75" s="891"/>
      <c r="J75" s="892"/>
      <c r="K75" s="892"/>
      <c r="L75" s="893"/>
      <c r="M75" s="893"/>
    </row>
    <row r="76" spans="1:13" ht="16.8">
      <c r="A76" s="254"/>
      <c r="B76" s="308"/>
      <c r="C76" s="700"/>
      <c r="D76" s="700"/>
      <c r="E76" s="700"/>
      <c r="F76" s="712"/>
      <c r="G76" s="712"/>
      <c r="H76" s="712"/>
      <c r="I76" s="891"/>
      <c r="J76" s="892"/>
      <c r="K76" s="892"/>
      <c r="L76" s="893"/>
      <c r="M76" s="893"/>
    </row>
    <row r="77" spans="1:13" ht="19.8">
      <c r="A77" s="894"/>
      <c r="B77" s="895" t="s">
        <v>26</v>
      </c>
      <c r="C77" s="894">
        <f t="array" ref="C77">COUNTA(C74:INDEX(C:C,ROW()-1))</f>
        <v>0</v>
      </c>
      <c r="D77" s="894"/>
      <c r="E77" s="894"/>
      <c r="F77" s="894"/>
      <c r="G77" s="894"/>
      <c r="H77" s="894"/>
      <c r="I77" s="894"/>
      <c r="J77" s="1015">
        <f>SUM(K74:K76)</f>
        <v>0</v>
      </c>
      <c r="K77" s="932"/>
      <c r="L77" s="1014">
        <f>SUM(L74:L76)</f>
        <v>0</v>
      </c>
      <c r="M77" s="932"/>
    </row>
    <row r="78" spans="1:13" ht="16.2">
      <c r="A78" s="597"/>
      <c r="B78" s="597"/>
      <c r="C78" s="597"/>
      <c r="D78" s="597"/>
      <c r="E78" s="597"/>
      <c r="F78" s="597"/>
      <c r="G78" s="597"/>
      <c r="H78" s="597"/>
      <c r="I78" s="597"/>
      <c r="J78" s="597"/>
      <c r="K78" s="597"/>
      <c r="L78" s="597"/>
      <c r="M78" s="597"/>
    </row>
    <row r="79" spans="1:13" ht="16.2">
      <c r="A79" s="597"/>
      <c r="B79" s="597"/>
      <c r="C79" s="597"/>
      <c r="D79" s="597"/>
      <c r="E79" s="597"/>
      <c r="F79" s="597"/>
      <c r="G79" s="597"/>
      <c r="H79" s="597"/>
      <c r="I79" s="597"/>
      <c r="J79" s="597"/>
      <c r="K79" s="597"/>
      <c r="L79" s="597"/>
      <c r="M79" s="597"/>
    </row>
    <row r="80" spans="1:13" ht="16.2">
      <c r="A80" s="597"/>
      <c r="B80" s="597"/>
      <c r="C80" s="597"/>
      <c r="D80" s="597"/>
      <c r="E80" s="597"/>
      <c r="F80" s="597"/>
      <c r="G80" s="597"/>
      <c r="H80" s="597"/>
      <c r="I80" s="597"/>
      <c r="J80" s="597"/>
      <c r="K80" s="597"/>
      <c r="L80" s="597"/>
      <c r="M80" s="597"/>
    </row>
    <row r="81" spans="1:13" ht="13.2">
      <c r="A81" s="998" t="s">
        <v>4665</v>
      </c>
      <c r="B81" s="931"/>
      <c r="C81" s="931"/>
      <c r="D81" s="931"/>
      <c r="E81" s="931"/>
      <c r="F81" s="931"/>
      <c r="G81" s="931"/>
      <c r="H81" s="931"/>
      <c r="I81" s="931"/>
      <c r="J81" s="931"/>
      <c r="K81" s="931"/>
      <c r="L81" s="931"/>
      <c r="M81" s="932"/>
    </row>
    <row r="82" spans="1:13" ht="50.4">
      <c r="A82" s="253" t="s">
        <v>165</v>
      </c>
      <c r="B82" s="282" t="s">
        <v>166</v>
      </c>
      <c r="C82" s="282" t="s">
        <v>1556</v>
      </c>
      <c r="D82" s="282" t="s">
        <v>168</v>
      </c>
      <c r="E82" s="282" t="s">
        <v>169</v>
      </c>
      <c r="F82" s="282" t="s">
        <v>1557</v>
      </c>
      <c r="G82" s="282" t="s">
        <v>1558</v>
      </c>
      <c r="H82" s="282" t="s">
        <v>1559</v>
      </c>
      <c r="I82" s="282" t="s">
        <v>4639</v>
      </c>
      <c r="J82" s="670" t="s">
        <v>3689</v>
      </c>
      <c r="K82" s="686" t="s">
        <v>1562</v>
      </c>
      <c r="L82" s="671" t="s">
        <v>1563</v>
      </c>
      <c r="M82" s="287" t="s">
        <v>177</v>
      </c>
    </row>
    <row r="83" spans="1:13" ht="16.8">
      <c r="A83" s="254"/>
      <c r="B83" s="254"/>
      <c r="C83" s="291"/>
      <c r="D83" s="291"/>
      <c r="E83" s="291"/>
      <c r="F83" s="706"/>
      <c r="G83" s="706"/>
      <c r="H83" s="706"/>
      <c r="I83" s="888"/>
      <c r="J83" s="889"/>
      <c r="K83" s="889"/>
      <c r="L83" s="890"/>
      <c r="M83" s="890"/>
    </row>
    <row r="84" spans="1:13" ht="16.8">
      <c r="A84" s="254"/>
      <c r="B84" s="308"/>
      <c r="C84" s="700"/>
      <c r="D84" s="700"/>
      <c r="E84" s="700"/>
      <c r="F84" s="712"/>
      <c r="G84" s="712"/>
      <c r="H84" s="712"/>
      <c r="I84" s="891"/>
      <c r="J84" s="892"/>
      <c r="K84" s="892"/>
      <c r="L84" s="893"/>
      <c r="M84" s="893"/>
    </row>
    <row r="85" spans="1:13" ht="16.8">
      <c r="A85" s="254"/>
      <c r="B85" s="308"/>
      <c r="C85" s="700"/>
      <c r="D85" s="700"/>
      <c r="E85" s="700"/>
      <c r="F85" s="712"/>
      <c r="G85" s="712"/>
      <c r="H85" s="712"/>
      <c r="I85" s="891"/>
      <c r="J85" s="892"/>
      <c r="K85" s="892"/>
      <c r="L85" s="893"/>
      <c r="M85" s="893"/>
    </row>
    <row r="86" spans="1:13" ht="19.8">
      <c r="A86" s="894"/>
      <c r="B86" s="895" t="s">
        <v>26</v>
      </c>
      <c r="C86" s="894">
        <f t="array" ref="C86">COUNTA(C83:INDEX(C:C,ROW()-1))</f>
        <v>0</v>
      </c>
      <c r="D86" s="894"/>
      <c r="E86" s="894"/>
      <c r="F86" s="894"/>
      <c r="G86" s="894"/>
      <c r="H86" s="894"/>
      <c r="I86" s="894"/>
      <c r="J86" s="1015">
        <f>SUM(K83:K85)</f>
        <v>0</v>
      </c>
      <c r="K86" s="932"/>
      <c r="L86" s="1014">
        <f>SUM(L83:L85)</f>
        <v>0</v>
      </c>
      <c r="M86" s="932"/>
    </row>
    <row r="87" spans="1:13" ht="16.2">
      <c r="A87" s="597"/>
      <c r="B87" s="597"/>
      <c r="C87" s="597"/>
      <c r="D87" s="597"/>
      <c r="E87" s="597"/>
      <c r="F87" s="597"/>
      <c r="G87" s="597"/>
      <c r="H87" s="597"/>
      <c r="I87" s="597"/>
      <c r="J87" s="597"/>
      <c r="K87" s="597"/>
      <c r="L87" s="597"/>
      <c r="M87" s="597"/>
    </row>
    <row r="88" spans="1:13" ht="16.2">
      <c r="A88" s="597"/>
      <c r="B88" s="597"/>
      <c r="C88" s="597"/>
      <c r="D88" s="597"/>
      <c r="E88" s="597"/>
      <c r="F88" s="597"/>
      <c r="G88" s="597"/>
      <c r="H88" s="597"/>
      <c r="I88" s="597"/>
      <c r="J88" s="597"/>
      <c r="K88" s="597"/>
      <c r="L88" s="597"/>
      <c r="M88" s="597"/>
    </row>
    <row r="89" spans="1:13" ht="16.2">
      <c r="A89" s="597"/>
      <c r="B89" s="597"/>
      <c r="C89" s="597"/>
      <c r="D89" s="597"/>
      <c r="E89" s="597"/>
      <c r="F89" s="597"/>
      <c r="G89" s="597"/>
      <c r="H89" s="597"/>
      <c r="I89" s="597"/>
      <c r="J89" s="597"/>
      <c r="K89" s="597"/>
      <c r="L89" s="597"/>
      <c r="M89" s="597"/>
    </row>
    <row r="90" spans="1:13" ht="13.2">
      <c r="A90" s="998" t="s">
        <v>4666</v>
      </c>
      <c r="B90" s="931"/>
      <c r="C90" s="931"/>
      <c r="D90" s="931"/>
      <c r="E90" s="931"/>
      <c r="F90" s="931"/>
      <c r="G90" s="931"/>
      <c r="H90" s="931"/>
      <c r="I90" s="931"/>
      <c r="J90" s="931"/>
      <c r="K90" s="931"/>
      <c r="L90" s="931"/>
      <c r="M90" s="932"/>
    </row>
    <row r="91" spans="1:13" ht="50.4">
      <c r="A91" s="253" t="s">
        <v>165</v>
      </c>
      <c r="B91" s="282" t="s">
        <v>166</v>
      </c>
      <c r="C91" s="282" t="s">
        <v>1556</v>
      </c>
      <c r="D91" s="282" t="s">
        <v>168</v>
      </c>
      <c r="E91" s="282" t="s">
        <v>169</v>
      </c>
      <c r="F91" s="282" t="s">
        <v>1557</v>
      </c>
      <c r="G91" s="282" t="s">
        <v>1558</v>
      </c>
      <c r="H91" s="282" t="s">
        <v>1559</v>
      </c>
      <c r="I91" s="282" t="s">
        <v>4639</v>
      </c>
      <c r="J91" s="670" t="s">
        <v>3689</v>
      </c>
      <c r="K91" s="686" t="s">
        <v>1562</v>
      </c>
      <c r="L91" s="671" t="s">
        <v>1563</v>
      </c>
      <c r="M91" s="287" t="s">
        <v>177</v>
      </c>
    </row>
    <row r="92" spans="1:13" ht="16.8">
      <c r="A92" s="254"/>
      <c r="B92" s="254"/>
      <c r="C92" s="291"/>
      <c r="D92" s="291"/>
      <c r="E92" s="291"/>
      <c r="F92" s="706"/>
      <c r="G92" s="706"/>
      <c r="H92" s="706"/>
      <c r="I92" s="888"/>
      <c r="J92" s="889"/>
      <c r="K92" s="889"/>
      <c r="L92" s="890"/>
      <c r="M92" s="890"/>
    </row>
    <row r="93" spans="1:13" ht="16.8">
      <c r="A93" s="254"/>
      <c r="B93" s="308"/>
      <c r="C93" s="700"/>
      <c r="D93" s="700"/>
      <c r="E93" s="700"/>
      <c r="F93" s="712"/>
      <c r="G93" s="712"/>
      <c r="H93" s="712"/>
      <c r="I93" s="891"/>
      <c r="J93" s="892"/>
      <c r="K93" s="892"/>
      <c r="L93" s="893"/>
      <c r="M93" s="893"/>
    </row>
    <row r="94" spans="1:13" ht="16.8">
      <c r="A94" s="254"/>
      <c r="B94" s="308"/>
      <c r="C94" s="700"/>
      <c r="D94" s="700"/>
      <c r="E94" s="700"/>
      <c r="F94" s="712"/>
      <c r="G94" s="712"/>
      <c r="H94" s="712"/>
      <c r="I94" s="891"/>
      <c r="J94" s="892"/>
      <c r="K94" s="892"/>
      <c r="L94" s="893"/>
      <c r="M94" s="893"/>
    </row>
    <row r="95" spans="1:13" ht="19.8">
      <c r="A95" s="894"/>
      <c r="B95" s="895" t="s">
        <v>26</v>
      </c>
      <c r="C95" s="894">
        <f t="array" ref="C95">COUNTA(C92:INDEX(C:C,ROW()-1))</f>
        <v>0</v>
      </c>
      <c r="D95" s="894"/>
      <c r="E95" s="894"/>
      <c r="F95" s="894"/>
      <c r="G95" s="894"/>
      <c r="H95" s="894"/>
      <c r="I95" s="894"/>
      <c r="J95" s="1015">
        <f>SUM(K92:K94)</f>
        <v>0</v>
      </c>
      <c r="K95" s="932"/>
      <c r="L95" s="1014">
        <f>SUM(L92:L94)</f>
        <v>0</v>
      </c>
      <c r="M95" s="932"/>
    </row>
    <row r="96" spans="1:13" ht="16.2">
      <c r="A96" s="597"/>
      <c r="B96" s="597"/>
      <c r="C96" s="597"/>
      <c r="D96" s="597"/>
      <c r="E96" s="597"/>
      <c r="F96" s="597"/>
      <c r="G96" s="597"/>
      <c r="H96" s="597"/>
      <c r="I96" s="597"/>
      <c r="J96" s="597"/>
      <c r="K96" s="597"/>
      <c r="L96" s="597"/>
      <c r="M96" s="597"/>
    </row>
    <row r="97" spans="1:13" ht="16.2">
      <c r="A97" s="597"/>
      <c r="B97" s="597"/>
      <c r="C97" s="597"/>
      <c r="D97" s="597"/>
      <c r="E97" s="597"/>
      <c r="F97" s="597"/>
      <c r="G97" s="597"/>
      <c r="H97" s="597"/>
      <c r="I97" s="597"/>
      <c r="J97" s="597"/>
      <c r="K97" s="597"/>
      <c r="L97" s="597"/>
      <c r="M97" s="597"/>
    </row>
    <row r="98" spans="1:13" ht="13.2">
      <c r="A98" s="998" t="s">
        <v>4667</v>
      </c>
      <c r="B98" s="931"/>
      <c r="C98" s="931"/>
      <c r="D98" s="931"/>
      <c r="E98" s="931"/>
      <c r="F98" s="931"/>
      <c r="G98" s="931"/>
      <c r="H98" s="931"/>
      <c r="I98" s="931"/>
      <c r="J98" s="931"/>
      <c r="K98" s="931"/>
      <c r="L98" s="931"/>
      <c r="M98" s="932"/>
    </row>
    <row r="99" spans="1:13" ht="50.4">
      <c r="A99" s="253" t="s">
        <v>165</v>
      </c>
      <c r="B99" s="282" t="s">
        <v>166</v>
      </c>
      <c r="C99" s="282" t="s">
        <v>1556</v>
      </c>
      <c r="D99" s="282" t="s">
        <v>168</v>
      </c>
      <c r="E99" s="282" t="s">
        <v>169</v>
      </c>
      <c r="F99" s="282" t="s">
        <v>1557</v>
      </c>
      <c r="G99" s="282" t="s">
        <v>1558</v>
      </c>
      <c r="H99" s="282" t="s">
        <v>1559</v>
      </c>
      <c r="I99" s="282" t="s">
        <v>4639</v>
      </c>
      <c r="J99" s="670" t="s">
        <v>3689</v>
      </c>
      <c r="K99" s="686" t="s">
        <v>1562</v>
      </c>
      <c r="L99" s="671" t="s">
        <v>1563</v>
      </c>
      <c r="M99" s="287" t="s">
        <v>177</v>
      </c>
    </row>
    <row r="100" spans="1:13" ht="16.8">
      <c r="A100" s="254"/>
      <c r="B100" s="254"/>
      <c r="C100" s="291"/>
      <c r="D100" s="291"/>
      <c r="E100" s="291"/>
      <c r="F100" s="706"/>
      <c r="G100" s="706"/>
      <c r="H100" s="706"/>
      <c r="I100" s="888"/>
      <c r="J100" s="889"/>
      <c r="K100" s="889"/>
      <c r="L100" s="890"/>
      <c r="M100" s="890"/>
    </row>
    <row r="101" spans="1:13" ht="16.8">
      <c r="A101" s="254"/>
      <c r="B101" s="308"/>
      <c r="C101" s="700"/>
      <c r="D101" s="700"/>
      <c r="E101" s="700"/>
      <c r="F101" s="712"/>
      <c r="G101" s="712"/>
      <c r="H101" s="712"/>
      <c r="I101" s="891"/>
      <c r="J101" s="892"/>
      <c r="K101" s="892"/>
      <c r="L101" s="893"/>
      <c r="M101" s="893"/>
    </row>
    <row r="102" spans="1:13" ht="16.8">
      <c r="A102" s="254"/>
      <c r="B102" s="308"/>
      <c r="C102" s="700"/>
      <c r="D102" s="700"/>
      <c r="E102" s="700"/>
      <c r="F102" s="712"/>
      <c r="G102" s="712"/>
      <c r="H102" s="712"/>
      <c r="I102" s="891"/>
      <c r="J102" s="892"/>
      <c r="K102" s="892"/>
      <c r="L102" s="893"/>
      <c r="M102" s="893"/>
    </row>
    <row r="103" spans="1:13" ht="19.8">
      <c r="A103" s="894"/>
      <c r="B103" s="895" t="s">
        <v>26</v>
      </c>
      <c r="C103" s="894">
        <f t="array" ref="C103">COUNTA(C100:INDEX(C:C,ROW()-1))</f>
        <v>0</v>
      </c>
      <c r="D103" s="894"/>
      <c r="E103" s="894"/>
      <c r="F103" s="894"/>
      <c r="G103" s="894"/>
      <c r="H103" s="894"/>
      <c r="I103" s="894"/>
      <c r="J103" s="1015">
        <f>SUM(K100:K102)</f>
        <v>0</v>
      </c>
      <c r="K103" s="932"/>
      <c r="L103" s="1014">
        <f>SUM(L100:L102)</f>
        <v>0</v>
      </c>
      <c r="M103" s="932"/>
    </row>
    <row r="104" spans="1:13" ht="16.2">
      <c r="A104" s="597"/>
      <c r="B104" s="597"/>
      <c r="C104" s="597"/>
      <c r="D104" s="597"/>
      <c r="E104" s="597"/>
      <c r="F104" s="597"/>
      <c r="G104" s="597"/>
      <c r="H104" s="597"/>
      <c r="I104" s="597"/>
      <c r="J104" s="597"/>
      <c r="K104" s="597"/>
      <c r="L104" s="597"/>
      <c r="M104" s="597"/>
    </row>
    <row r="105" spans="1:13" ht="16.2">
      <c r="A105" s="597"/>
      <c r="B105" s="597"/>
      <c r="C105" s="597"/>
      <c r="D105" s="597"/>
      <c r="E105" s="597"/>
      <c r="F105" s="597"/>
      <c r="G105" s="597"/>
      <c r="H105" s="597"/>
      <c r="I105" s="597"/>
      <c r="J105" s="597"/>
      <c r="K105" s="597"/>
      <c r="L105" s="597"/>
      <c r="M105" s="597"/>
    </row>
    <row r="106" spans="1:13" ht="13.2">
      <c r="A106" s="998" t="s">
        <v>4668</v>
      </c>
      <c r="B106" s="931"/>
      <c r="C106" s="931"/>
      <c r="D106" s="931"/>
      <c r="E106" s="931"/>
      <c r="F106" s="931"/>
      <c r="G106" s="931"/>
      <c r="H106" s="931"/>
      <c r="I106" s="931"/>
      <c r="J106" s="931"/>
      <c r="K106" s="931"/>
      <c r="L106" s="931"/>
      <c r="M106" s="932"/>
    </row>
    <row r="107" spans="1:13" ht="50.4">
      <c r="A107" s="253" t="s">
        <v>165</v>
      </c>
      <c r="B107" s="282" t="s">
        <v>166</v>
      </c>
      <c r="C107" s="282" t="s">
        <v>1556</v>
      </c>
      <c r="D107" s="282" t="s">
        <v>168</v>
      </c>
      <c r="E107" s="282" t="s">
        <v>169</v>
      </c>
      <c r="F107" s="282" t="s">
        <v>1557</v>
      </c>
      <c r="G107" s="282" t="s">
        <v>1558</v>
      </c>
      <c r="H107" s="282" t="s">
        <v>1559</v>
      </c>
      <c r="I107" s="282" t="s">
        <v>4639</v>
      </c>
      <c r="J107" s="670" t="s">
        <v>3689</v>
      </c>
      <c r="K107" s="686" t="s">
        <v>1562</v>
      </c>
      <c r="L107" s="671" t="s">
        <v>1563</v>
      </c>
      <c r="M107" s="287" t="s">
        <v>177</v>
      </c>
    </row>
    <row r="108" spans="1:13" ht="16.8">
      <c r="A108" s="254"/>
      <c r="B108" s="254"/>
      <c r="C108" s="291"/>
      <c r="D108" s="291"/>
      <c r="E108" s="291"/>
      <c r="F108" s="706"/>
      <c r="G108" s="706"/>
      <c r="H108" s="706"/>
      <c r="I108" s="888"/>
      <c r="J108" s="889"/>
      <c r="K108" s="889"/>
      <c r="L108" s="890"/>
      <c r="M108" s="890"/>
    </row>
    <row r="109" spans="1:13" ht="16.8">
      <c r="A109" s="254"/>
      <c r="B109" s="308"/>
      <c r="C109" s="700"/>
      <c r="D109" s="700"/>
      <c r="E109" s="700"/>
      <c r="F109" s="712"/>
      <c r="G109" s="712"/>
      <c r="H109" s="712"/>
      <c r="I109" s="891"/>
      <c r="J109" s="892"/>
      <c r="K109" s="892"/>
      <c r="L109" s="893"/>
      <c r="M109" s="893"/>
    </row>
    <row r="110" spans="1:13" ht="16.8">
      <c r="A110" s="254"/>
      <c r="B110" s="308"/>
      <c r="C110" s="700"/>
      <c r="D110" s="700"/>
      <c r="E110" s="700"/>
      <c r="F110" s="712"/>
      <c r="G110" s="712"/>
      <c r="H110" s="712"/>
      <c r="I110" s="891"/>
      <c r="J110" s="892"/>
      <c r="K110" s="892"/>
      <c r="L110" s="893"/>
      <c r="M110" s="893"/>
    </row>
    <row r="111" spans="1:13" ht="19.8">
      <c r="A111" s="894"/>
      <c r="B111" s="895" t="s">
        <v>26</v>
      </c>
      <c r="C111" s="894">
        <f t="array" ref="C111">COUNTA(C108:INDEX(C:C,ROW()-1))</f>
        <v>0</v>
      </c>
      <c r="D111" s="894"/>
      <c r="E111" s="894"/>
      <c r="F111" s="894"/>
      <c r="G111" s="894"/>
      <c r="H111" s="894"/>
      <c r="I111" s="894"/>
      <c r="J111" s="1015">
        <f>SUM(K108:K110)</f>
        <v>0</v>
      </c>
      <c r="K111" s="932"/>
      <c r="L111" s="1014">
        <f>SUM(L108:L110)</f>
        <v>0</v>
      </c>
      <c r="M111" s="932"/>
    </row>
    <row r="112" spans="1:13" ht="16.2">
      <c r="A112" s="597"/>
      <c r="B112" s="597"/>
      <c r="C112" s="597"/>
      <c r="D112" s="597"/>
      <c r="E112" s="597"/>
      <c r="F112" s="597"/>
      <c r="G112" s="597"/>
      <c r="H112" s="597"/>
      <c r="I112" s="597"/>
      <c r="J112" s="597"/>
      <c r="K112" s="597"/>
      <c r="L112" s="597"/>
      <c r="M112" s="597"/>
    </row>
    <row r="113" spans="1:13" ht="16.2">
      <c r="A113" s="597"/>
      <c r="B113" s="597"/>
      <c r="C113" s="597"/>
      <c r="D113" s="597"/>
      <c r="E113" s="597"/>
      <c r="F113" s="597"/>
      <c r="G113" s="597"/>
      <c r="H113" s="597"/>
      <c r="I113" s="597"/>
      <c r="J113" s="597"/>
      <c r="K113" s="597"/>
      <c r="L113" s="597"/>
      <c r="M113" s="597"/>
    </row>
    <row r="114" spans="1:13" ht="16.2">
      <c r="A114" s="597"/>
      <c r="B114" s="597"/>
      <c r="C114" s="597"/>
      <c r="D114" s="597"/>
      <c r="E114" s="597"/>
      <c r="F114" s="597"/>
      <c r="G114" s="597"/>
      <c r="H114" s="597"/>
      <c r="I114" s="597"/>
      <c r="J114" s="597"/>
      <c r="K114" s="597"/>
      <c r="L114" s="597"/>
      <c r="M114" s="597"/>
    </row>
    <row r="115" spans="1:13" ht="13.2">
      <c r="A115" s="998" t="s">
        <v>4669</v>
      </c>
      <c r="B115" s="931"/>
      <c r="C115" s="931"/>
      <c r="D115" s="931"/>
      <c r="E115" s="931"/>
      <c r="F115" s="931"/>
      <c r="G115" s="931"/>
      <c r="H115" s="931"/>
      <c r="I115" s="931"/>
      <c r="J115" s="931"/>
      <c r="K115" s="931"/>
      <c r="L115" s="931"/>
      <c r="M115" s="932"/>
    </row>
    <row r="116" spans="1:13" ht="50.4">
      <c r="A116" s="253" t="s">
        <v>165</v>
      </c>
      <c r="B116" s="282" t="s">
        <v>166</v>
      </c>
      <c r="C116" s="282" t="s">
        <v>1556</v>
      </c>
      <c r="D116" s="282" t="s">
        <v>168</v>
      </c>
      <c r="E116" s="282" t="s">
        <v>169</v>
      </c>
      <c r="F116" s="282" t="s">
        <v>1557</v>
      </c>
      <c r="G116" s="282" t="s">
        <v>1558</v>
      </c>
      <c r="H116" s="282" t="s">
        <v>1559</v>
      </c>
      <c r="I116" s="282" t="s">
        <v>4639</v>
      </c>
      <c r="J116" s="670" t="s">
        <v>3689</v>
      </c>
      <c r="K116" s="686" t="s">
        <v>1562</v>
      </c>
      <c r="L116" s="671" t="s">
        <v>1563</v>
      </c>
      <c r="M116" s="287" t="s">
        <v>177</v>
      </c>
    </row>
    <row r="117" spans="1:13" ht="16.8">
      <c r="A117" s="254"/>
      <c r="B117" s="254"/>
      <c r="C117" s="291"/>
      <c r="D117" s="291"/>
      <c r="E117" s="291"/>
      <c r="F117" s="706"/>
      <c r="G117" s="706"/>
      <c r="H117" s="706"/>
      <c r="I117" s="888"/>
      <c r="J117" s="889"/>
      <c r="K117" s="889"/>
      <c r="L117" s="890"/>
      <c r="M117" s="890"/>
    </row>
    <row r="118" spans="1:13" ht="16.8">
      <c r="A118" s="254"/>
      <c r="B118" s="308"/>
      <c r="C118" s="700"/>
      <c r="D118" s="700"/>
      <c r="E118" s="700"/>
      <c r="F118" s="712"/>
      <c r="G118" s="712"/>
      <c r="H118" s="712"/>
      <c r="I118" s="891"/>
      <c r="J118" s="892"/>
      <c r="K118" s="892"/>
      <c r="L118" s="893"/>
      <c r="M118" s="893"/>
    </row>
    <row r="119" spans="1:13" ht="16.8">
      <c r="A119" s="254"/>
      <c r="B119" s="308"/>
      <c r="C119" s="700"/>
      <c r="D119" s="700"/>
      <c r="E119" s="700"/>
      <c r="F119" s="712"/>
      <c r="G119" s="712"/>
      <c r="H119" s="712"/>
      <c r="I119" s="891"/>
      <c r="J119" s="892"/>
      <c r="K119" s="892"/>
      <c r="L119" s="893"/>
      <c r="M119" s="893"/>
    </row>
    <row r="120" spans="1:13" ht="19.8">
      <c r="A120" s="894"/>
      <c r="B120" s="895" t="s">
        <v>26</v>
      </c>
      <c r="C120" s="894">
        <f t="array" ref="C120">COUNTA(C117:INDEX(C:C,ROW()-1))</f>
        <v>0</v>
      </c>
      <c r="D120" s="894"/>
      <c r="E120" s="894"/>
      <c r="F120" s="894"/>
      <c r="G120" s="894"/>
      <c r="H120" s="894"/>
      <c r="I120" s="894"/>
      <c r="J120" s="1015">
        <f>SUM(K117:K119)</f>
        <v>0</v>
      </c>
      <c r="K120" s="932"/>
      <c r="L120" s="1014">
        <f>SUM(L117:L119)</f>
        <v>0</v>
      </c>
      <c r="M120" s="932"/>
    </row>
    <row r="121" spans="1:13" ht="16.2">
      <c r="A121" s="597"/>
      <c r="B121" s="597"/>
      <c r="C121" s="597"/>
      <c r="D121" s="597"/>
      <c r="E121" s="597"/>
      <c r="F121" s="597"/>
      <c r="G121" s="597"/>
      <c r="H121" s="597"/>
      <c r="I121" s="597"/>
      <c r="J121" s="597"/>
      <c r="K121" s="597"/>
      <c r="L121" s="597"/>
      <c r="M121" s="597"/>
    </row>
    <row r="122" spans="1:13" ht="16.2">
      <c r="A122" s="597"/>
      <c r="B122" s="597"/>
      <c r="C122" s="597"/>
      <c r="D122" s="597"/>
      <c r="E122" s="597"/>
      <c r="F122" s="597"/>
      <c r="G122" s="597"/>
      <c r="H122" s="597"/>
      <c r="I122" s="597"/>
      <c r="J122" s="597"/>
      <c r="K122" s="597"/>
      <c r="L122" s="597"/>
      <c r="M122" s="597"/>
    </row>
    <row r="123" spans="1:13" ht="16.2">
      <c r="A123" s="597"/>
      <c r="B123" s="597"/>
      <c r="C123" s="597"/>
      <c r="D123" s="597"/>
      <c r="E123" s="597"/>
      <c r="F123" s="597"/>
      <c r="G123" s="597"/>
      <c r="H123" s="597"/>
      <c r="I123" s="597"/>
      <c r="J123" s="597"/>
      <c r="K123" s="597"/>
      <c r="L123" s="597"/>
      <c r="M123" s="597"/>
    </row>
    <row r="124" spans="1:13" ht="13.2">
      <c r="A124" s="998" t="s">
        <v>4670</v>
      </c>
      <c r="B124" s="931"/>
      <c r="C124" s="931"/>
      <c r="D124" s="931"/>
      <c r="E124" s="931"/>
      <c r="F124" s="931"/>
      <c r="G124" s="931"/>
      <c r="H124" s="931"/>
      <c r="I124" s="931"/>
      <c r="J124" s="931"/>
      <c r="K124" s="931"/>
      <c r="L124" s="931"/>
      <c r="M124" s="932"/>
    </row>
    <row r="125" spans="1:13" ht="50.4">
      <c r="A125" s="253" t="s">
        <v>165</v>
      </c>
      <c r="B125" s="282" t="s">
        <v>166</v>
      </c>
      <c r="C125" s="282" t="s">
        <v>1556</v>
      </c>
      <c r="D125" s="282" t="s">
        <v>168</v>
      </c>
      <c r="E125" s="282" t="s">
        <v>169</v>
      </c>
      <c r="F125" s="282" t="s">
        <v>1557</v>
      </c>
      <c r="G125" s="282" t="s">
        <v>1558</v>
      </c>
      <c r="H125" s="282" t="s">
        <v>1559</v>
      </c>
      <c r="I125" s="282" t="s">
        <v>4639</v>
      </c>
      <c r="J125" s="670" t="s">
        <v>3689</v>
      </c>
      <c r="K125" s="686" t="s">
        <v>1562</v>
      </c>
      <c r="L125" s="671" t="s">
        <v>1563</v>
      </c>
      <c r="M125" s="287" t="s">
        <v>177</v>
      </c>
    </row>
    <row r="126" spans="1:13" ht="16.8">
      <c r="A126" s="254"/>
      <c r="B126" s="254"/>
      <c r="C126" s="291"/>
      <c r="D126" s="291"/>
      <c r="E126" s="291"/>
      <c r="F126" s="706"/>
      <c r="G126" s="706"/>
      <c r="H126" s="706"/>
      <c r="I126" s="888"/>
      <c r="J126" s="889"/>
      <c r="K126" s="889"/>
      <c r="L126" s="890"/>
      <c r="M126" s="890"/>
    </row>
    <row r="127" spans="1:13" ht="16.8">
      <c r="A127" s="254"/>
      <c r="B127" s="308"/>
      <c r="C127" s="700"/>
      <c r="D127" s="700"/>
      <c r="E127" s="700"/>
      <c r="F127" s="712"/>
      <c r="G127" s="712"/>
      <c r="H127" s="712"/>
      <c r="I127" s="891"/>
      <c r="J127" s="892"/>
      <c r="K127" s="892"/>
      <c r="L127" s="893"/>
      <c r="M127" s="893"/>
    </row>
    <row r="128" spans="1:13" ht="16.8">
      <c r="A128" s="254"/>
      <c r="B128" s="308"/>
      <c r="C128" s="700"/>
      <c r="D128" s="700"/>
      <c r="E128" s="700"/>
      <c r="F128" s="712"/>
      <c r="G128" s="712"/>
      <c r="H128" s="712"/>
      <c r="I128" s="891"/>
      <c r="J128" s="892"/>
      <c r="K128" s="892"/>
      <c r="L128" s="893"/>
      <c r="M128" s="893"/>
    </row>
    <row r="129" spans="1:13" ht="19.8">
      <c r="A129" s="894"/>
      <c r="B129" s="895" t="s">
        <v>26</v>
      </c>
      <c r="C129" s="894">
        <f t="array" ref="C129">COUNTA(C126:INDEX(C:C,ROW()-1))</f>
        <v>0</v>
      </c>
      <c r="D129" s="894"/>
      <c r="E129" s="894"/>
      <c r="F129" s="894"/>
      <c r="G129" s="894"/>
      <c r="H129" s="894"/>
      <c r="I129" s="894"/>
      <c r="J129" s="1015">
        <f>SUM(K126:K128)</f>
        <v>0</v>
      </c>
      <c r="K129" s="932"/>
      <c r="L129" s="1014">
        <f>SUM(L126:L128)</f>
        <v>0</v>
      </c>
      <c r="M129" s="932"/>
    </row>
    <row r="130" spans="1:13" ht="16.2">
      <c r="A130" s="597"/>
      <c r="B130" s="597"/>
      <c r="C130" s="597"/>
      <c r="D130" s="597"/>
      <c r="E130" s="597"/>
      <c r="F130" s="597"/>
      <c r="G130" s="597"/>
      <c r="H130" s="597"/>
      <c r="I130" s="597"/>
      <c r="J130" s="597"/>
      <c r="K130" s="597"/>
      <c r="L130" s="597"/>
      <c r="M130" s="597"/>
    </row>
    <row r="131" spans="1:13" ht="16.2">
      <c r="A131" s="597"/>
      <c r="B131" s="597"/>
      <c r="C131" s="597"/>
      <c r="D131" s="597"/>
      <c r="E131" s="597"/>
      <c r="F131" s="597"/>
      <c r="G131" s="597"/>
      <c r="H131" s="597"/>
      <c r="I131" s="597"/>
      <c r="J131" s="597"/>
      <c r="K131" s="597"/>
      <c r="L131" s="597"/>
      <c r="M131" s="597"/>
    </row>
    <row r="132" spans="1:13" ht="16.2">
      <c r="A132" s="597"/>
      <c r="B132" s="597"/>
      <c r="C132" s="597"/>
      <c r="D132" s="597"/>
      <c r="E132" s="597"/>
      <c r="F132" s="597"/>
      <c r="G132" s="597"/>
      <c r="H132" s="597"/>
      <c r="I132" s="597"/>
      <c r="J132" s="597"/>
      <c r="K132" s="597"/>
      <c r="L132" s="597"/>
      <c r="M132" s="597"/>
    </row>
    <row r="133" spans="1:13" ht="16.2">
      <c r="A133" s="597"/>
      <c r="B133" s="597"/>
      <c r="C133" s="597"/>
      <c r="D133" s="597"/>
      <c r="E133" s="597"/>
      <c r="F133" s="597"/>
      <c r="G133" s="597"/>
      <c r="H133" s="597"/>
      <c r="I133" s="597"/>
      <c r="J133" s="597"/>
      <c r="K133" s="597"/>
      <c r="L133" s="597"/>
      <c r="M133" s="597"/>
    </row>
    <row r="134" spans="1:13" ht="13.2">
      <c r="A134" s="998" t="s">
        <v>4671</v>
      </c>
      <c r="B134" s="931"/>
      <c r="C134" s="931"/>
      <c r="D134" s="931"/>
      <c r="E134" s="931"/>
      <c r="F134" s="931"/>
      <c r="G134" s="931"/>
      <c r="H134" s="931"/>
      <c r="I134" s="931"/>
      <c r="J134" s="931"/>
      <c r="K134" s="931"/>
      <c r="L134" s="931"/>
      <c r="M134" s="932"/>
    </row>
    <row r="135" spans="1:13" ht="50.4">
      <c r="A135" s="253" t="s">
        <v>165</v>
      </c>
      <c r="B135" s="282" t="s">
        <v>166</v>
      </c>
      <c r="C135" s="282" t="s">
        <v>1556</v>
      </c>
      <c r="D135" s="282" t="s">
        <v>168</v>
      </c>
      <c r="E135" s="282" t="s">
        <v>169</v>
      </c>
      <c r="F135" s="282" t="s">
        <v>1557</v>
      </c>
      <c r="G135" s="282" t="s">
        <v>1558</v>
      </c>
      <c r="H135" s="282" t="s">
        <v>1559</v>
      </c>
      <c r="I135" s="282" t="s">
        <v>4639</v>
      </c>
      <c r="J135" s="670" t="s">
        <v>3689</v>
      </c>
      <c r="K135" s="686" t="s">
        <v>1562</v>
      </c>
      <c r="L135" s="671" t="s">
        <v>1563</v>
      </c>
      <c r="M135" s="287" t="s">
        <v>177</v>
      </c>
    </row>
    <row r="136" spans="1:13" ht="16.8">
      <c r="A136" s="254"/>
      <c r="B136" s="254"/>
      <c r="C136" s="291"/>
      <c r="D136" s="291"/>
      <c r="E136" s="291"/>
      <c r="F136" s="706"/>
      <c r="G136" s="706"/>
      <c r="H136" s="706"/>
      <c r="I136" s="888"/>
      <c r="J136" s="889"/>
      <c r="K136" s="889"/>
      <c r="L136" s="890"/>
      <c r="M136" s="890"/>
    </row>
    <row r="137" spans="1:13" ht="16.8">
      <c r="A137" s="254"/>
      <c r="B137" s="308"/>
      <c r="C137" s="700"/>
      <c r="D137" s="700"/>
      <c r="E137" s="700"/>
      <c r="F137" s="712"/>
      <c r="G137" s="712"/>
      <c r="H137" s="712"/>
      <c r="I137" s="891"/>
      <c r="J137" s="892"/>
      <c r="K137" s="892"/>
      <c r="L137" s="893"/>
      <c r="M137" s="893"/>
    </row>
    <row r="138" spans="1:13" ht="16.8">
      <c r="A138" s="254"/>
      <c r="B138" s="308"/>
      <c r="C138" s="700"/>
      <c r="D138" s="700"/>
      <c r="E138" s="700"/>
      <c r="F138" s="712"/>
      <c r="G138" s="712"/>
      <c r="H138" s="712"/>
      <c r="I138" s="891"/>
      <c r="J138" s="892"/>
      <c r="K138" s="892"/>
      <c r="L138" s="893"/>
      <c r="M138" s="893"/>
    </row>
    <row r="139" spans="1:13" ht="19.8">
      <c r="A139" s="894"/>
      <c r="B139" s="895" t="s">
        <v>26</v>
      </c>
      <c r="C139" s="894">
        <f t="array" ref="C139">COUNTA(C136:INDEX(C:C,ROW()-1))</f>
        <v>0</v>
      </c>
      <c r="D139" s="894"/>
      <c r="E139" s="894"/>
      <c r="F139" s="894"/>
      <c r="G139" s="894"/>
      <c r="H139" s="894"/>
      <c r="I139" s="894"/>
      <c r="J139" s="1015">
        <f>SUM(K136:K138)</f>
        <v>0</v>
      </c>
      <c r="K139" s="932"/>
      <c r="L139" s="1014">
        <f>SUM(L136:L138)</f>
        <v>0</v>
      </c>
      <c r="M139" s="932"/>
    </row>
    <row r="140" spans="1:13" ht="16.2">
      <c r="A140" s="597"/>
      <c r="B140" s="597"/>
      <c r="C140" s="597"/>
      <c r="D140" s="597"/>
      <c r="E140" s="597"/>
      <c r="F140" s="597"/>
      <c r="G140" s="597"/>
      <c r="H140" s="597"/>
      <c r="I140" s="597"/>
      <c r="J140" s="597"/>
      <c r="K140" s="597"/>
      <c r="L140" s="597"/>
      <c r="M140" s="597"/>
    </row>
    <row r="141" spans="1:13" ht="16.2">
      <c r="A141" s="597"/>
      <c r="B141" s="597"/>
      <c r="C141" s="597"/>
      <c r="D141" s="597"/>
      <c r="E141" s="597"/>
      <c r="F141" s="597"/>
      <c r="G141" s="597"/>
      <c r="H141" s="597"/>
      <c r="I141" s="597"/>
      <c r="J141" s="597"/>
      <c r="K141" s="597"/>
      <c r="L141" s="597"/>
      <c r="M141" s="597"/>
    </row>
    <row r="142" spans="1:13" ht="16.2">
      <c r="A142" s="597"/>
      <c r="B142" s="597"/>
      <c r="C142" s="597"/>
      <c r="D142" s="597"/>
      <c r="E142" s="597"/>
      <c r="F142" s="597"/>
      <c r="G142" s="597"/>
      <c r="H142" s="597"/>
      <c r="I142" s="597"/>
      <c r="J142" s="597"/>
      <c r="K142" s="597"/>
      <c r="L142" s="597"/>
      <c r="M142" s="597"/>
    </row>
    <row r="143" spans="1:13" ht="13.2">
      <c r="A143" s="998" t="s">
        <v>4672</v>
      </c>
      <c r="B143" s="931"/>
      <c r="C143" s="931"/>
      <c r="D143" s="931"/>
      <c r="E143" s="931"/>
      <c r="F143" s="931"/>
      <c r="G143" s="931"/>
      <c r="H143" s="931"/>
      <c r="I143" s="931"/>
      <c r="J143" s="931"/>
      <c r="K143" s="931"/>
      <c r="L143" s="931"/>
      <c r="M143" s="932"/>
    </row>
    <row r="144" spans="1:13" ht="50.4">
      <c r="A144" s="253" t="s">
        <v>165</v>
      </c>
      <c r="B144" s="282" t="s">
        <v>166</v>
      </c>
      <c r="C144" s="282" t="s">
        <v>1556</v>
      </c>
      <c r="D144" s="282" t="s">
        <v>168</v>
      </c>
      <c r="E144" s="282" t="s">
        <v>169</v>
      </c>
      <c r="F144" s="282" t="s">
        <v>1557</v>
      </c>
      <c r="G144" s="282" t="s">
        <v>1558</v>
      </c>
      <c r="H144" s="282" t="s">
        <v>1559</v>
      </c>
      <c r="I144" s="282" t="s">
        <v>4639</v>
      </c>
      <c r="J144" s="670" t="s">
        <v>3689</v>
      </c>
      <c r="K144" s="686" t="s">
        <v>1562</v>
      </c>
      <c r="L144" s="671" t="s">
        <v>1563</v>
      </c>
      <c r="M144" s="287" t="s">
        <v>177</v>
      </c>
    </row>
    <row r="145" spans="1:13" ht="16.8">
      <c r="A145" s="254"/>
      <c r="B145" s="254"/>
      <c r="C145" s="291"/>
      <c r="D145" s="291"/>
      <c r="E145" s="291"/>
      <c r="F145" s="706"/>
      <c r="G145" s="706"/>
      <c r="H145" s="706"/>
      <c r="I145" s="888"/>
      <c r="J145" s="889"/>
      <c r="K145" s="889"/>
      <c r="L145" s="890"/>
      <c r="M145" s="890"/>
    </row>
    <row r="146" spans="1:13" ht="16.8">
      <c r="A146" s="254"/>
      <c r="B146" s="308"/>
      <c r="C146" s="700"/>
      <c r="D146" s="700"/>
      <c r="E146" s="700"/>
      <c r="F146" s="712"/>
      <c r="G146" s="712"/>
      <c r="H146" s="712"/>
      <c r="I146" s="891"/>
      <c r="J146" s="892"/>
      <c r="K146" s="892"/>
      <c r="L146" s="893"/>
      <c r="M146" s="893"/>
    </row>
    <row r="147" spans="1:13" ht="16.8">
      <c r="A147" s="254"/>
      <c r="B147" s="308"/>
      <c r="C147" s="700"/>
      <c r="D147" s="700"/>
      <c r="E147" s="700"/>
      <c r="F147" s="712"/>
      <c r="G147" s="712"/>
      <c r="H147" s="712"/>
      <c r="I147" s="891"/>
      <c r="J147" s="892"/>
      <c r="K147" s="892"/>
      <c r="L147" s="893"/>
      <c r="M147" s="893"/>
    </row>
    <row r="148" spans="1:13" ht="19.8">
      <c r="A148" s="894"/>
      <c r="B148" s="895" t="s">
        <v>26</v>
      </c>
      <c r="C148" s="894">
        <f t="array" ref="C148">COUNTA(C145:INDEX(C:C,ROW()-1))</f>
        <v>0</v>
      </c>
      <c r="D148" s="894"/>
      <c r="E148" s="894"/>
      <c r="F148" s="894"/>
      <c r="G148" s="894"/>
      <c r="H148" s="894"/>
      <c r="I148" s="894"/>
      <c r="J148" s="1015">
        <f>SUM(K145:K147)</f>
        <v>0</v>
      </c>
      <c r="K148" s="932"/>
      <c r="L148" s="1014">
        <f>SUM(L145:L147)</f>
        <v>0</v>
      </c>
      <c r="M148" s="932"/>
    </row>
    <row r="149" spans="1:13" ht="16.2">
      <c r="A149" s="597"/>
      <c r="B149" s="597"/>
      <c r="C149" s="597"/>
      <c r="D149" s="597"/>
      <c r="E149" s="597"/>
      <c r="F149" s="597"/>
      <c r="G149" s="597"/>
      <c r="H149" s="597"/>
      <c r="I149" s="597"/>
      <c r="J149" s="597"/>
      <c r="K149" s="597"/>
      <c r="L149" s="597"/>
      <c r="M149" s="597"/>
    </row>
    <row r="150" spans="1:13" ht="16.2">
      <c r="A150" s="597"/>
      <c r="B150" s="597"/>
      <c r="C150" s="597"/>
      <c r="D150" s="597"/>
      <c r="E150" s="597"/>
      <c r="F150" s="597"/>
      <c r="G150" s="597"/>
      <c r="H150" s="597"/>
      <c r="I150" s="597"/>
      <c r="J150" s="597"/>
      <c r="K150" s="597"/>
      <c r="L150" s="597"/>
      <c r="M150" s="597"/>
    </row>
    <row r="151" spans="1:13" ht="16.2">
      <c r="A151" s="597"/>
      <c r="B151" s="597"/>
      <c r="C151" s="597"/>
      <c r="D151" s="597"/>
      <c r="E151" s="597"/>
      <c r="F151" s="597"/>
      <c r="G151" s="597"/>
      <c r="H151" s="597"/>
      <c r="I151" s="597"/>
      <c r="J151" s="597"/>
      <c r="K151" s="597"/>
      <c r="L151" s="597"/>
      <c r="M151" s="597"/>
    </row>
    <row r="152" spans="1:13" ht="13.2">
      <c r="A152" s="998" t="s">
        <v>4673</v>
      </c>
      <c r="B152" s="931"/>
      <c r="C152" s="931"/>
      <c r="D152" s="931"/>
      <c r="E152" s="931"/>
      <c r="F152" s="931"/>
      <c r="G152" s="931"/>
      <c r="H152" s="931"/>
      <c r="I152" s="931"/>
      <c r="J152" s="931"/>
      <c r="K152" s="931"/>
      <c r="L152" s="931"/>
      <c r="M152" s="932"/>
    </row>
    <row r="153" spans="1:13" ht="50.4">
      <c r="A153" s="253" t="s">
        <v>165</v>
      </c>
      <c r="B153" s="282" t="s">
        <v>166</v>
      </c>
      <c r="C153" s="282" t="s">
        <v>1556</v>
      </c>
      <c r="D153" s="282" t="s">
        <v>168</v>
      </c>
      <c r="E153" s="282" t="s">
        <v>169</v>
      </c>
      <c r="F153" s="282" t="s">
        <v>1557</v>
      </c>
      <c r="G153" s="282" t="s">
        <v>1558</v>
      </c>
      <c r="H153" s="282" t="s">
        <v>1559</v>
      </c>
      <c r="I153" s="282" t="s">
        <v>4639</v>
      </c>
      <c r="J153" s="670" t="s">
        <v>3689</v>
      </c>
      <c r="K153" s="686" t="s">
        <v>1562</v>
      </c>
      <c r="L153" s="671" t="s">
        <v>1563</v>
      </c>
      <c r="M153" s="287" t="s">
        <v>177</v>
      </c>
    </row>
    <row r="154" spans="1:13" ht="16.8">
      <c r="A154" s="254"/>
      <c r="B154" s="254"/>
      <c r="C154" s="291"/>
      <c r="D154" s="291"/>
      <c r="E154" s="291"/>
      <c r="F154" s="706"/>
      <c r="G154" s="706"/>
      <c r="H154" s="706"/>
      <c r="I154" s="888"/>
      <c r="J154" s="889"/>
      <c r="K154" s="889"/>
      <c r="L154" s="890"/>
      <c r="M154" s="890"/>
    </row>
    <row r="155" spans="1:13" ht="16.8">
      <c r="A155" s="254"/>
      <c r="B155" s="308"/>
      <c r="C155" s="700"/>
      <c r="D155" s="700"/>
      <c r="E155" s="700"/>
      <c r="F155" s="712"/>
      <c r="G155" s="712"/>
      <c r="H155" s="712"/>
      <c r="I155" s="891"/>
      <c r="J155" s="892"/>
      <c r="K155" s="892"/>
      <c r="L155" s="893"/>
      <c r="M155" s="893"/>
    </row>
    <row r="156" spans="1:13" ht="16.8">
      <c r="A156" s="254"/>
      <c r="B156" s="308"/>
      <c r="C156" s="700"/>
      <c r="D156" s="700"/>
      <c r="E156" s="700"/>
      <c r="F156" s="712"/>
      <c r="G156" s="712"/>
      <c r="H156" s="712"/>
      <c r="I156" s="891"/>
      <c r="J156" s="892"/>
      <c r="K156" s="892"/>
      <c r="L156" s="893"/>
      <c r="M156" s="893"/>
    </row>
    <row r="157" spans="1:13" ht="19.8">
      <c r="A157" s="894"/>
      <c r="B157" s="895" t="s">
        <v>26</v>
      </c>
      <c r="C157" s="894">
        <f t="array" ref="C157">COUNTA(C154:INDEX(C:C,ROW()-1))</f>
        <v>0</v>
      </c>
      <c r="D157" s="894"/>
      <c r="E157" s="894"/>
      <c r="F157" s="894"/>
      <c r="G157" s="894"/>
      <c r="H157" s="894"/>
      <c r="I157" s="894"/>
      <c r="J157" s="1015">
        <f>SUM(K154:K156)</f>
        <v>0</v>
      </c>
      <c r="K157" s="932"/>
      <c r="L157" s="1014">
        <f>SUM(L154:L156)</f>
        <v>0</v>
      </c>
      <c r="M157" s="932"/>
    </row>
    <row r="158" spans="1:13" ht="16.2">
      <c r="A158" s="597"/>
      <c r="B158" s="597"/>
      <c r="C158" s="597"/>
      <c r="D158" s="597"/>
      <c r="E158" s="597"/>
      <c r="F158" s="597"/>
      <c r="G158" s="597"/>
      <c r="H158" s="597"/>
      <c r="I158" s="597"/>
      <c r="J158" s="597"/>
      <c r="K158" s="597"/>
      <c r="L158" s="597"/>
      <c r="M158" s="597"/>
    </row>
    <row r="159" spans="1:13" ht="16.2">
      <c r="A159" s="597"/>
      <c r="B159" s="597"/>
      <c r="C159" s="597"/>
      <c r="D159" s="597"/>
      <c r="E159" s="597"/>
      <c r="F159" s="597"/>
      <c r="G159" s="597"/>
      <c r="H159" s="597"/>
      <c r="I159" s="597"/>
      <c r="J159" s="597"/>
      <c r="K159" s="597"/>
      <c r="L159" s="597"/>
      <c r="M159" s="597"/>
    </row>
    <row r="160" spans="1:13" ht="16.2">
      <c r="A160" s="597"/>
      <c r="B160" s="597"/>
      <c r="C160" s="597"/>
      <c r="D160" s="597"/>
      <c r="E160" s="597"/>
      <c r="F160" s="597"/>
      <c r="G160" s="597"/>
      <c r="H160" s="597"/>
      <c r="I160" s="597"/>
      <c r="J160" s="597"/>
      <c r="K160" s="597"/>
      <c r="L160" s="597"/>
      <c r="M160" s="597"/>
    </row>
    <row r="161" spans="1:13" ht="16.2">
      <c r="A161" s="597"/>
      <c r="B161" s="597"/>
      <c r="C161" s="597"/>
      <c r="D161" s="597"/>
      <c r="E161" s="597"/>
      <c r="F161" s="597"/>
      <c r="G161" s="597"/>
      <c r="H161" s="597"/>
      <c r="I161" s="597"/>
      <c r="J161" s="597"/>
      <c r="K161" s="597"/>
      <c r="L161" s="597"/>
      <c r="M161" s="597"/>
    </row>
    <row r="162" spans="1:13" ht="13.2">
      <c r="A162" s="998" t="s">
        <v>2066</v>
      </c>
      <c r="B162" s="931"/>
      <c r="C162" s="931"/>
      <c r="D162" s="931"/>
      <c r="E162" s="931"/>
      <c r="F162" s="931"/>
      <c r="G162" s="931"/>
      <c r="H162" s="931"/>
      <c r="I162" s="931"/>
      <c r="J162" s="931"/>
      <c r="K162" s="931"/>
      <c r="L162" s="931"/>
      <c r="M162" s="932"/>
    </row>
    <row r="163" spans="1:13" ht="50.4">
      <c r="A163" s="253" t="s">
        <v>165</v>
      </c>
      <c r="B163" s="282" t="s">
        <v>166</v>
      </c>
      <c r="C163" s="282" t="s">
        <v>1556</v>
      </c>
      <c r="D163" s="282" t="s">
        <v>168</v>
      </c>
      <c r="E163" s="282" t="s">
        <v>169</v>
      </c>
      <c r="F163" s="282" t="s">
        <v>1557</v>
      </c>
      <c r="G163" s="282" t="s">
        <v>1558</v>
      </c>
      <c r="H163" s="282" t="s">
        <v>1559</v>
      </c>
      <c r="I163" s="282" t="s">
        <v>4639</v>
      </c>
      <c r="J163" s="670" t="s">
        <v>3689</v>
      </c>
      <c r="K163" s="686" t="s">
        <v>1562</v>
      </c>
      <c r="L163" s="671" t="s">
        <v>1563</v>
      </c>
      <c r="M163" s="287" t="s">
        <v>177</v>
      </c>
    </row>
    <row r="164" spans="1:13" ht="16.8">
      <c r="A164" s="254"/>
      <c r="B164" s="254"/>
      <c r="C164" s="291"/>
      <c r="D164" s="291"/>
      <c r="E164" s="291"/>
      <c r="F164" s="706"/>
      <c r="G164" s="706"/>
      <c r="H164" s="706"/>
      <c r="I164" s="888"/>
      <c r="J164" s="889"/>
      <c r="K164" s="889"/>
      <c r="L164" s="890"/>
      <c r="M164" s="890"/>
    </row>
    <row r="165" spans="1:13" ht="16.8">
      <c r="A165" s="254"/>
      <c r="B165" s="308"/>
      <c r="C165" s="700"/>
      <c r="D165" s="700"/>
      <c r="E165" s="700"/>
      <c r="F165" s="712"/>
      <c r="G165" s="712"/>
      <c r="H165" s="712"/>
      <c r="I165" s="891"/>
      <c r="J165" s="892"/>
      <c r="K165" s="892"/>
      <c r="L165" s="893"/>
      <c r="M165" s="893"/>
    </row>
    <row r="166" spans="1:13" ht="16.8">
      <c r="A166" s="254"/>
      <c r="B166" s="308"/>
      <c r="C166" s="700"/>
      <c r="D166" s="700"/>
      <c r="E166" s="700"/>
      <c r="F166" s="712"/>
      <c r="G166" s="712"/>
      <c r="H166" s="712"/>
      <c r="I166" s="891"/>
      <c r="J166" s="892"/>
      <c r="K166" s="892"/>
      <c r="L166" s="893"/>
      <c r="M166" s="893"/>
    </row>
    <row r="167" spans="1:13" ht="19.8">
      <c r="A167" s="894"/>
      <c r="B167" s="895" t="s">
        <v>26</v>
      </c>
      <c r="C167" s="894">
        <f t="array" ref="C167">COUNTA(C164:INDEX(C:C,ROW()-1))</f>
        <v>0</v>
      </c>
      <c r="D167" s="894"/>
      <c r="E167" s="894"/>
      <c r="F167" s="894"/>
      <c r="G167" s="894"/>
      <c r="H167" s="894"/>
      <c r="I167" s="894"/>
      <c r="J167" s="1015">
        <f>SUM(K164:K166)</f>
        <v>0</v>
      </c>
      <c r="K167" s="932"/>
      <c r="L167" s="1014">
        <f>SUM(L164:L166)</f>
        <v>0</v>
      </c>
      <c r="M167" s="932"/>
    </row>
    <row r="168" spans="1:13" ht="16.2">
      <c r="A168" s="597"/>
      <c r="B168" s="597"/>
      <c r="C168" s="597"/>
      <c r="D168" s="597"/>
      <c r="E168" s="597"/>
      <c r="F168" s="597"/>
      <c r="G168" s="597"/>
      <c r="H168" s="597"/>
      <c r="I168" s="597"/>
      <c r="J168" s="597"/>
      <c r="K168" s="597"/>
      <c r="L168" s="597"/>
      <c r="M168" s="597"/>
    </row>
    <row r="169" spans="1:13" ht="16.2">
      <c r="A169" s="597"/>
      <c r="B169" s="597"/>
      <c r="C169" s="597"/>
      <c r="D169" s="597"/>
      <c r="E169" s="597"/>
      <c r="F169" s="597"/>
      <c r="G169" s="597"/>
      <c r="H169" s="597"/>
      <c r="I169" s="597"/>
      <c r="J169" s="597"/>
      <c r="K169" s="597"/>
      <c r="L169" s="597"/>
      <c r="M169" s="597"/>
    </row>
    <row r="170" spans="1:13" ht="16.2">
      <c r="A170" s="597"/>
      <c r="B170" s="597"/>
      <c r="C170" s="597"/>
      <c r="D170" s="597"/>
      <c r="E170" s="597"/>
      <c r="F170" s="597"/>
      <c r="G170" s="597"/>
      <c r="H170" s="597"/>
      <c r="I170" s="597"/>
      <c r="J170" s="597"/>
      <c r="K170" s="597"/>
      <c r="L170" s="597"/>
      <c r="M170" s="597"/>
    </row>
    <row r="171" spans="1:13" ht="13.2">
      <c r="A171" s="998" t="s">
        <v>4674</v>
      </c>
      <c r="B171" s="931"/>
      <c r="C171" s="931"/>
      <c r="D171" s="931"/>
      <c r="E171" s="931"/>
      <c r="F171" s="931"/>
      <c r="G171" s="931"/>
      <c r="H171" s="931"/>
      <c r="I171" s="931"/>
      <c r="J171" s="931"/>
      <c r="K171" s="931"/>
      <c r="L171" s="931"/>
      <c r="M171" s="932"/>
    </row>
    <row r="172" spans="1:13" ht="50.4">
      <c r="A172" s="253" t="s">
        <v>165</v>
      </c>
      <c r="B172" s="282" t="s">
        <v>166</v>
      </c>
      <c r="C172" s="282" t="s">
        <v>1556</v>
      </c>
      <c r="D172" s="282" t="s">
        <v>168</v>
      </c>
      <c r="E172" s="282" t="s">
        <v>169</v>
      </c>
      <c r="F172" s="282" t="s">
        <v>1557</v>
      </c>
      <c r="G172" s="282" t="s">
        <v>1558</v>
      </c>
      <c r="H172" s="282" t="s">
        <v>1559</v>
      </c>
      <c r="I172" s="282" t="s">
        <v>4639</v>
      </c>
      <c r="J172" s="670" t="s">
        <v>3689</v>
      </c>
      <c r="K172" s="686" t="s">
        <v>1562</v>
      </c>
      <c r="L172" s="671" t="s">
        <v>1563</v>
      </c>
      <c r="M172" s="287" t="s">
        <v>177</v>
      </c>
    </row>
    <row r="173" spans="1:13" ht="16.8">
      <c r="A173" s="254"/>
      <c r="B173" s="254"/>
      <c r="C173" s="291"/>
      <c r="D173" s="291"/>
      <c r="E173" s="291"/>
      <c r="F173" s="706"/>
      <c r="G173" s="706"/>
      <c r="H173" s="706"/>
      <c r="I173" s="888"/>
      <c r="J173" s="889"/>
      <c r="K173" s="889"/>
      <c r="L173" s="890"/>
      <c r="M173" s="890"/>
    </row>
    <row r="174" spans="1:13" ht="16.8">
      <c r="A174" s="254"/>
      <c r="B174" s="308"/>
      <c r="C174" s="700"/>
      <c r="D174" s="700"/>
      <c r="E174" s="700"/>
      <c r="F174" s="712"/>
      <c r="G174" s="712"/>
      <c r="H174" s="712"/>
      <c r="I174" s="891"/>
      <c r="J174" s="892"/>
      <c r="K174" s="892"/>
      <c r="L174" s="893"/>
      <c r="M174" s="893"/>
    </row>
    <row r="175" spans="1:13" ht="16.8">
      <c r="A175" s="254"/>
      <c r="B175" s="308"/>
      <c r="C175" s="700"/>
      <c r="D175" s="700"/>
      <c r="E175" s="700"/>
      <c r="F175" s="712"/>
      <c r="G175" s="712"/>
      <c r="H175" s="712"/>
      <c r="I175" s="891"/>
      <c r="J175" s="892"/>
      <c r="K175" s="892"/>
      <c r="L175" s="893"/>
      <c r="M175" s="893"/>
    </row>
    <row r="176" spans="1:13" ht="19.8">
      <c r="A176" s="894"/>
      <c r="B176" s="895" t="s">
        <v>26</v>
      </c>
      <c r="C176" s="894">
        <f t="array" ref="C176">COUNTA(C173:INDEX(C:C,ROW()-1))</f>
        <v>0</v>
      </c>
      <c r="D176" s="894"/>
      <c r="E176" s="894"/>
      <c r="F176" s="894"/>
      <c r="G176" s="894"/>
      <c r="H176" s="894"/>
      <c r="I176" s="894"/>
      <c r="J176" s="1015">
        <f>SUM(K173:K175)</f>
        <v>0</v>
      </c>
      <c r="K176" s="932"/>
      <c r="L176" s="1014">
        <f>SUM(L173:L175)</f>
        <v>0</v>
      </c>
      <c r="M176" s="932"/>
    </row>
    <row r="177" spans="1:13" ht="16.2">
      <c r="A177" s="597"/>
      <c r="B177" s="597"/>
      <c r="C177" s="597"/>
      <c r="D177" s="597"/>
      <c r="E177" s="597"/>
      <c r="F177" s="597"/>
      <c r="G177" s="597"/>
      <c r="H177" s="597"/>
      <c r="I177" s="597"/>
      <c r="J177" s="597"/>
      <c r="K177" s="597"/>
      <c r="L177" s="597"/>
      <c r="M177" s="597"/>
    </row>
    <row r="178" spans="1:13" ht="16.2">
      <c r="A178" s="597"/>
      <c r="B178" s="597"/>
      <c r="C178" s="597"/>
      <c r="D178" s="597"/>
      <c r="E178" s="597"/>
      <c r="F178" s="597"/>
      <c r="G178" s="597"/>
      <c r="H178" s="597"/>
      <c r="I178" s="597"/>
      <c r="J178" s="597"/>
      <c r="K178" s="597"/>
      <c r="L178" s="597"/>
      <c r="M178" s="597"/>
    </row>
    <row r="179" spans="1:13" ht="16.2">
      <c r="A179" s="597"/>
      <c r="B179" s="597"/>
      <c r="C179" s="597"/>
      <c r="D179" s="597"/>
      <c r="E179" s="597"/>
      <c r="F179" s="597"/>
      <c r="G179" s="597"/>
      <c r="H179" s="597"/>
      <c r="I179" s="597"/>
      <c r="J179" s="597"/>
      <c r="K179" s="597"/>
      <c r="L179" s="597"/>
      <c r="M179" s="597"/>
    </row>
    <row r="180" spans="1:13" ht="13.2">
      <c r="A180" s="998" t="s">
        <v>4675</v>
      </c>
      <c r="B180" s="931"/>
      <c r="C180" s="931"/>
      <c r="D180" s="931"/>
      <c r="E180" s="931"/>
      <c r="F180" s="931"/>
      <c r="G180" s="931"/>
      <c r="H180" s="931"/>
      <c r="I180" s="931"/>
      <c r="J180" s="931"/>
      <c r="K180" s="931"/>
      <c r="L180" s="931"/>
      <c r="M180" s="932"/>
    </row>
    <row r="181" spans="1:13" ht="50.4">
      <c r="A181" s="253" t="s">
        <v>165</v>
      </c>
      <c r="B181" s="282" t="s">
        <v>166</v>
      </c>
      <c r="C181" s="282" t="s">
        <v>1556</v>
      </c>
      <c r="D181" s="282" t="s">
        <v>168</v>
      </c>
      <c r="E181" s="282" t="s">
        <v>169</v>
      </c>
      <c r="F181" s="282" t="s">
        <v>1557</v>
      </c>
      <c r="G181" s="282" t="s">
        <v>1558</v>
      </c>
      <c r="H181" s="282" t="s">
        <v>1559</v>
      </c>
      <c r="I181" s="282" t="s">
        <v>4639</v>
      </c>
      <c r="J181" s="670" t="s">
        <v>3689</v>
      </c>
      <c r="K181" s="686" t="s">
        <v>1562</v>
      </c>
      <c r="L181" s="671" t="s">
        <v>1563</v>
      </c>
      <c r="M181" s="287" t="s">
        <v>177</v>
      </c>
    </row>
    <row r="182" spans="1:13" ht="16.8">
      <c r="A182" s="254"/>
      <c r="B182" s="254"/>
      <c r="C182" s="291"/>
      <c r="D182" s="291"/>
      <c r="E182" s="291"/>
      <c r="F182" s="706"/>
      <c r="G182" s="706"/>
      <c r="H182" s="706"/>
      <c r="I182" s="888"/>
      <c r="J182" s="889"/>
      <c r="K182" s="889"/>
      <c r="L182" s="890"/>
      <c r="M182" s="890"/>
    </row>
    <row r="183" spans="1:13" ht="16.8">
      <c r="A183" s="254"/>
      <c r="B183" s="308"/>
      <c r="C183" s="700"/>
      <c r="D183" s="700"/>
      <c r="E183" s="700"/>
      <c r="F183" s="712"/>
      <c r="G183" s="712"/>
      <c r="H183" s="712"/>
      <c r="I183" s="891"/>
      <c r="J183" s="892"/>
      <c r="K183" s="892"/>
      <c r="L183" s="893"/>
      <c r="M183" s="893"/>
    </row>
    <row r="184" spans="1:13" ht="16.8">
      <c r="A184" s="254"/>
      <c r="B184" s="308"/>
      <c r="C184" s="700"/>
      <c r="D184" s="700"/>
      <c r="E184" s="700"/>
      <c r="F184" s="712"/>
      <c r="G184" s="712"/>
      <c r="H184" s="712"/>
      <c r="I184" s="891"/>
      <c r="J184" s="892"/>
      <c r="K184" s="892"/>
      <c r="L184" s="893"/>
      <c r="M184" s="893"/>
    </row>
    <row r="185" spans="1:13" ht="19.8">
      <c r="A185" s="894"/>
      <c r="B185" s="895" t="s">
        <v>26</v>
      </c>
      <c r="C185" s="894">
        <f t="array" ref="C185">COUNTA(C182:INDEX(C:C,ROW()-1))</f>
        <v>0</v>
      </c>
      <c r="D185" s="894"/>
      <c r="E185" s="894"/>
      <c r="F185" s="894"/>
      <c r="G185" s="894"/>
      <c r="H185" s="894"/>
      <c r="I185" s="894"/>
      <c r="J185" s="1015">
        <f>SUM(K182:K184)</f>
        <v>0</v>
      </c>
      <c r="K185" s="932"/>
      <c r="L185" s="1014">
        <f>SUM(L182:L184)</f>
        <v>0</v>
      </c>
      <c r="M185" s="932"/>
    </row>
    <row r="186" spans="1:13" ht="16.2">
      <c r="A186" s="597"/>
      <c r="B186" s="597"/>
      <c r="C186" s="597"/>
      <c r="D186" s="597"/>
      <c r="E186" s="597"/>
      <c r="F186" s="597"/>
      <c r="G186" s="597"/>
      <c r="H186" s="597"/>
      <c r="I186" s="597"/>
      <c r="J186" s="597"/>
      <c r="K186" s="597"/>
      <c r="L186" s="597"/>
      <c r="M186" s="597"/>
    </row>
    <row r="187" spans="1:13" ht="16.2">
      <c r="A187" s="597"/>
      <c r="B187" s="597"/>
      <c r="C187" s="597"/>
      <c r="D187" s="597"/>
      <c r="E187" s="597"/>
      <c r="F187" s="597"/>
      <c r="G187" s="597"/>
      <c r="H187" s="597"/>
      <c r="I187" s="597"/>
      <c r="J187" s="597"/>
      <c r="K187" s="597"/>
      <c r="L187" s="597"/>
      <c r="M187" s="597"/>
    </row>
    <row r="188" spans="1:13" ht="16.2">
      <c r="A188" s="597"/>
      <c r="B188" s="597"/>
      <c r="C188" s="597"/>
      <c r="D188" s="597"/>
      <c r="E188" s="597"/>
      <c r="F188" s="597"/>
      <c r="G188" s="597"/>
      <c r="H188" s="597"/>
      <c r="I188" s="597"/>
      <c r="J188" s="597"/>
      <c r="K188" s="597"/>
      <c r="L188" s="597"/>
      <c r="M188" s="597"/>
    </row>
    <row r="189" spans="1:13" ht="13.2">
      <c r="A189" s="998" t="s">
        <v>4676</v>
      </c>
      <c r="B189" s="931"/>
      <c r="C189" s="931"/>
      <c r="D189" s="931"/>
      <c r="E189" s="931"/>
      <c r="F189" s="931"/>
      <c r="G189" s="931"/>
      <c r="H189" s="931"/>
      <c r="I189" s="931"/>
      <c r="J189" s="931"/>
      <c r="K189" s="931"/>
      <c r="L189" s="931"/>
      <c r="M189" s="932"/>
    </row>
    <row r="190" spans="1:13" ht="50.4">
      <c r="A190" s="253" t="s">
        <v>165</v>
      </c>
      <c r="B190" s="282" t="s">
        <v>166</v>
      </c>
      <c r="C190" s="282" t="s">
        <v>1556</v>
      </c>
      <c r="D190" s="282" t="s">
        <v>168</v>
      </c>
      <c r="E190" s="282" t="s">
        <v>169</v>
      </c>
      <c r="F190" s="282" t="s">
        <v>1557</v>
      </c>
      <c r="G190" s="282" t="s">
        <v>1558</v>
      </c>
      <c r="H190" s="282" t="s">
        <v>1559</v>
      </c>
      <c r="I190" s="282" t="s">
        <v>4639</v>
      </c>
      <c r="J190" s="670" t="s">
        <v>3689</v>
      </c>
      <c r="K190" s="686" t="s">
        <v>1562</v>
      </c>
      <c r="L190" s="671" t="s">
        <v>1563</v>
      </c>
      <c r="M190" s="287" t="s">
        <v>177</v>
      </c>
    </row>
    <row r="191" spans="1:13" ht="41.4">
      <c r="A191" s="254"/>
      <c r="B191" s="333" t="s">
        <v>4677</v>
      </c>
      <c r="C191" s="354" t="s">
        <v>4678</v>
      </c>
      <c r="D191" s="353" t="s">
        <v>4679</v>
      </c>
      <c r="E191" s="354" t="s">
        <v>4239</v>
      </c>
      <c r="F191" s="909">
        <v>3900</v>
      </c>
      <c r="G191" s="390">
        <v>16380</v>
      </c>
      <c r="H191" s="390">
        <v>16380</v>
      </c>
      <c r="I191" s="357">
        <v>0.2</v>
      </c>
      <c r="J191" s="391">
        <v>13104</v>
      </c>
      <c r="K191" s="420">
        <v>5880</v>
      </c>
      <c r="L191" s="419">
        <v>7224</v>
      </c>
      <c r="M191" s="360" t="s">
        <v>1653</v>
      </c>
    </row>
    <row r="192" spans="1:13" ht="16.8">
      <c r="A192" s="254"/>
      <c r="B192" s="308"/>
      <c r="C192" s="700"/>
      <c r="D192" s="700"/>
      <c r="E192" s="700"/>
      <c r="F192" s="712"/>
      <c r="G192" s="712"/>
      <c r="H192" s="712"/>
      <c r="I192" s="891"/>
      <c r="J192" s="892"/>
      <c r="K192" s="892"/>
      <c r="L192" s="893"/>
      <c r="M192" s="893"/>
    </row>
    <row r="193" spans="1:13" ht="16.8">
      <c r="A193" s="254"/>
      <c r="B193" s="308"/>
      <c r="C193" s="700"/>
      <c r="D193" s="700"/>
      <c r="E193" s="700"/>
      <c r="F193" s="712"/>
      <c r="G193" s="712"/>
      <c r="H193" s="712"/>
      <c r="I193" s="891"/>
      <c r="J193" s="892"/>
      <c r="K193" s="892"/>
      <c r="L193" s="893"/>
      <c r="M193" s="893"/>
    </row>
    <row r="194" spans="1:13" ht="19.8">
      <c r="A194" s="894"/>
      <c r="B194" s="895" t="s">
        <v>26</v>
      </c>
      <c r="C194" s="894">
        <f t="array" ref="C194">COUNTA(C191:INDEX(C:C,ROW()-1))</f>
        <v>1</v>
      </c>
      <c r="D194" s="894"/>
      <c r="E194" s="894"/>
      <c r="F194" s="894"/>
      <c r="G194" s="894"/>
      <c r="H194" s="894"/>
      <c r="I194" s="894"/>
      <c r="J194" s="1015">
        <f>SUM(K191:K193)</f>
        <v>5880</v>
      </c>
      <c r="K194" s="932"/>
      <c r="L194" s="1014">
        <f>SUM(L191:L193)</f>
        <v>7224</v>
      </c>
      <c r="M194" s="932"/>
    </row>
    <row r="195" spans="1:13" ht="16.2">
      <c r="A195" s="597"/>
      <c r="B195" s="597"/>
      <c r="C195" s="597"/>
      <c r="D195" s="597"/>
      <c r="E195" s="597"/>
      <c r="F195" s="597"/>
      <c r="G195" s="597"/>
      <c r="H195" s="597"/>
      <c r="I195" s="597"/>
      <c r="J195" s="597"/>
      <c r="K195" s="597"/>
      <c r="L195" s="597"/>
      <c r="M195" s="597"/>
    </row>
    <row r="196" spans="1:13" ht="16.2">
      <c r="A196" s="597"/>
      <c r="B196" s="597"/>
      <c r="C196" s="597"/>
      <c r="D196" s="597"/>
      <c r="E196" s="597"/>
      <c r="F196" s="597"/>
      <c r="G196" s="597"/>
      <c r="H196" s="597"/>
      <c r="I196" s="597"/>
      <c r="J196" s="597"/>
      <c r="K196" s="597"/>
      <c r="L196" s="597"/>
      <c r="M196" s="597"/>
    </row>
    <row r="197" spans="1:13" ht="16.2">
      <c r="A197" s="597"/>
      <c r="B197" s="597"/>
      <c r="C197" s="597"/>
      <c r="D197" s="597"/>
      <c r="E197" s="597"/>
      <c r="F197" s="597"/>
      <c r="G197" s="597"/>
      <c r="H197" s="597"/>
      <c r="I197" s="597"/>
      <c r="J197" s="597"/>
      <c r="K197" s="597"/>
      <c r="L197" s="597"/>
      <c r="M197" s="597"/>
    </row>
    <row r="198" spans="1:13" ht="13.2">
      <c r="A198" s="998" t="s">
        <v>4680</v>
      </c>
      <c r="B198" s="931"/>
      <c r="C198" s="931"/>
      <c r="D198" s="931"/>
      <c r="E198" s="931"/>
      <c r="F198" s="931"/>
      <c r="G198" s="931"/>
      <c r="H198" s="931"/>
      <c r="I198" s="931"/>
      <c r="J198" s="931"/>
      <c r="K198" s="931"/>
      <c r="L198" s="931"/>
      <c r="M198" s="932"/>
    </row>
    <row r="199" spans="1:13" ht="50.4">
      <c r="A199" s="253" t="s">
        <v>165</v>
      </c>
      <c r="B199" s="282" t="s">
        <v>166</v>
      </c>
      <c r="C199" s="282" t="s">
        <v>1556</v>
      </c>
      <c r="D199" s="282" t="s">
        <v>168</v>
      </c>
      <c r="E199" s="282" t="s">
        <v>169</v>
      </c>
      <c r="F199" s="282" t="s">
        <v>1557</v>
      </c>
      <c r="G199" s="282" t="s">
        <v>1558</v>
      </c>
      <c r="H199" s="282" t="s">
        <v>1559</v>
      </c>
      <c r="I199" s="282" t="s">
        <v>4639</v>
      </c>
      <c r="J199" s="670" t="s">
        <v>3689</v>
      </c>
      <c r="K199" s="686" t="s">
        <v>1562</v>
      </c>
      <c r="L199" s="671" t="s">
        <v>1563</v>
      </c>
      <c r="M199" s="287" t="s">
        <v>177</v>
      </c>
    </row>
    <row r="200" spans="1:13" ht="16.8">
      <c r="A200" s="254"/>
      <c r="B200" s="254"/>
      <c r="C200" s="291"/>
      <c r="D200" s="291"/>
      <c r="E200" s="291"/>
      <c r="F200" s="706"/>
      <c r="G200" s="706"/>
      <c r="H200" s="706"/>
      <c r="I200" s="888"/>
      <c r="J200" s="889"/>
      <c r="K200" s="889"/>
      <c r="L200" s="890"/>
      <c r="M200" s="890"/>
    </row>
    <row r="201" spans="1:13" ht="16.8">
      <c r="A201" s="254"/>
      <c r="B201" s="308"/>
      <c r="C201" s="700"/>
      <c r="D201" s="700"/>
      <c r="E201" s="700"/>
      <c r="F201" s="712"/>
      <c r="G201" s="712"/>
      <c r="H201" s="712"/>
      <c r="I201" s="891"/>
      <c r="J201" s="892"/>
      <c r="K201" s="892"/>
      <c r="L201" s="893"/>
      <c r="M201" s="893"/>
    </row>
    <row r="202" spans="1:13" ht="16.8">
      <c r="A202" s="254"/>
      <c r="B202" s="308"/>
      <c r="C202" s="700"/>
      <c r="D202" s="700"/>
      <c r="E202" s="700"/>
      <c r="F202" s="712"/>
      <c r="G202" s="712"/>
      <c r="H202" s="712"/>
      <c r="I202" s="891"/>
      <c r="J202" s="892"/>
      <c r="K202" s="892"/>
      <c r="L202" s="893"/>
      <c r="M202" s="893"/>
    </row>
    <row r="203" spans="1:13" ht="19.8">
      <c r="A203" s="894"/>
      <c r="B203" s="895" t="s">
        <v>26</v>
      </c>
      <c r="C203" s="894">
        <f t="array" ref="C203">COUNTA(C200:INDEX(C:C,ROW()-1))</f>
        <v>0</v>
      </c>
      <c r="D203" s="894"/>
      <c r="E203" s="894"/>
      <c r="F203" s="894"/>
      <c r="G203" s="894"/>
      <c r="H203" s="894"/>
      <c r="I203" s="894"/>
      <c r="J203" s="1015">
        <f>SUM(K200:K202)</f>
        <v>0</v>
      </c>
      <c r="K203" s="932"/>
      <c r="L203" s="1014">
        <f>SUM(L200:L202)</f>
        <v>0</v>
      </c>
      <c r="M203" s="932"/>
    </row>
    <row r="204" spans="1:13" ht="16.2">
      <c r="A204" s="597"/>
      <c r="B204" s="597"/>
      <c r="C204" s="597"/>
      <c r="D204" s="597"/>
      <c r="E204" s="597"/>
      <c r="F204" s="597"/>
      <c r="G204" s="597"/>
      <c r="H204" s="597"/>
      <c r="I204" s="597"/>
      <c r="J204" s="597"/>
      <c r="K204" s="597"/>
      <c r="L204" s="597"/>
      <c r="M204" s="597"/>
    </row>
    <row r="205" spans="1:13" ht="16.2">
      <c r="A205" s="597"/>
      <c r="B205" s="597"/>
      <c r="C205" s="597"/>
      <c r="D205" s="597"/>
      <c r="E205" s="597"/>
      <c r="F205" s="597"/>
      <c r="G205" s="597"/>
      <c r="H205" s="597"/>
      <c r="I205" s="597"/>
      <c r="J205" s="597"/>
      <c r="K205" s="597"/>
      <c r="L205" s="597"/>
      <c r="M205" s="597"/>
    </row>
    <row r="206" spans="1:13" ht="16.2">
      <c r="A206" s="597"/>
      <c r="B206" s="597"/>
      <c r="C206" s="597"/>
      <c r="D206" s="597"/>
      <c r="E206" s="597"/>
      <c r="F206" s="597"/>
      <c r="G206" s="597"/>
      <c r="H206" s="597"/>
      <c r="I206" s="597"/>
      <c r="J206" s="597"/>
      <c r="K206" s="597"/>
      <c r="L206" s="597"/>
      <c r="M206" s="597"/>
    </row>
    <row r="207" spans="1:13" ht="13.2">
      <c r="A207" s="998" t="s">
        <v>4681</v>
      </c>
      <c r="B207" s="931"/>
      <c r="C207" s="931"/>
      <c r="D207" s="931"/>
      <c r="E207" s="931"/>
      <c r="F207" s="931"/>
      <c r="G207" s="931"/>
      <c r="H207" s="931"/>
      <c r="I207" s="931"/>
      <c r="J207" s="931"/>
      <c r="K207" s="931"/>
      <c r="L207" s="931"/>
      <c r="M207" s="932"/>
    </row>
    <row r="208" spans="1:13" ht="50.4">
      <c r="A208" s="253" t="s">
        <v>165</v>
      </c>
      <c r="B208" s="282" t="s">
        <v>166</v>
      </c>
      <c r="C208" s="282" t="s">
        <v>1556</v>
      </c>
      <c r="D208" s="282" t="s">
        <v>168</v>
      </c>
      <c r="E208" s="282" t="s">
        <v>169</v>
      </c>
      <c r="F208" s="282" t="s">
        <v>1557</v>
      </c>
      <c r="G208" s="282" t="s">
        <v>1558</v>
      </c>
      <c r="H208" s="282" t="s">
        <v>1559</v>
      </c>
      <c r="I208" s="282" t="s">
        <v>4639</v>
      </c>
      <c r="J208" s="670" t="s">
        <v>3689</v>
      </c>
      <c r="K208" s="686" t="s">
        <v>1562</v>
      </c>
      <c r="L208" s="671" t="s">
        <v>1563</v>
      </c>
      <c r="M208" s="287" t="s">
        <v>177</v>
      </c>
    </row>
    <row r="209" spans="1:13" ht="16.8">
      <c r="A209" s="254"/>
      <c r="B209" s="254"/>
      <c r="C209" s="291"/>
      <c r="D209" s="291"/>
      <c r="E209" s="291"/>
      <c r="F209" s="706"/>
      <c r="G209" s="706"/>
      <c r="H209" s="706"/>
      <c r="I209" s="888"/>
      <c r="J209" s="889"/>
      <c r="K209" s="889"/>
      <c r="L209" s="890"/>
      <c r="M209" s="890"/>
    </row>
    <row r="210" spans="1:13" ht="16.8">
      <c r="A210" s="254"/>
      <c r="B210" s="308"/>
      <c r="C210" s="700"/>
      <c r="D210" s="700"/>
      <c r="E210" s="700"/>
      <c r="F210" s="712"/>
      <c r="G210" s="712"/>
      <c r="H210" s="712"/>
      <c r="I210" s="891"/>
      <c r="J210" s="892"/>
      <c r="K210" s="892"/>
      <c r="L210" s="893"/>
      <c r="M210" s="893"/>
    </row>
    <row r="211" spans="1:13" ht="16.8">
      <c r="A211" s="254"/>
      <c r="B211" s="308"/>
      <c r="C211" s="700"/>
      <c r="D211" s="700"/>
      <c r="E211" s="700"/>
      <c r="F211" s="712"/>
      <c r="G211" s="712"/>
      <c r="H211" s="712"/>
      <c r="I211" s="891"/>
      <c r="J211" s="892"/>
      <c r="K211" s="892"/>
      <c r="L211" s="893"/>
      <c r="M211" s="893"/>
    </row>
    <row r="212" spans="1:13" ht="19.8">
      <c r="A212" s="894"/>
      <c r="B212" s="895" t="s">
        <v>26</v>
      </c>
      <c r="C212" s="894">
        <f t="array" ref="C212">COUNTA(C209:INDEX(C:C,ROW()-1))</f>
        <v>0</v>
      </c>
      <c r="D212" s="894"/>
      <c r="E212" s="894"/>
      <c r="F212" s="894"/>
      <c r="G212" s="894"/>
      <c r="H212" s="894"/>
      <c r="I212" s="894"/>
      <c r="J212" s="1015">
        <f>SUM(K209:K211)</f>
        <v>0</v>
      </c>
      <c r="K212" s="932"/>
      <c r="L212" s="1014">
        <f>SUM(L209:L211)</f>
        <v>0</v>
      </c>
      <c r="M212" s="932"/>
    </row>
    <row r="213" spans="1:13" ht="16.2">
      <c r="A213" s="597"/>
      <c r="B213" s="597"/>
      <c r="C213" s="597"/>
      <c r="D213" s="597"/>
      <c r="E213" s="597"/>
      <c r="F213" s="597"/>
      <c r="G213" s="597"/>
      <c r="H213" s="597"/>
      <c r="I213" s="597"/>
      <c r="J213" s="597"/>
      <c r="K213" s="597"/>
      <c r="L213" s="597"/>
      <c r="M213" s="597"/>
    </row>
    <row r="214" spans="1:13" ht="16.2">
      <c r="A214" s="597"/>
      <c r="B214" s="597"/>
      <c r="C214" s="597"/>
      <c r="D214" s="597"/>
      <c r="E214" s="597"/>
      <c r="F214" s="597"/>
      <c r="G214" s="597"/>
      <c r="H214" s="597"/>
      <c r="I214" s="597"/>
      <c r="J214" s="597"/>
      <c r="K214" s="597"/>
      <c r="L214" s="597"/>
      <c r="M214" s="597"/>
    </row>
    <row r="215" spans="1:13" ht="16.2">
      <c r="A215" s="597"/>
      <c r="B215" s="597"/>
      <c r="C215" s="597"/>
      <c r="D215" s="597"/>
      <c r="E215" s="597"/>
      <c r="F215" s="597"/>
      <c r="G215" s="597"/>
      <c r="H215" s="597"/>
      <c r="I215" s="597"/>
      <c r="J215" s="597"/>
      <c r="K215" s="597"/>
      <c r="L215" s="597"/>
      <c r="M215" s="597"/>
    </row>
    <row r="216" spans="1:13" ht="16.2">
      <c r="A216" s="597"/>
      <c r="B216" s="597"/>
      <c r="C216" s="597"/>
      <c r="D216" s="597"/>
      <c r="E216" s="597"/>
      <c r="F216" s="597"/>
      <c r="G216" s="597"/>
      <c r="H216" s="597"/>
      <c r="I216" s="597"/>
      <c r="J216" s="597"/>
      <c r="K216" s="597"/>
      <c r="L216" s="597"/>
      <c r="M216" s="597"/>
    </row>
    <row r="217" spans="1:13" ht="13.2">
      <c r="A217" s="998" t="s">
        <v>4682</v>
      </c>
      <c r="B217" s="931"/>
      <c r="C217" s="931"/>
      <c r="D217" s="931"/>
      <c r="E217" s="931"/>
      <c r="F217" s="931"/>
      <c r="G217" s="931"/>
      <c r="H217" s="931"/>
      <c r="I217" s="931"/>
      <c r="J217" s="931"/>
      <c r="K217" s="931"/>
      <c r="L217" s="931"/>
      <c r="M217" s="932"/>
    </row>
    <row r="218" spans="1:13" ht="50.4">
      <c r="A218" s="253" t="s">
        <v>165</v>
      </c>
      <c r="B218" s="282" t="s">
        <v>166</v>
      </c>
      <c r="C218" s="282" t="s">
        <v>1556</v>
      </c>
      <c r="D218" s="282" t="s">
        <v>168</v>
      </c>
      <c r="E218" s="282" t="s">
        <v>169</v>
      </c>
      <c r="F218" s="282" t="s">
        <v>1557</v>
      </c>
      <c r="G218" s="282" t="s">
        <v>1558</v>
      </c>
      <c r="H218" s="282" t="s">
        <v>1559</v>
      </c>
      <c r="I218" s="282" t="s">
        <v>4639</v>
      </c>
      <c r="J218" s="670" t="s">
        <v>3689</v>
      </c>
      <c r="K218" s="686" t="s">
        <v>1562</v>
      </c>
      <c r="L218" s="671" t="s">
        <v>1563</v>
      </c>
      <c r="M218" s="287" t="s">
        <v>177</v>
      </c>
    </row>
    <row r="219" spans="1:13" ht="16.8">
      <c r="A219" s="254"/>
      <c r="B219" s="254"/>
      <c r="C219" s="291"/>
      <c r="D219" s="291"/>
      <c r="E219" s="291"/>
      <c r="F219" s="706"/>
      <c r="G219" s="706"/>
      <c r="H219" s="706"/>
      <c r="I219" s="888"/>
      <c r="J219" s="889"/>
      <c r="K219" s="889"/>
      <c r="L219" s="890"/>
      <c r="M219" s="890"/>
    </row>
    <row r="220" spans="1:13" ht="16.8">
      <c r="A220" s="254"/>
      <c r="B220" s="308"/>
      <c r="C220" s="700"/>
      <c r="D220" s="700"/>
      <c r="E220" s="700"/>
      <c r="F220" s="712"/>
      <c r="G220" s="712"/>
      <c r="H220" s="712"/>
      <c r="I220" s="891"/>
      <c r="J220" s="892"/>
      <c r="K220" s="892"/>
      <c r="L220" s="893"/>
      <c r="M220" s="893"/>
    </row>
    <row r="221" spans="1:13" ht="16.8">
      <c r="A221" s="254"/>
      <c r="B221" s="308"/>
      <c r="C221" s="700"/>
      <c r="D221" s="700"/>
      <c r="E221" s="700"/>
      <c r="F221" s="712"/>
      <c r="G221" s="712"/>
      <c r="H221" s="712"/>
      <c r="I221" s="891"/>
      <c r="J221" s="892"/>
      <c r="K221" s="892"/>
      <c r="L221" s="893"/>
      <c r="M221" s="893"/>
    </row>
    <row r="222" spans="1:13" ht="19.8">
      <c r="A222" s="894"/>
      <c r="B222" s="895" t="s">
        <v>26</v>
      </c>
      <c r="C222" s="894">
        <f t="array" ref="C222">COUNTA(C219:INDEX(C:C,ROW()-1))</f>
        <v>0</v>
      </c>
      <c r="D222" s="894"/>
      <c r="E222" s="894"/>
      <c r="F222" s="894"/>
      <c r="G222" s="894"/>
      <c r="H222" s="894"/>
      <c r="I222" s="894"/>
      <c r="J222" s="1015">
        <f>SUM(K219:K221)</f>
        <v>0</v>
      </c>
      <c r="K222" s="932"/>
      <c r="L222" s="1014">
        <f>SUM(L219:L221)</f>
        <v>0</v>
      </c>
      <c r="M222" s="932"/>
    </row>
    <row r="223" spans="1:13" ht="16.2">
      <c r="A223" s="597"/>
      <c r="B223" s="597"/>
      <c r="C223" s="597"/>
      <c r="D223" s="597"/>
      <c r="E223" s="597"/>
      <c r="F223" s="597"/>
      <c r="G223" s="597"/>
      <c r="H223" s="597"/>
      <c r="I223" s="597"/>
      <c r="J223" s="597"/>
      <c r="K223" s="597"/>
      <c r="L223" s="597"/>
      <c r="M223" s="597"/>
    </row>
    <row r="224" spans="1:13" ht="16.2">
      <c r="A224" s="597"/>
      <c r="B224" s="597"/>
      <c r="C224" s="597"/>
      <c r="D224" s="597"/>
      <c r="E224" s="597"/>
      <c r="F224" s="597"/>
      <c r="G224" s="597"/>
      <c r="H224" s="597"/>
      <c r="I224" s="597"/>
      <c r="J224" s="597"/>
      <c r="K224" s="597"/>
      <c r="L224" s="597"/>
      <c r="M224" s="597"/>
    </row>
    <row r="225" spans="1:13" ht="16.2">
      <c r="A225" s="597"/>
      <c r="B225" s="597"/>
      <c r="C225" s="597"/>
      <c r="D225" s="597"/>
      <c r="E225" s="597"/>
      <c r="F225" s="597"/>
      <c r="G225" s="597"/>
      <c r="H225" s="597"/>
      <c r="I225" s="597"/>
      <c r="J225" s="597"/>
      <c r="K225" s="597"/>
      <c r="L225" s="597"/>
      <c r="M225" s="597"/>
    </row>
    <row r="226" spans="1:13" ht="13.2">
      <c r="A226" s="998" t="s">
        <v>4683</v>
      </c>
      <c r="B226" s="931"/>
      <c r="C226" s="931"/>
      <c r="D226" s="931"/>
      <c r="E226" s="931"/>
      <c r="F226" s="931"/>
      <c r="G226" s="931"/>
      <c r="H226" s="931"/>
      <c r="I226" s="931"/>
      <c r="J226" s="931"/>
      <c r="K226" s="931"/>
      <c r="L226" s="931"/>
      <c r="M226" s="932"/>
    </row>
    <row r="227" spans="1:13" ht="50.4">
      <c r="A227" s="253" t="s">
        <v>165</v>
      </c>
      <c r="B227" s="282" t="s">
        <v>166</v>
      </c>
      <c r="C227" s="282" t="s">
        <v>1556</v>
      </c>
      <c r="D227" s="282" t="s">
        <v>168</v>
      </c>
      <c r="E227" s="282" t="s">
        <v>169</v>
      </c>
      <c r="F227" s="282" t="s">
        <v>1557</v>
      </c>
      <c r="G227" s="282" t="s">
        <v>1558</v>
      </c>
      <c r="H227" s="282" t="s">
        <v>1559</v>
      </c>
      <c r="I227" s="282" t="s">
        <v>4639</v>
      </c>
      <c r="J227" s="670" t="s">
        <v>3689</v>
      </c>
      <c r="K227" s="686" t="s">
        <v>1562</v>
      </c>
      <c r="L227" s="671" t="s">
        <v>1563</v>
      </c>
      <c r="M227" s="287" t="s">
        <v>177</v>
      </c>
    </row>
    <row r="228" spans="1:13" ht="16.8">
      <c r="A228" s="254"/>
      <c r="B228" s="254"/>
      <c r="C228" s="291"/>
      <c r="D228" s="291"/>
      <c r="E228" s="291"/>
      <c r="F228" s="706"/>
      <c r="G228" s="706"/>
      <c r="H228" s="706"/>
      <c r="I228" s="888"/>
      <c r="J228" s="889"/>
      <c r="K228" s="889"/>
      <c r="L228" s="890"/>
      <c r="M228" s="890"/>
    </row>
    <row r="229" spans="1:13" ht="16.8">
      <c r="A229" s="254"/>
      <c r="B229" s="308"/>
      <c r="C229" s="700"/>
      <c r="D229" s="700"/>
      <c r="E229" s="700"/>
      <c r="F229" s="712"/>
      <c r="G229" s="712"/>
      <c r="H229" s="712"/>
      <c r="I229" s="891"/>
      <c r="J229" s="892"/>
      <c r="K229" s="892"/>
      <c r="L229" s="893"/>
      <c r="M229" s="893"/>
    </row>
    <row r="230" spans="1:13" ht="16.8">
      <c r="A230" s="254"/>
      <c r="B230" s="308"/>
      <c r="C230" s="700"/>
      <c r="D230" s="700"/>
      <c r="E230" s="700"/>
      <c r="F230" s="712"/>
      <c r="G230" s="712"/>
      <c r="H230" s="712"/>
      <c r="I230" s="891"/>
      <c r="J230" s="892"/>
      <c r="K230" s="892"/>
      <c r="L230" s="893"/>
      <c r="M230" s="893"/>
    </row>
    <row r="231" spans="1:13" ht="19.8">
      <c r="A231" s="894"/>
      <c r="B231" s="895" t="s">
        <v>26</v>
      </c>
      <c r="C231" s="894">
        <f t="array" ref="C231">COUNTA(C228:INDEX(C:C,ROW()-1))</f>
        <v>0</v>
      </c>
      <c r="D231" s="894"/>
      <c r="E231" s="894"/>
      <c r="F231" s="894"/>
      <c r="G231" s="894"/>
      <c r="H231" s="894"/>
      <c r="I231" s="894"/>
      <c r="J231" s="1015">
        <f>SUM(K228:K230)</f>
        <v>0</v>
      </c>
      <c r="K231" s="932"/>
      <c r="L231" s="1014">
        <f>SUM(L228:L230)</f>
        <v>0</v>
      </c>
      <c r="M231" s="932"/>
    </row>
    <row r="232" spans="1:13" ht="16.2">
      <c r="A232" s="597"/>
      <c r="B232" s="597"/>
      <c r="C232" s="597"/>
      <c r="D232" s="597"/>
      <c r="E232" s="597"/>
      <c r="F232" s="597"/>
      <c r="G232" s="597"/>
      <c r="H232" s="597"/>
      <c r="I232" s="597"/>
      <c r="J232" s="597"/>
      <c r="K232" s="597"/>
      <c r="L232" s="597"/>
      <c r="M232" s="597"/>
    </row>
    <row r="233" spans="1:13" ht="16.2">
      <c r="A233" s="597"/>
      <c r="B233" s="597"/>
      <c r="C233" s="597"/>
      <c r="D233" s="597"/>
      <c r="E233" s="597"/>
      <c r="F233" s="597"/>
      <c r="G233" s="597"/>
      <c r="H233" s="597"/>
      <c r="I233" s="597"/>
      <c r="J233" s="597"/>
      <c r="K233" s="597"/>
      <c r="L233" s="597"/>
      <c r="M233" s="597"/>
    </row>
    <row r="234" spans="1:13" ht="16.2">
      <c r="A234" s="597"/>
      <c r="B234" s="597"/>
      <c r="C234" s="597"/>
      <c r="D234" s="597"/>
      <c r="E234" s="597"/>
      <c r="F234" s="597"/>
      <c r="G234" s="597"/>
      <c r="H234" s="597"/>
      <c r="I234" s="597"/>
      <c r="J234" s="597"/>
      <c r="K234" s="597"/>
      <c r="L234" s="597"/>
      <c r="M234" s="597"/>
    </row>
    <row r="235" spans="1:13" ht="13.2">
      <c r="A235" s="998" t="s">
        <v>4684</v>
      </c>
      <c r="B235" s="931"/>
      <c r="C235" s="931"/>
      <c r="D235" s="931"/>
      <c r="E235" s="931"/>
      <c r="F235" s="931"/>
      <c r="G235" s="931"/>
      <c r="H235" s="931"/>
      <c r="I235" s="931"/>
      <c r="J235" s="931"/>
      <c r="K235" s="931"/>
      <c r="L235" s="931"/>
      <c r="M235" s="932"/>
    </row>
    <row r="236" spans="1:13" ht="50.4">
      <c r="A236" s="253" t="s">
        <v>165</v>
      </c>
      <c r="B236" s="282" t="s">
        <v>166</v>
      </c>
      <c r="C236" s="282" t="s">
        <v>1556</v>
      </c>
      <c r="D236" s="282" t="s">
        <v>168</v>
      </c>
      <c r="E236" s="282" t="s">
        <v>169</v>
      </c>
      <c r="F236" s="282" t="s">
        <v>1557</v>
      </c>
      <c r="G236" s="282" t="s">
        <v>1558</v>
      </c>
      <c r="H236" s="282" t="s">
        <v>1559</v>
      </c>
      <c r="I236" s="282" t="s">
        <v>4639</v>
      </c>
      <c r="J236" s="670" t="s">
        <v>3689</v>
      </c>
      <c r="K236" s="686" t="s">
        <v>1562</v>
      </c>
      <c r="L236" s="671" t="s">
        <v>1563</v>
      </c>
      <c r="M236" s="287" t="s">
        <v>177</v>
      </c>
    </row>
    <row r="237" spans="1:13" ht="16.8">
      <c r="A237" s="254"/>
      <c r="B237" s="254"/>
      <c r="C237" s="291"/>
      <c r="D237" s="291"/>
      <c r="E237" s="291"/>
      <c r="F237" s="706"/>
      <c r="G237" s="706"/>
      <c r="H237" s="706"/>
      <c r="I237" s="888"/>
      <c r="J237" s="889"/>
      <c r="K237" s="889"/>
      <c r="L237" s="890"/>
      <c r="M237" s="890"/>
    </row>
    <row r="238" spans="1:13" ht="16.8">
      <c r="A238" s="254"/>
      <c r="B238" s="308"/>
      <c r="C238" s="700"/>
      <c r="D238" s="700"/>
      <c r="E238" s="700"/>
      <c r="F238" s="712"/>
      <c r="G238" s="712"/>
      <c r="H238" s="712"/>
      <c r="I238" s="891"/>
      <c r="J238" s="892"/>
      <c r="K238" s="892"/>
      <c r="L238" s="893"/>
      <c r="M238" s="893"/>
    </row>
    <row r="239" spans="1:13" ht="16.8">
      <c r="A239" s="254"/>
      <c r="B239" s="308"/>
      <c r="C239" s="700"/>
      <c r="D239" s="700"/>
      <c r="E239" s="700"/>
      <c r="F239" s="712"/>
      <c r="G239" s="712"/>
      <c r="H239" s="712"/>
      <c r="I239" s="891"/>
      <c r="J239" s="892"/>
      <c r="K239" s="892"/>
      <c r="L239" s="893"/>
      <c r="M239" s="893"/>
    </row>
    <row r="240" spans="1:13" ht="19.8">
      <c r="A240" s="894"/>
      <c r="B240" s="895" t="s">
        <v>26</v>
      </c>
      <c r="C240" s="894">
        <f t="array" ref="C240">COUNTA(C237:INDEX(C:C,ROW()-1))</f>
        <v>0</v>
      </c>
      <c r="D240" s="894"/>
      <c r="E240" s="894"/>
      <c r="F240" s="894"/>
      <c r="G240" s="894"/>
      <c r="H240" s="894"/>
      <c r="I240" s="894"/>
      <c r="J240" s="1015">
        <f>SUM(K237:K239)</f>
        <v>0</v>
      </c>
      <c r="K240" s="932"/>
      <c r="L240" s="1014">
        <f>SUM(L237:L239)</f>
        <v>0</v>
      </c>
      <c r="M240" s="932"/>
    </row>
    <row r="241" spans="1:13" ht="16.2">
      <c r="A241" s="597"/>
      <c r="B241" s="597"/>
      <c r="C241" s="597"/>
      <c r="D241" s="597"/>
      <c r="E241" s="597"/>
      <c r="F241" s="597"/>
      <c r="G241" s="597"/>
      <c r="H241" s="597"/>
      <c r="I241" s="597"/>
      <c r="J241" s="597"/>
      <c r="K241" s="597"/>
      <c r="L241" s="597"/>
      <c r="M241" s="597"/>
    </row>
    <row r="242" spans="1:13" ht="16.2">
      <c r="A242" s="597"/>
      <c r="B242" s="597"/>
      <c r="C242" s="597"/>
      <c r="D242" s="597"/>
      <c r="E242" s="597"/>
      <c r="F242" s="597"/>
      <c r="G242" s="597"/>
      <c r="H242" s="597"/>
      <c r="I242" s="597"/>
      <c r="J242" s="597"/>
      <c r="K242" s="597"/>
      <c r="L242" s="597"/>
      <c r="M242" s="597"/>
    </row>
    <row r="243" spans="1:13" ht="13.2">
      <c r="A243" s="998" t="s">
        <v>4685</v>
      </c>
      <c r="B243" s="931"/>
      <c r="C243" s="931"/>
      <c r="D243" s="931"/>
      <c r="E243" s="931"/>
      <c r="F243" s="931"/>
      <c r="G243" s="931"/>
      <c r="H243" s="931"/>
      <c r="I243" s="931"/>
      <c r="J243" s="931"/>
      <c r="K243" s="931"/>
      <c r="L243" s="931"/>
      <c r="M243" s="932"/>
    </row>
    <row r="244" spans="1:13" ht="50.4">
      <c r="A244" s="253" t="s">
        <v>165</v>
      </c>
      <c r="B244" s="282" t="s">
        <v>166</v>
      </c>
      <c r="C244" s="910" t="s">
        <v>1556</v>
      </c>
      <c r="D244" s="282" t="s">
        <v>168</v>
      </c>
      <c r="E244" s="282" t="s">
        <v>169</v>
      </c>
      <c r="F244" s="282" t="s">
        <v>1557</v>
      </c>
      <c r="G244" s="282" t="s">
        <v>1558</v>
      </c>
      <c r="H244" s="282" t="s">
        <v>1559</v>
      </c>
      <c r="I244" s="282" t="s">
        <v>4639</v>
      </c>
      <c r="J244" s="670" t="s">
        <v>3689</v>
      </c>
      <c r="K244" s="686" t="s">
        <v>1562</v>
      </c>
      <c r="L244" s="671" t="s">
        <v>1563</v>
      </c>
      <c r="M244" s="287" t="s">
        <v>177</v>
      </c>
    </row>
    <row r="245" spans="1:13" ht="33.6">
      <c r="A245" s="254">
        <v>5</v>
      </c>
      <c r="B245" s="290" t="s">
        <v>4686</v>
      </c>
      <c r="C245" s="610" t="s">
        <v>4687</v>
      </c>
      <c r="D245" s="291" t="s">
        <v>4688</v>
      </c>
      <c r="E245" s="610" t="s">
        <v>3787</v>
      </c>
      <c r="F245" s="706">
        <v>2200</v>
      </c>
      <c r="G245" s="294">
        <v>9900</v>
      </c>
      <c r="H245" s="706">
        <v>4455</v>
      </c>
      <c r="I245" s="888">
        <v>0.2</v>
      </c>
      <c r="J245" s="908">
        <v>3564</v>
      </c>
      <c r="K245" s="908">
        <v>1980</v>
      </c>
      <c r="L245" s="680">
        <v>1584</v>
      </c>
      <c r="M245" s="890" t="s">
        <v>1565</v>
      </c>
    </row>
    <row r="246" spans="1:13" ht="33.6">
      <c r="A246" s="254">
        <v>6</v>
      </c>
      <c r="B246" s="305" t="s">
        <v>4689</v>
      </c>
      <c r="C246" s="911" t="s">
        <v>4690</v>
      </c>
      <c r="D246" s="700" t="s">
        <v>4691</v>
      </c>
      <c r="E246" s="911" t="s">
        <v>4219</v>
      </c>
      <c r="F246" s="712">
        <v>2200</v>
      </c>
      <c r="G246" s="306">
        <v>10340</v>
      </c>
      <c r="H246" s="712">
        <v>4653</v>
      </c>
      <c r="I246" s="891">
        <v>0.2</v>
      </c>
      <c r="J246" s="912">
        <v>3722.4</v>
      </c>
      <c r="K246" s="912">
        <v>2068</v>
      </c>
      <c r="L246" s="327">
        <v>1654.4</v>
      </c>
      <c r="M246" s="893" t="s">
        <v>1565</v>
      </c>
    </row>
    <row r="247" spans="1:13" ht="33.6">
      <c r="A247" s="254">
        <v>7</v>
      </c>
      <c r="B247" s="305" t="s">
        <v>4692</v>
      </c>
      <c r="C247" s="911" t="s">
        <v>4693</v>
      </c>
      <c r="D247" s="700" t="s">
        <v>4694</v>
      </c>
      <c r="E247" s="911" t="s">
        <v>4214</v>
      </c>
      <c r="F247" s="712">
        <v>2200</v>
      </c>
      <c r="G247" s="306">
        <v>10120</v>
      </c>
      <c r="H247" s="712">
        <v>4554</v>
      </c>
      <c r="I247" s="891">
        <v>0.2</v>
      </c>
      <c r="J247" s="912">
        <v>3643.2000000000003</v>
      </c>
      <c r="K247" s="912">
        <v>2023.9999999999998</v>
      </c>
      <c r="L247" s="327">
        <v>1619.2000000000005</v>
      </c>
      <c r="M247" s="893"/>
    </row>
    <row r="248" spans="1:13" ht="19.8">
      <c r="A248" s="894"/>
      <c r="B248" s="895" t="s">
        <v>26</v>
      </c>
      <c r="C248" s="903">
        <f t="array" ref="C248">COUNTA(C245:INDEX(C:C,ROW()-1))</f>
        <v>3</v>
      </c>
      <c r="D248" s="894"/>
      <c r="E248" s="894"/>
      <c r="F248" s="894"/>
      <c r="G248" s="894"/>
      <c r="H248" s="894"/>
      <c r="I248" s="894"/>
      <c r="J248" s="1015">
        <f>SUM(K245:K247)</f>
        <v>6072</v>
      </c>
      <c r="K248" s="932"/>
      <c r="L248" s="1014">
        <f>SUM(L245:L247)</f>
        <v>4857.6000000000004</v>
      </c>
      <c r="M248" s="932"/>
    </row>
    <row r="249" spans="1:13" ht="16.2">
      <c r="A249" s="597"/>
      <c r="B249" s="597"/>
      <c r="C249" s="597"/>
      <c r="D249" s="597"/>
      <c r="E249" s="597"/>
      <c r="F249" s="597"/>
      <c r="G249" s="597"/>
      <c r="H249" s="597"/>
      <c r="I249" s="597"/>
      <c r="J249" s="597"/>
      <c r="K249" s="597"/>
      <c r="L249" s="597"/>
      <c r="M249" s="597"/>
    </row>
    <row r="250" spans="1:13" ht="16.2">
      <c r="A250" s="597"/>
      <c r="B250" s="597"/>
      <c r="C250" s="597"/>
      <c r="D250" s="597"/>
      <c r="E250" s="597"/>
      <c r="F250" s="597"/>
      <c r="G250" s="597"/>
      <c r="H250" s="597"/>
      <c r="I250" s="597"/>
      <c r="J250" s="597"/>
      <c r="K250" s="597"/>
      <c r="L250" s="597"/>
      <c r="M250" s="597"/>
    </row>
    <row r="251" spans="1:13" ht="16.2">
      <c r="A251" s="597"/>
      <c r="B251" s="597"/>
      <c r="C251" s="597"/>
      <c r="D251" s="597"/>
      <c r="E251" s="597"/>
      <c r="F251" s="597"/>
      <c r="G251" s="597"/>
      <c r="H251" s="597"/>
      <c r="I251" s="597"/>
      <c r="J251" s="597"/>
      <c r="K251" s="597"/>
      <c r="L251" s="597"/>
      <c r="M251" s="597"/>
    </row>
    <row r="252" spans="1:13" ht="13.2">
      <c r="A252" s="998" t="s">
        <v>4684</v>
      </c>
      <c r="B252" s="931"/>
      <c r="C252" s="931"/>
      <c r="D252" s="931"/>
      <c r="E252" s="931"/>
      <c r="F252" s="931"/>
      <c r="G252" s="931"/>
      <c r="H252" s="931"/>
      <c r="I252" s="931"/>
      <c r="J252" s="931"/>
      <c r="K252" s="931"/>
      <c r="L252" s="931"/>
      <c r="M252" s="932"/>
    </row>
    <row r="253" spans="1:13" ht="50.4">
      <c r="A253" s="253" t="s">
        <v>165</v>
      </c>
      <c r="B253" s="282" t="s">
        <v>166</v>
      </c>
      <c r="C253" s="282" t="s">
        <v>1556</v>
      </c>
      <c r="D253" s="282" t="s">
        <v>168</v>
      </c>
      <c r="E253" s="282" t="s">
        <v>169</v>
      </c>
      <c r="F253" s="282" t="s">
        <v>1557</v>
      </c>
      <c r="G253" s="282" t="s">
        <v>1558</v>
      </c>
      <c r="H253" s="282" t="s">
        <v>1559</v>
      </c>
      <c r="I253" s="282" t="s">
        <v>4639</v>
      </c>
      <c r="J253" s="670" t="s">
        <v>3689</v>
      </c>
      <c r="K253" s="686" t="s">
        <v>1562</v>
      </c>
      <c r="L253" s="671" t="s">
        <v>1563</v>
      </c>
      <c r="M253" s="287" t="s">
        <v>177</v>
      </c>
    </row>
    <row r="254" spans="1:13" ht="16.8">
      <c r="A254" s="254"/>
      <c r="B254" s="254"/>
      <c r="C254" s="291"/>
      <c r="D254" s="291"/>
      <c r="E254" s="291"/>
      <c r="F254" s="706"/>
      <c r="G254" s="706"/>
      <c r="H254" s="706"/>
      <c r="I254" s="888"/>
      <c r="J254" s="889"/>
      <c r="K254" s="889"/>
      <c r="L254" s="890"/>
      <c r="M254" s="890"/>
    </row>
    <row r="255" spans="1:13" ht="16.8">
      <c r="A255" s="254"/>
      <c r="B255" s="308"/>
      <c r="C255" s="700"/>
      <c r="D255" s="700"/>
      <c r="E255" s="700"/>
      <c r="F255" s="712"/>
      <c r="G255" s="712"/>
      <c r="H255" s="712"/>
      <c r="I255" s="891"/>
      <c r="J255" s="892"/>
      <c r="K255" s="892"/>
      <c r="L255" s="893"/>
      <c r="M255" s="893"/>
    </row>
    <row r="256" spans="1:13" ht="16.8">
      <c r="A256" s="254"/>
      <c r="B256" s="308"/>
      <c r="C256" s="700"/>
      <c r="D256" s="700"/>
      <c r="E256" s="700"/>
      <c r="F256" s="712"/>
      <c r="G256" s="712"/>
      <c r="H256" s="712"/>
      <c r="I256" s="891"/>
      <c r="J256" s="892"/>
      <c r="K256" s="892"/>
      <c r="L256" s="893"/>
      <c r="M256" s="893"/>
    </row>
    <row r="257" spans="1:13" ht="19.8">
      <c r="A257" s="894"/>
      <c r="B257" s="895" t="s">
        <v>26</v>
      </c>
      <c r="C257" s="894">
        <f t="array" ref="C257">COUNTA(C254:INDEX(C:C,ROW()-1))</f>
        <v>0</v>
      </c>
      <c r="D257" s="894"/>
      <c r="E257" s="894"/>
      <c r="F257" s="894"/>
      <c r="G257" s="894"/>
      <c r="H257" s="894"/>
      <c r="I257" s="894"/>
      <c r="J257" s="1015">
        <f>SUM(K254:K256)</f>
        <v>0</v>
      </c>
      <c r="K257" s="932"/>
      <c r="L257" s="1014">
        <f>SUM(L254:L256)</f>
        <v>0</v>
      </c>
      <c r="M257" s="932"/>
    </row>
    <row r="258" spans="1:13" ht="16.2">
      <c r="A258" s="597"/>
      <c r="B258" s="597"/>
      <c r="C258" s="597"/>
      <c r="D258" s="597"/>
      <c r="E258" s="597"/>
      <c r="F258" s="597"/>
      <c r="G258" s="597"/>
      <c r="H258" s="597"/>
      <c r="I258" s="597"/>
      <c r="J258" s="597"/>
      <c r="K258" s="597"/>
      <c r="L258" s="597"/>
      <c r="M258" s="597"/>
    </row>
  </sheetData>
  <mergeCells count="102">
    <mergeCell ref="J148:K148"/>
    <mergeCell ref="L148:M148"/>
    <mergeCell ref="A152:M152"/>
    <mergeCell ref="J157:K157"/>
    <mergeCell ref="L157:M157"/>
    <mergeCell ref="A162:M162"/>
    <mergeCell ref="J167:K167"/>
    <mergeCell ref="A198:M198"/>
    <mergeCell ref="A207:M207"/>
    <mergeCell ref="L167:M167"/>
    <mergeCell ref="A171:M171"/>
    <mergeCell ref="J176:K176"/>
    <mergeCell ref="L176:M176"/>
    <mergeCell ref="A180:M180"/>
    <mergeCell ref="L185:M185"/>
    <mergeCell ref="A189:M189"/>
    <mergeCell ref="A143:M143"/>
    <mergeCell ref="L95:M95"/>
    <mergeCell ref="A98:M98"/>
    <mergeCell ref="J103:K103"/>
    <mergeCell ref="L103:M103"/>
    <mergeCell ref="A106:M106"/>
    <mergeCell ref="L111:M111"/>
    <mergeCell ref="A115:M115"/>
    <mergeCell ref="J111:K111"/>
    <mergeCell ref="J120:K120"/>
    <mergeCell ref="L120:M120"/>
    <mergeCell ref="J129:K129"/>
    <mergeCell ref="L129:M129"/>
    <mergeCell ref="J139:K139"/>
    <mergeCell ref="L139:M139"/>
    <mergeCell ref="J77:K77"/>
    <mergeCell ref="L77:M77"/>
    <mergeCell ref="A81:M81"/>
    <mergeCell ref="J86:K86"/>
    <mergeCell ref="L86:M86"/>
    <mergeCell ref="A90:M90"/>
    <mergeCell ref="J95:K95"/>
    <mergeCell ref="A124:M124"/>
    <mergeCell ref="A134:M134"/>
    <mergeCell ref="J185:K185"/>
    <mergeCell ref="J194:K194"/>
    <mergeCell ref="L194:M194"/>
    <mergeCell ref="J203:K203"/>
    <mergeCell ref="L203:M203"/>
    <mergeCell ref="J212:K212"/>
    <mergeCell ref="L212:M212"/>
    <mergeCell ref="J248:K248"/>
    <mergeCell ref="J257:K257"/>
    <mergeCell ref="L257:M257"/>
    <mergeCell ref="J222:K222"/>
    <mergeCell ref="L222:M222"/>
    <mergeCell ref="J231:K231"/>
    <mergeCell ref="L231:M231"/>
    <mergeCell ref="J240:K240"/>
    <mergeCell ref="L240:M240"/>
    <mergeCell ref="L248:M248"/>
    <mergeCell ref="A217:M217"/>
    <mergeCell ref="A226:M226"/>
    <mergeCell ref="A235:M235"/>
    <mergeCell ref="A243:M243"/>
    <mergeCell ref="A252:M252"/>
    <mergeCell ref="L16:M16"/>
    <mergeCell ref="L23:M23"/>
    <mergeCell ref="J32:K32"/>
    <mergeCell ref="L32:M32"/>
    <mergeCell ref="L41:M41"/>
    <mergeCell ref="A63:M63"/>
    <mergeCell ref="A72:M72"/>
    <mergeCell ref="A7:C7"/>
    <mergeCell ref="A11:M11"/>
    <mergeCell ref="A19:M19"/>
    <mergeCell ref="A27:M27"/>
    <mergeCell ref="A36:M36"/>
    <mergeCell ref="A45:M45"/>
    <mergeCell ref="A54:M54"/>
    <mergeCell ref="J41:K41"/>
    <mergeCell ref="J50:K50"/>
    <mergeCell ref="L50:M50"/>
    <mergeCell ref="J59:K59"/>
    <mergeCell ref="L59:M59"/>
    <mergeCell ref="J68:K68"/>
    <mergeCell ref="L68:M68"/>
    <mergeCell ref="F3:G3"/>
    <mergeCell ref="F4:G4"/>
    <mergeCell ref="F8:G8"/>
    <mergeCell ref="A1:D1"/>
    <mergeCell ref="F1:H1"/>
    <mergeCell ref="A2:C2"/>
    <mergeCell ref="F2:G2"/>
    <mergeCell ref="I2:M3"/>
    <mergeCell ref="A3:C3"/>
    <mergeCell ref="A4:C4"/>
    <mergeCell ref="A5:C5"/>
    <mergeCell ref="F5:G5"/>
    <mergeCell ref="I5:J5"/>
    <mergeCell ref="K5:L5"/>
    <mergeCell ref="A6:C6"/>
    <mergeCell ref="F6:G6"/>
    <mergeCell ref="F7:G7"/>
    <mergeCell ref="I4:J4"/>
    <mergeCell ref="K4:L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9900"/>
    <outlinePr summaryBelow="0" summaryRight="0"/>
  </sheetPr>
  <dimension ref="A4:F34"/>
  <sheetViews>
    <sheetView workbookViewId="0"/>
  </sheetViews>
  <sheetFormatPr defaultColWidth="12.6640625" defaultRowHeight="15.75" customHeight="1"/>
  <cols>
    <col min="1" max="1" width="40.109375" customWidth="1"/>
    <col min="3" max="3" width="17.33203125" customWidth="1"/>
    <col min="4" max="4" width="14.77734375" customWidth="1"/>
    <col min="5" max="5" width="17.109375" customWidth="1"/>
    <col min="6" max="6" width="17" customWidth="1"/>
  </cols>
  <sheetData>
    <row r="4" spans="1:6" ht="13.2">
      <c r="A4" s="1016" t="s">
        <v>64</v>
      </c>
      <c r="B4" s="1017"/>
      <c r="C4" s="1017"/>
      <c r="D4" s="1017"/>
      <c r="E4" s="1017"/>
      <c r="F4" s="1018"/>
    </row>
    <row r="5" spans="1:6" ht="39.75" customHeight="1">
      <c r="A5" s="913" t="s">
        <v>2</v>
      </c>
      <c r="B5" s="914" t="s">
        <v>26</v>
      </c>
      <c r="C5" s="914" t="s">
        <v>160</v>
      </c>
      <c r="D5" s="915" t="s">
        <v>27</v>
      </c>
      <c r="E5" s="916" t="s">
        <v>2955</v>
      </c>
      <c r="F5" s="625" t="s">
        <v>318</v>
      </c>
    </row>
    <row r="6" spans="1:6" ht="15.6">
      <c r="A6" s="917" t="s">
        <v>32</v>
      </c>
      <c r="B6" s="918">
        <v>10</v>
      </c>
      <c r="C6" s="919">
        <f>'EMBROIDERY - SOLD'!C16</f>
        <v>0</v>
      </c>
      <c r="D6" s="919">
        <v>0</v>
      </c>
      <c r="E6" s="918">
        <f t="shared" ref="E6:E33" si="0">B6-C6-D6</f>
        <v>10</v>
      </c>
      <c r="F6" s="920">
        <v>15672.5</v>
      </c>
    </row>
    <row r="7" spans="1:6" ht="15.6">
      <c r="A7" s="917" t="s">
        <v>65</v>
      </c>
      <c r="B7" s="918">
        <v>5</v>
      </c>
      <c r="C7" s="921">
        <f>'EMBROIDERY - SOLD'!C23</f>
        <v>2</v>
      </c>
      <c r="D7" s="919">
        <v>0</v>
      </c>
      <c r="E7" s="922">
        <f t="shared" si="0"/>
        <v>3</v>
      </c>
      <c r="F7" s="920">
        <v>28975</v>
      </c>
    </row>
    <row r="8" spans="1:6" ht="15.6">
      <c r="A8" s="917" t="s">
        <v>66</v>
      </c>
      <c r="B8" s="918">
        <v>5</v>
      </c>
      <c r="C8" s="919">
        <f>'EMBROIDERY - SOLD'!C32</f>
        <v>0</v>
      </c>
      <c r="D8" s="919">
        <v>0</v>
      </c>
      <c r="E8" s="918">
        <f t="shared" si="0"/>
        <v>5</v>
      </c>
      <c r="F8" s="920">
        <v>18920</v>
      </c>
    </row>
    <row r="9" spans="1:6" ht="15.6">
      <c r="A9" s="917" t="s">
        <v>67</v>
      </c>
      <c r="B9" s="918">
        <v>13</v>
      </c>
      <c r="C9" s="919">
        <f>'EMBROIDERY - SOLD'!C41</f>
        <v>1</v>
      </c>
      <c r="D9" s="919">
        <v>0</v>
      </c>
      <c r="E9" s="918">
        <f t="shared" si="0"/>
        <v>12</v>
      </c>
      <c r="F9" s="920">
        <v>112605</v>
      </c>
    </row>
    <row r="10" spans="1:6" ht="15.6">
      <c r="A10" s="917" t="s">
        <v>68</v>
      </c>
      <c r="B10" s="918">
        <v>11</v>
      </c>
      <c r="C10" s="919">
        <f>'EMBROIDERY - SOLD'!C50</f>
        <v>3</v>
      </c>
      <c r="D10" s="919">
        <v>0</v>
      </c>
      <c r="E10" s="918">
        <f t="shared" si="0"/>
        <v>8</v>
      </c>
      <c r="F10" s="920">
        <v>21279.5</v>
      </c>
    </row>
    <row r="11" spans="1:6" ht="15.6">
      <c r="A11" s="917" t="s">
        <v>69</v>
      </c>
      <c r="B11" s="918">
        <v>6</v>
      </c>
      <c r="C11" s="919">
        <f>'EMBROIDERY - SOLD'!C59</f>
        <v>0</v>
      </c>
      <c r="D11" s="919">
        <v>0</v>
      </c>
      <c r="E11" s="918">
        <f t="shared" si="0"/>
        <v>6</v>
      </c>
      <c r="F11" s="920">
        <v>5700</v>
      </c>
    </row>
    <row r="12" spans="1:6" ht="31.2">
      <c r="A12" s="917" t="s">
        <v>70</v>
      </c>
      <c r="B12" s="918">
        <v>4</v>
      </c>
      <c r="C12" s="919">
        <f>'EMBROIDERY - SOLD'!C68</f>
        <v>0</v>
      </c>
      <c r="D12" s="919">
        <v>0</v>
      </c>
      <c r="E12" s="918">
        <f t="shared" si="0"/>
        <v>4</v>
      </c>
      <c r="F12" s="920">
        <v>10080</v>
      </c>
    </row>
    <row r="13" spans="1:6" ht="15.6">
      <c r="A13" s="917" t="s">
        <v>71</v>
      </c>
      <c r="B13" s="918">
        <v>15</v>
      </c>
      <c r="C13" s="919">
        <f>'EMBROIDERY - SOLD'!C77</f>
        <v>0</v>
      </c>
      <c r="D13" s="919">
        <v>0</v>
      </c>
      <c r="E13" s="918">
        <f t="shared" si="0"/>
        <v>15</v>
      </c>
      <c r="F13" s="920">
        <v>26207</v>
      </c>
    </row>
    <row r="14" spans="1:6" ht="15.6">
      <c r="A14" s="917" t="s">
        <v>72</v>
      </c>
      <c r="B14" s="918">
        <v>16</v>
      </c>
      <c r="C14" s="919">
        <v>0</v>
      </c>
      <c r="D14" s="919">
        <v>0</v>
      </c>
      <c r="E14" s="918">
        <f t="shared" si="0"/>
        <v>16</v>
      </c>
      <c r="F14" s="920">
        <v>15503.5</v>
      </c>
    </row>
    <row r="15" spans="1:6" ht="15.6">
      <c r="A15" s="917" t="s">
        <v>73</v>
      </c>
      <c r="B15" s="918">
        <v>12</v>
      </c>
      <c r="C15" s="919">
        <v>0</v>
      </c>
      <c r="D15" s="919">
        <v>0</v>
      </c>
      <c r="E15" s="918">
        <f t="shared" si="0"/>
        <v>12</v>
      </c>
      <c r="F15" s="920">
        <v>73370</v>
      </c>
    </row>
    <row r="16" spans="1:6" ht="15.6">
      <c r="A16" s="917" t="s">
        <v>74</v>
      </c>
      <c r="B16" s="918">
        <v>44</v>
      </c>
      <c r="C16" s="919">
        <v>0</v>
      </c>
      <c r="D16" s="919">
        <v>0</v>
      </c>
      <c r="E16" s="918">
        <f t="shared" si="0"/>
        <v>44</v>
      </c>
      <c r="F16" s="923">
        <v>98559</v>
      </c>
    </row>
    <row r="17" spans="1:6" ht="15.6">
      <c r="A17" s="917" t="s">
        <v>75</v>
      </c>
      <c r="B17" s="918">
        <v>9</v>
      </c>
      <c r="C17" s="919">
        <v>0</v>
      </c>
      <c r="D17" s="919">
        <v>0</v>
      </c>
      <c r="E17" s="918">
        <f t="shared" si="0"/>
        <v>9</v>
      </c>
      <c r="F17" s="923">
        <v>44475</v>
      </c>
    </row>
    <row r="18" spans="1:6" ht="15.6">
      <c r="A18" s="917" t="s">
        <v>76</v>
      </c>
      <c r="B18" s="918">
        <v>14</v>
      </c>
      <c r="C18" s="919">
        <v>0</v>
      </c>
      <c r="D18" s="919">
        <v>0</v>
      </c>
      <c r="E18" s="918">
        <f t="shared" si="0"/>
        <v>14</v>
      </c>
      <c r="F18" s="920">
        <v>25584</v>
      </c>
    </row>
    <row r="19" spans="1:6" ht="15.6">
      <c r="A19" s="917" t="s">
        <v>77</v>
      </c>
      <c r="B19" s="918">
        <v>23</v>
      </c>
      <c r="C19" s="919">
        <v>0</v>
      </c>
      <c r="D19" s="919">
        <v>0</v>
      </c>
      <c r="E19" s="918">
        <f t="shared" si="0"/>
        <v>23</v>
      </c>
      <c r="F19" s="920">
        <v>104627.5</v>
      </c>
    </row>
    <row r="20" spans="1:6" ht="31.2">
      <c r="A20" s="917" t="s">
        <v>78</v>
      </c>
      <c r="B20" s="918">
        <v>13</v>
      </c>
      <c r="C20" s="919">
        <v>0</v>
      </c>
      <c r="D20" s="919">
        <v>0</v>
      </c>
      <c r="E20" s="918">
        <f t="shared" si="0"/>
        <v>13</v>
      </c>
      <c r="F20" s="920">
        <v>38585</v>
      </c>
    </row>
    <row r="21" spans="1:6" ht="15.6">
      <c r="A21" s="917" t="s">
        <v>79</v>
      </c>
      <c r="B21" s="918">
        <v>6</v>
      </c>
      <c r="C21" s="919">
        <v>0</v>
      </c>
      <c r="D21" s="919">
        <v>0</v>
      </c>
      <c r="E21" s="918">
        <f t="shared" si="0"/>
        <v>6</v>
      </c>
      <c r="F21" s="920">
        <v>6000</v>
      </c>
    </row>
    <row r="22" spans="1:6" ht="15.6">
      <c r="A22" s="917" t="s">
        <v>80</v>
      </c>
      <c r="B22" s="918">
        <v>7</v>
      </c>
      <c r="C22" s="919">
        <v>0</v>
      </c>
      <c r="D22" s="919">
        <v>0</v>
      </c>
      <c r="E22" s="918">
        <f t="shared" si="0"/>
        <v>7</v>
      </c>
      <c r="F22" s="920">
        <v>37700.5</v>
      </c>
    </row>
    <row r="23" spans="1:6" ht="15.6">
      <c r="A23" s="917" t="s">
        <v>37</v>
      </c>
      <c r="B23" s="918">
        <v>14</v>
      </c>
      <c r="C23" s="919">
        <v>0</v>
      </c>
      <c r="D23" s="919">
        <v>0</v>
      </c>
      <c r="E23" s="918">
        <f t="shared" si="0"/>
        <v>14</v>
      </c>
      <c r="F23" s="920">
        <v>10692.5</v>
      </c>
    </row>
    <row r="24" spans="1:6" ht="15.6">
      <c r="A24" s="917" t="s">
        <v>81</v>
      </c>
      <c r="B24" s="918">
        <v>3</v>
      </c>
      <c r="C24" s="919">
        <v>0</v>
      </c>
      <c r="D24" s="919">
        <v>0</v>
      </c>
      <c r="E24" s="918">
        <f t="shared" si="0"/>
        <v>3</v>
      </c>
      <c r="F24" s="920">
        <v>6710</v>
      </c>
    </row>
    <row r="25" spans="1:6" ht="15.6">
      <c r="A25" s="917" t="s">
        <v>84</v>
      </c>
      <c r="B25" s="918">
        <v>8</v>
      </c>
      <c r="C25" s="919">
        <v>0</v>
      </c>
      <c r="D25" s="919">
        <v>0</v>
      </c>
      <c r="E25" s="918">
        <f t="shared" si="0"/>
        <v>8</v>
      </c>
      <c r="F25" s="920">
        <v>24500</v>
      </c>
    </row>
    <row r="26" spans="1:6" ht="15.6">
      <c r="A26" s="917" t="s">
        <v>85</v>
      </c>
      <c r="B26" s="918">
        <v>7</v>
      </c>
      <c r="C26" s="919">
        <v>0</v>
      </c>
      <c r="D26" s="919">
        <v>0</v>
      </c>
      <c r="E26" s="918">
        <f t="shared" si="0"/>
        <v>7</v>
      </c>
      <c r="F26" s="920">
        <v>28505</v>
      </c>
    </row>
    <row r="27" spans="1:6" ht="15.6">
      <c r="A27" s="917" t="s">
        <v>86</v>
      </c>
      <c r="B27" s="918">
        <v>5</v>
      </c>
      <c r="C27" s="919">
        <v>0</v>
      </c>
      <c r="D27" s="919">
        <v>0</v>
      </c>
      <c r="E27" s="918">
        <f t="shared" si="0"/>
        <v>5</v>
      </c>
      <c r="F27" s="923">
        <v>11250</v>
      </c>
    </row>
    <row r="28" spans="1:6" ht="15.6">
      <c r="A28" s="917" t="s">
        <v>87</v>
      </c>
      <c r="B28" s="918">
        <v>3</v>
      </c>
      <c r="C28" s="919">
        <v>0</v>
      </c>
      <c r="D28" s="919">
        <v>0</v>
      </c>
      <c r="E28" s="918">
        <f t="shared" si="0"/>
        <v>3</v>
      </c>
      <c r="F28" s="920">
        <v>7425</v>
      </c>
    </row>
    <row r="29" spans="1:6" ht="15.6">
      <c r="A29" s="917" t="s">
        <v>88</v>
      </c>
      <c r="B29" s="918">
        <v>4</v>
      </c>
      <c r="C29" s="919">
        <v>0</v>
      </c>
      <c r="D29" s="919">
        <v>0</v>
      </c>
      <c r="E29" s="918">
        <f t="shared" si="0"/>
        <v>4</v>
      </c>
      <c r="F29" s="920">
        <v>15270</v>
      </c>
    </row>
    <row r="30" spans="1:6" ht="15.6">
      <c r="A30" s="917" t="s">
        <v>89</v>
      </c>
      <c r="B30" s="918">
        <v>26</v>
      </c>
      <c r="C30" s="919">
        <v>3</v>
      </c>
      <c r="D30" s="919">
        <v>0</v>
      </c>
      <c r="E30" s="918">
        <f t="shared" si="0"/>
        <v>23</v>
      </c>
      <c r="F30" s="920">
        <v>52614</v>
      </c>
    </row>
    <row r="31" spans="1:6" ht="15.6">
      <c r="A31" s="917" t="s">
        <v>88</v>
      </c>
      <c r="B31" s="918">
        <v>14</v>
      </c>
      <c r="C31" s="919">
        <v>0</v>
      </c>
      <c r="D31" s="919">
        <v>0</v>
      </c>
      <c r="E31" s="918">
        <f t="shared" si="0"/>
        <v>14</v>
      </c>
      <c r="F31" s="920">
        <v>11320</v>
      </c>
    </row>
    <row r="32" spans="1:6" ht="15.6">
      <c r="A32" s="917" t="s">
        <v>82</v>
      </c>
      <c r="B32" s="918">
        <v>10</v>
      </c>
      <c r="C32" s="919">
        <v>0</v>
      </c>
      <c r="D32" s="919">
        <v>0</v>
      </c>
      <c r="E32" s="918">
        <f t="shared" si="0"/>
        <v>10</v>
      </c>
      <c r="F32" s="920">
        <v>42090</v>
      </c>
    </row>
    <row r="33" spans="1:6" ht="15.6">
      <c r="A33" s="917" t="s">
        <v>83</v>
      </c>
      <c r="B33" s="918">
        <v>10</v>
      </c>
      <c r="C33" s="919">
        <v>1</v>
      </c>
      <c r="D33" s="919">
        <v>0</v>
      </c>
      <c r="E33" s="918">
        <f t="shared" si="0"/>
        <v>9</v>
      </c>
      <c r="F33" s="920">
        <v>34012.5</v>
      </c>
    </row>
    <row r="34" spans="1:6" ht="16.8">
      <c r="A34" s="924" t="s">
        <v>90</v>
      </c>
      <c r="B34" s="925">
        <f t="shared" ref="B34:C34" si="1">SUM(B6:B33)</f>
        <v>317</v>
      </c>
      <c r="C34" s="926">
        <f t="shared" si="1"/>
        <v>10</v>
      </c>
      <c r="D34" s="926">
        <f>SUM(D6:D30)</f>
        <v>0</v>
      </c>
      <c r="E34" s="925">
        <f t="shared" ref="E34:F34" si="2">SUM(E6:E33)</f>
        <v>307</v>
      </c>
      <c r="F34" s="927">
        <f t="shared" si="2"/>
        <v>928232.5</v>
      </c>
    </row>
  </sheetData>
  <mergeCells count="1"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STOCK OVERVIEW</vt:lpstr>
      <vt:lpstr>TOTAL OFFICE STOCK</vt:lpstr>
      <vt:lpstr>SILK  - STOCK OVERVIEW</vt:lpstr>
      <vt:lpstr>SILK - ALL</vt:lpstr>
      <vt:lpstr>SILK - SOLD</vt:lpstr>
      <vt:lpstr>SILK - PENDING</vt:lpstr>
      <vt:lpstr>LACE  - STOCK OVERVIEW</vt:lpstr>
      <vt:lpstr>LACE - ALL</vt:lpstr>
      <vt:lpstr>LACE - STOCK OVERVIEW</vt:lpstr>
      <vt:lpstr>LACE - PENDING</vt:lpstr>
      <vt:lpstr>LACE - SOLD</vt:lpstr>
      <vt:lpstr>CEMB - STOCK OVERVIEW</vt:lpstr>
      <vt:lpstr>CEMB - ALL</vt:lpstr>
      <vt:lpstr>CEMB - PENDING</vt:lpstr>
      <vt:lpstr>CEMB - SOLD</vt:lpstr>
      <vt:lpstr>EMBROIDERY - STOCK OVERVIEW </vt:lpstr>
      <vt:lpstr>EMBROIDERY - ALL</vt:lpstr>
      <vt:lpstr>EMBROIDERY - SOLD</vt:lpstr>
      <vt:lpstr>EMBROIDERY - STOCK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Mohan</cp:lastModifiedBy>
  <dcterms:modified xsi:type="dcterms:W3CDTF">2026-05-02T13:05:29Z</dcterms:modified>
</cp:coreProperties>
</file>